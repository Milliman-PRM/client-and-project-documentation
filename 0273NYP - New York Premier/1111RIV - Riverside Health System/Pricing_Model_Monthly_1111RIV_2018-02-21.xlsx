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RIV - Riverside Health System\"/>
    </mc:Choice>
  </mc:AlternateContent>
  <bookViews>
    <workbookView xWindow="1395" yWindow="0" windowWidth="13680" windowHeight="13890" activeTab="3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0" i="8" l="1"/>
  <c r="O19" i="8"/>
  <c r="O18" i="8"/>
  <c r="O17" i="8"/>
  <c r="O16" i="8"/>
  <c r="O15" i="8"/>
  <c r="O14" i="8"/>
  <c r="O13" i="8"/>
  <c r="O12" i="8"/>
  <c r="O11" i="8"/>
  <c r="O10" i="8"/>
  <c r="O9" i="8"/>
  <c r="N20" i="8"/>
  <c r="N19" i="8"/>
  <c r="N18" i="8"/>
  <c r="N17" i="8"/>
  <c r="N16" i="8"/>
  <c r="N15" i="8"/>
  <c r="N14" i="8"/>
  <c r="N13" i="8"/>
  <c r="N12" i="8"/>
  <c r="N11" i="8"/>
  <c r="N10" i="8"/>
  <c r="N9" i="8"/>
  <c r="D27" i="2"/>
  <c r="D26" i="2"/>
  <c r="M20" i="8"/>
  <c r="M19" i="8"/>
  <c r="M18" i="8"/>
  <c r="M17" i="8"/>
  <c r="M16" i="8"/>
  <c r="M15" i="8"/>
  <c r="M14" i="8"/>
  <c r="M13" i="8"/>
  <c r="M12" i="8"/>
  <c r="M11" i="8"/>
  <c r="M10" i="8"/>
  <c r="M9" i="8"/>
  <c r="H26" i="7" l="1"/>
  <c r="G26" i="7"/>
  <c r="I26" i="7" s="1"/>
  <c r="F26" i="7" l="1"/>
  <c r="H8" i="7" l="1"/>
  <c r="H9" i="7"/>
  <c r="H10" i="7"/>
  <c r="H12" i="7"/>
  <c r="H13" i="7"/>
  <c r="H15" i="7"/>
  <c r="H16" i="7"/>
  <c r="H17" i="7"/>
  <c r="H18" i="7"/>
  <c r="N62" i="7" l="1"/>
  <c r="I59" i="7"/>
  <c r="I62" i="7"/>
  <c r="H59" i="7"/>
  <c r="D61" i="7"/>
  <c r="G44" i="7"/>
  <c r="G43" i="7"/>
  <c r="G42" i="7"/>
  <c r="H43" i="7"/>
  <c r="H36" i="7"/>
  <c r="H33" i="7"/>
  <c r="H32" i="7"/>
  <c r="H31" i="7"/>
  <c r="H30" i="7"/>
  <c r="H29" i="7"/>
  <c r="H28" i="7"/>
  <c r="H27" i="7"/>
  <c r="H25" i="7"/>
  <c r="H24" i="7"/>
  <c r="H23" i="7"/>
  <c r="I33" i="7"/>
  <c r="I32" i="7"/>
  <c r="I31" i="7"/>
  <c r="I30" i="7"/>
  <c r="I29" i="7"/>
  <c r="I28" i="7"/>
  <c r="I27" i="7"/>
  <c r="I25" i="7"/>
  <c r="I24" i="7"/>
  <c r="N31" i="7"/>
  <c r="I23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N42" i="7"/>
  <c r="N44" i="7"/>
  <c r="N45" i="7"/>
  <c r="N38" i="7"/>
  <c r="N39" i="7"/>
  <c r="N23" i="7"/>
  <c r="M23" i="7"/>
  <c r="N24" i="7"/>
  <c r="N32" i="7"/>
  <c r="N33" i="7"/>
  <c r="N8" i="7"/>
  <c r="N16" i="7"/>
  <c r="N17" i="7"/>
  <c r="N18" i="7"/>
  <c r="K3" i="8" l="1"/>
  <c r="J3" i="8"/>
  <c r="I3" i="8"/>
  <c r="H3" i="8"/>
  <c r="H5" i="7"/>
  <c r="H37" i="7" l="1"/>
  <c r="H4" i="1" l="1"/>
  <c r="G4" i="1"/>
  <c r="F4" i="1"/>
  <c r="E4" i="1"/>
  <c r="D4" i="1"/>
  <c r="H61" i="1" l="1"/>
  <c r="G61" i="1"/>
  <c r="F61" i="1"/>
  <c r="E61" i="1"/>
  <c r="D61" i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4" i="7"/>
  <c r="G45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J4" i="8"/>
  <c r="K4" i="8"/>
  <c r="I4" i="8"/>
  <c r="H4" i="8"/>
  <c r="M24" i="7"/>
  <c r="F45" i="7"/>
  <c r="H45" i="7"/>
  <c r="F44" i="7"/>
  <c r="H44" i="7"/>
  <c r="F43" i="7"/>
  <c r="F42" i="7"/>
  <c r="K42" i="7" s="1"/>
  <c r="H42" i="7"/>
  <c r="M42" i="7" s="1"/>
  <c r="M33" i="7"/>
  <c r="F23" i="7"/>
  <c r="F32" i="7"/>
  <c r="F24" i="7"/>
  <c r="K24" i="7" s="1"/>
  <c r="F27" i="7"/>
  <c r="F31" i="7"/>
  <c r="F30" i="7"/>
  <c r="D6" i="8"/>
  <c r="L42" i="7"/>
  <c r="F28" i="7"/>
  <c r="F25" i="7"/>
  <c r="F29" i="7"/>
  <c r="F33" i="7"/>
  <c r="K33" i="7" s="1"/>
  <c r="L24" i="7"/>
  <c r="L33" i="7"/>
  <c r="H62" i="7"/>
  <c r="G62" i="7"/>
  <c r="F62" i="7"/>
  <c r="G59" i="7"/>
  <c r="F59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I6" i="8" l="1"/>
  <c r="J6" i="8"/>
  <c r="H6" i="8"/>
  <c r="K6" i="8"/>
  <c r="K5" i="8"/>
  <c r="J5" i="8"/>
  <c r="I5" i="8"/>
  <c r="H5" i="8"/>
  <c r="D7" i="8"/>
  <c r="D18" i="7"/>
  <c r="L18" i="7" s="1"/>
  <c r="D14" i="7"/>
  <c r="N14" i="7" s="1"/>
  <c r="D11" i="7"/>
  <c r="N11" i="7" s="1"/>
  <c r="D15" i="7"/>
  <c r="N15" i="7" s="1"/>
  <c r="D10" i="7"/>
  <c r="N10" i="7" s="1"/>
  <c r="D12" i="7"/>
  <c r="N12" i="7" s="1"/>
  <c r="D16" i="7"/>
  <c r="D13" i="7"/>
  <c r="N13" i="7" s="1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I7" i="8" l="1"/>
  <c r="J7" i="8"/>
  <c r="K7" i="8"/>
  <c r="H7" i="8"/>
  <c r="D8" i="8"/>
  <c r="H75" i="1"/>
  <c r="G74" i="1"/>
  <c r="H74" i="1"/>
  <c r="G75" i="1"/>
  <c r="F75" i="1"/>
  <c r="D75" i="1"/>
  <c r="E74" i="1"/>
  <c r="E75" i="1"/>
  <c r="E20" i="5"/>
  <c r="F20" i="5"/>
  <c r="G20" i="5"/>
  <c r="J8" i="8" l="1"/>
  <c r="K8" i="8"/>
  <c r="I8" i="8"/>
  <c r="H8" i="8"/>
  <c r="F45" i="8"/>
  <c r="D37" i="7"/>
  <c r="N37" i="7" s="1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D4" i="7" s="1"/>
  <c r="H64" i="1"/>
  <c r="G64" i="1"/>
  <c r="F64" i="1"/>
  <c r="E64" i="1"/>
  <c r="D59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K59" i="7" l="1"/>
  <c r="N59" i="7"/>
  <c r="N4" i="7"/>
  <c r="K4" i="7"/>
  <c r="M4" i="7"/>
  <c r="C32" i="5"/>
  <c r="E9" i="8"/>
  <c r="H9" i="8"/>
  <c r="K5" i="7"/>
  <c r="I9" i="8" s="1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L59" i="7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M59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K36" i="7" l="1"/>
  <c r="N36" i="7"/>
  <c r="M36" i="7"/>
  <c r="E10" i="8"/>
  <c r="F9" i="8"/>
  <c r="K10" i="8"/>
  <c r="I10" i="8"/>
  <c r="J10" i="8"/>
  <c r="H10" i="8"/>
  <c r="K8" i="7"/>
  <c r="L8" i="7"/>
  <c r="D39" i="7"/>
  <c r="F47" i="8"/>
  <c r="L4" i="7"/>
  <c r="J9" i="8" s="1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N28" i="7" s="1"/>
  <c r="D29" i="7"/>
  <c r="N29" i="7" s="1"/>
  <c r="D31" i="7"/>
  <c r="D30" i="7"/>
  <c r="N30" i="7" s="1"/>
  <c r="D32" i="7"/>
  <c r="D25" i="7"/>
  <c r="N25" i="7" s="1"/>
  <c r="D26" i="7"/>
  <c r="N26" i="7" s="1"/>
  <c r="D27" i="7"/>
  <c r="N27" i="7" s="1"/>
  <c r="D23" i="7"/>
  <c r="K23" i="7" s="1"/>
  <c r="H80" i="1"/>
  <c r="E81" i="1"/>
  <c r="E80" i="1"/>
  <c r="D60" i="7"/>
  <c r="D62" i="7"/>
  <c r="D80" i="1"/>
  <c r="D82" i="1"/>
  <c r="D45" i="7" s="1"/>
  <c r="D21" i="5"/>
  <c r="L36" i="7"/>
  <c r="L9" i="7"/>
  <c r="M9" i="7"/>
  <c r="K9" i="7"/>
  <c r="K9" i="8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I11" i="8" l="1"/>
  <c r="J11" i="8"/>
  <c r="K11" i="8"/>
  <c r="H11" i="8"/>
  <c r="E11" i="8"/>
  <c r="F10" i="8"/>
  <c r="F48" i="8"/>
  <c r="D12" i="8"/>
  <c r="K45" i="7"/>
  <c r="M45" i="7"/>
  <c r="L45" i="7"/>
  <c r="D43" i="7"/>
  <c r="D44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K62" i="7"/>
  <c r="M62" i="7"/>
  <c r="L62" i="7"/>
  <c r="D85" i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I12" i="8"/>
  <c r="J12" i="8"/>
  <c r="K12" i="8"/>
  <c r="H12" i="8"/>
  <c r="E12" i="8"/>
  <c r="F11" i="8"/>
  <c r="F49" i="8"/>
  <c r="D88" i="1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H60" i="7" l="1"/>
  <c r="M60" i="7" s="1"/>
  <c r="I60" i="7"/>
  <c r="N60" i="7" s="1"/>
  <c r="H61" i="7"/>
  <c r="M61" i="7" s="1"/>
  <c r="I61" i="7"/>
  <c r="N61" i="7" s="1"/>
  <c r="E13" i="8"/>
  <c r="F12" i="8"/>
  <c r="J13" i="8"/>
  <c r="K13" i="8"/>
  <c r="I13" i="8"/>
  <c r="H13" i="8"/>
  <c r="F50" i="8"/>
  <c r="D14" i="8"/>
  <c r="F60" i="7"/>
  <c r="K60" i="7" s="1"/>
  <c r="G61" i="7"/>
  <c r="L61" i="7" s="1"/>
  <c r="F61" i="7"/>
  <c r="K61" i="7" s="1"/>
  <c r="G60" i="7"/>
  <c r="L60" i="7" s="1"/>
  <c r="D48" i="7"/>
  <c r="D95" i="1"/>
  <c r="D97" i="1" s="1"/>
  <c r="F95" i="1"/>
  <c r="F97" i="1" s="1"/>
  <c r="G95" i="1"/>
  <c r="H95" i="1"/>
  <c r="E95" i="1"/>
  <c r="I48" i="7" l="1"/>
  <c r="N48" i="7" s="1"/>
  <c r="H48" i="7"/>
  <c r="M48" i="7" s="1"/>
  <c r="H49" i="7" s="1"/>
  <c r="K14" i="8"/>
  <c r="I14" i="8"/>
  <c r="H14" i="8"/>
  <c r="J14" i="8"/>
  <c r="E14" i="8"/>
  <c r="F13" i="8"/>
  <c r="G48" i="7"/>
  <c r="L48" i="7" s="1"/>
  <c r="F48" i="7"/>
  <c r="K48" i="7" s="1"/>
  <c r="F51" i="8"/>
  <c r="D15" i="8"/>
  <c r="E97" i="1"/>
  <c r="H97" i="1"/>
  <c r="G97" i="1"/>
  <c r="F49" i="7" l="1"/>
  <c r="G49" i="7"/>
  <c r="I15" i="8"/>
  <c r="J15" i="8"/>
  <c r="H15" i="8"/>
  <c r="K15" i="8"/>
  <c r="E15" i="8"/>
  <c r="F14" i="8"/>
  <c r="F52" i="8"/>
  <c r="D16" i="8"/>
  <c r="F98" i="1"/>
  <c r="G98" i="1"/>
  <c r="H98" i="1"/>
  <c r="E98" i="1"/>
  <c r="D98" i="1"/>
  <c r="I49" i="7" l="1"/>
  <c r="I16" i="8"/>
  <c r="J16" i="8"/>
  <c r="K16" i="8"/>
  <c r="H16" i="8"/>
  <c r="E16" i="8"/>
  <c r="F15" i="8"/>
  <c r="F53" i="8"/>
  <c r="D17" i="8"/>
  <c r="E101" i="1"/>
  <c r="E104" i="1"/>
  <c r="H90" i="1" s="1"/>
  <c r="E102" i="1"/>
  <c r="E103" i="1"/>
  <c r="J17" i="8" l="1"/>
  <c r="K17" i="8"/>
  <c r="I17" i="8"/>
  <c r="H17" i="8"/>
  <c r="E17" i="8"/>
  <c r="F16" i="8"/>
  <c r="F54" i="8"/>
  <c r="D18" i="8"/>
  <c r="E90" i="1"/>
  <c r="E27" i="5" s="1"/>
  <c r="E29" i="5" s="1"/>
  <c r="E34" i="5" s="1"/>
  <c r="F90" i="1"/>
  <c r="F27" i="5" s="1"/>
  <c r="F29" i="5" s="1"/>
  <c r="F34" i="5" s="1"/>
  <c r="D90" i="1"/>
  <c r="D27" i="5" s="1"/>
  <c r="D29" i="5" s="1"/>
  <c r="D34" i="5" s="1"/>
  <c r="G90" i="1"/>
  <c r="H27" i="5"/>
  <c r="H29" i="5" s="1"/>
  <c r="H34" i="5" s="1"/>
  <c r="H92" i="1"/>
  <c r="K18" i="8" l="1"/>
  <c r="I18" i="8"/>
  <c r="H18" i="8"/>
  <c r="J18" i="8"/>
  <c r="E18" i="8"/>
  <c r="F17" i="8"/>
  <c r="F55" i="8"/>
  <c r="D19" i="8"/>
  <c r="E92" i="1"/>
  <c r="F92" i="1"/>
  <c r="D92" i="1"/>
  <c r="G27" i="5"/>
  <c r="D49" i="7" s="1"/>
  <c r="N49" i="7" s="1"/>
  <c r="N51" i="7" s="1"/>
  <c r="G92" i="1"/>
  <c r="Q3" i="8" l="1"/>
  <c r="Q54" i="8"/>
  <c r="Q82" i="8"/>
  <c r="Q17" i="8"/>
  <c r="Q52" i="8"/>
  <c r="Q78" i="8"/>
  <c r="Q15" i="8"/>
  <c r="Q83" i="8"/>
  <c r="Q46" i="8"/>
  <c r="Q92" i="8"/>
  <c r="Q4" i="8"/>
  <c r="Q14" i="8"/>
  <c r="Q16" i="8"/>
  <c r="Q49" i="8"/>
  <c r="Q48" i="8"/>
  <c r="Q88" i="8"/>
  <c r="Q45" i="8"/>
  <c r="Q47" i="8"/>
  <c r="Q84" i="8"/>
  <c r="Q8" i="8"/>
  <c r="Q86" i="8"/>
  <c r="Q50" i="8"/>
  <c r="Q5" i="8"/>
  <c r="Q85" i="8"/>
  <c r="Q94" i="8"/>
  <c r="Q11" i="8"/>
  <c r="Q80" i="8"/>
  <c r="Q90" i="8"/>
  <c r="Q89" i="8"/>
  <c r="Q51" i="8"/>
  <c r="Q79" i="8"/>
  <c r="Q91" i="8"/>
  <c r="Q9" i="8"/>
  <c r="Q6" i="8"/>
  <c r="Q7" i="8"/>
  <c r="Q13" i="8"/>
  <c r="Q93" i="8"/>
  <c r="Q10" i="8"/>
  <c r="Q12" i="8"/>
  <c r="W14" i="8" s="1"/>
  <c r="Q81" i="8"/>
  <c r="W83" i="8" s="1"/>
  <c r="Q55" i="8"/>
  <c r="Q53" i="8"/>
  <c r="Q87" i="8"/>
  <c r="W89" i="8" s="1"/>
  <c r="I19" i="8"/>
  <c r="J19" i="8"/>
  <c r="H19" i="8"/>
  <c r="K19" i="8"/>
  <c r="E19" i="8"/>
  <c r="F18" i="8"/>
  <c r="Q18" i="8" s="1"/>
  <c r="F56" i="8"/>
  <c r="Q56" i="8" s="1"/>
  <c r="D20" i="8"/>
  <c r="K49" i="7"/>
  <c r="K51" i="7" s="1"/>
  <c r="L49" i="7"/>
  <c r="L51" i="7" s="1"/>
  <c r="M49" i="7"/>
  <c r="M51" i="7" s="1"/>
  <c r="G29" i="5"/>
  <c r="G34" i="5" s="1"/>
  <c r="C39" i="5" s="1"/>
  <c r="W8" i="8" l="1"/>
  <c r="W11" i="8"/>
  <c r="W5" i="8"/>
  <c r="W56" i="8"/>
  <c r="W92" i="8"/>
  <c r="D52" i="7"/>
  <c r="W53" i="8"/>
  <c r="W47" i="8"/>
  <c r="W50" i="8"/>
  <c r="W17" i="8"/>
  <c r="W86" i="8"/>
  <c r="W80" i="8"/>
  <c r="P3" i="8"/>
  <c r="I20" i="8"/>
  <c r="J20" i="8"/>
  <c r="K20" i="8"/>
  <c r="H20" i="8"/>
  <c r="D21" i="8"/>
  <c r="E20" i="8"/>
  <c r="F19" i="8"/>
  <c r="D51" i="7"/>
  <c r="F57" i="8"/>
  <c r="Q57" i="8" s="1"/>
  <c r="P81" i="8"/>
  <c r="P85" i="8"/>
  <c r="P89" i="8"/>
  <c r="P93" i="8"/>
  <c r="P80" i="8"/>
  <c r="P86" i="8"/>
  <c r="P53" i="8"/>
  <c r="P45" i="8"/>
  <c r="P13" i="8"/>
  <c r="P5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57" i="8"/>
  <c r="P49" i="8"/>
  <c r="P17" i="8"/>
  <c r="P9" i="8"/>
  <c r="P52" i="8"/>
  <c r="P4" i="8"/>
  <c r="V5" i="8" s="1"/>
  <c r="P55" i="8"/>
  <c r="P84" i="8"/>
  <c r="P18" i="8"/>
  <c r="P8" i="8"/>
  <c r="P15" i="8"/>
  <c r="P79" i="8"/>
  <c r="P56" i="8"/>
  <c r="P47" i="8"/>
  <c r="P87" i="8"/>
  <c r="P7" i="8"/>
  <c r="O54" i="8"/>
  <c r="O84" i="8"/>
  <c r="O88" i="8"/>
  <c r="O92" i="8"/>
  <c r="O80" i="8"/>
  <c r="O6" i="8"/>
  <c r="O3" i="8"/>
  <c r="O79" i="8"/>
  <c r="O7" i="8"/>
  <c r="O81" i="8"/>
  <c r="O55" i="8"/>
  <c r="O94" i="8"/>
  <c r="O86" i="8"/>
  <c r="O78" i="8"/>
  <c r="O51" i="8"/>
  <c r="O48" i="8"/>
  <c r="O83" i="8"/>
  <c r="O91" i="8"/>
  <c r="O85" i="8"/>
  <c r="O57" i="8"/>
  <c r="O49" i="8"/>
  <c r="O46" i="8"/>
  <c r="O52" i="8"/>
  <c r="O4" i="8"/>
  <c r="O87" i="8"/>
  <c r="O47" i="8"/>
  <c r="O89" i="8"/>
  <c r="O90" i="8"/>
  <c r="O82" i="8"/>
  <c r="O56" i="8"/>
  <c r="O8" i="8"/>
  <c r="O93" i="8"/>
  <c r="O5" i="8"/>
  <c r="O50" i="8"/>
  <c r="O45" i="8"/>
  <c r="O53" i="8"/>
  <c r="N49" i="8"/>
  <c r="N90" i="8"/>
  <c r="N85" i="8"/>
  <c r="N53" i="8"/>
  <c r="N86" i="8"/>
  <c r="N50" i="8"/>
  <c r="N92" i="8"/>
  <c r="N87" i="8"/>
  <c r="N57" i="8"/>
  <c r="N52" i="8"/>
  <c r="N4" i="8"/>
  <c r="N45" i="8"/>
  <c r="N82" i="8"/>
  <c r="N81" i="8"/>
  <c r="N94" i="8"/>
  <c r="N47" i="8"/>
  <c r="N83" i="8"/>
  <c r="N80" i="8"/>
  <c r="N56" i="8"/>
  <c r="N8" i="8"/>
  <c r="N93" i="8"/>
  <c r="N78" i="8"/>
  <c r="N54" i="8"/>
  <c r="N46" i="8"/>
  <c r="N6" i="8"/>
  <c r="N84" i="8"/>
  <c r="N89" i="8"/>
  <c r="N5" i="8"/>
  <c r="N7" i="8"/>
  <c r="N88" i="8"/>
  <c r="N55" i="8"/>
  <c r="N48" i="8"/>
  <c r="N3" i="8"/>
  <c r="N51" i="8"/>
  <c r="N91" i="8"/>
  <c r="N79" i="8"/>
  <c r="M89" i="8"/>
  <c r="M82" i="8"/>
  <c r="P19" i="8" l="1"/>
  <c r="Q19" i="8"/>
  <c r="W20" i="8" s="1"/>
  <c r="M8" i="8"/>
  <c r="M84" i="8"/>
  <c r="M92" i="8"/>
  <c r="M3" i="8"/>
  <c r="S5" i="8" s="1"/>
  <c r="M79" i="8"/>
  <c r="M93" i="8"/>
  <c r="S14" i="8"/>
  <c r="M5" i="8"/>
  <c r="M4" i="8"/>
  <c r="M54" i="8"/>
  <c r="M91" i="8"/>
  <c r="M50" i="8"/>
  <c r="M94" i="8"/>
  <c r="M86" i="8"/>
  <c r="M83" i="8"/>
  <c r="S17" i="8"/>
  <c r="M80" i="8"/>
  <c r="M49" i="8"/>
  <c r="M51" i="8"/>
  <c r="M87" i="8"/>
  <c r="M78" i="8"/>
  <c r="M88" i="8"/>
  <c r="M57" i="8"/>
  <c r="M45" i="8"/>
  <c r="M55" i="8"/>
  <c r="M52" i="8"/>
  <c r="M48" i="8"/>
  <c r="M7" i="8"/>
  <c r="M6" i="8"/>
  <c r="S8" i="8" s="1"/>
  <c r="M47" i="8"/>
  <c r="M46" i="8"/>
  <c r="M56" i="8"/>
  <c r="M90" i="8"/>
  <c r="M81" i="8"/>
  <c r="M85" i="8"/>
  <c r="M53" i="8"/>
  <c r="E21" i="8"/>
  <c r="F20" i="8"/>
  <c r="Q20" i="8" s="1"/>
  <c r="J21" i="8"/>
  <c r="K21" i="8"/>
  <c r="I21" i="8"/>
  <c r="H21" i="8"/>
  <c r="U11" i="8"/>
  <c r="F58" i="8"/>
  <c r="Q58" i="8" s="1"/>
  <c r="U14" i="8"/>
  <c r="S11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P20" i="8" l="1"/>
  <c r="V20" i="8" s="1"/>
  <c r="U20" i="8"/>
  <c r="T20" i="8"/>
  <c r="S20" i="8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W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W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F1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Q44" i="8" s="1"/>
  <c r="W44" i="8" s="1"/>
  <c r="N54" i="7" s="1"/>
  <c r="D46" i="8"/>
  <c r="K46" i="8" l="1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I47" i="8" l="1"/>
  <c r="J47" i="8"/>
  <c r="U47" i="8" s="1"/>
  <c r="H47" i="8"/>
  <c r="S47" i="8" s="1"/>
  <c r="K47" i="8"/>
  <c r="V47" i="8" s="1"/>
  <c r="D48" i="8"/>
  <c r="T47" i="8"/>
  <c r="I48" i="8" l="1"/>
  <c r="J48" i="8"/>
  <c r="K48" i="8"/>
  <c r="H48" i="8"/>
  <c r="D49" i="8"/>
  <c r="J49" i="8" l="1"/>
  <c r="K49" i="8"/>
  <c r="H49" i="8"/>
  <c r="I49" i="8"/>
  <c r="D50" i="8"/>
  <c r="K50" i="8" l="1"/>
  <c r="H50" i="8"/>
  <c r="I50" i="8"/>
  <c r="J50" i="8"/>
  <c r="U50" i="8" s="1"/>
  <c r="D51" i="8"/>
  <c r="V50" i="8"/>
  <c r="S50" i="8"/>
  <c r="T50" i="8"/>
  <c r="I51" i="8" l="1"/>
  <c r="J51" i="8"/>
  <c r="H51" i="8"/>
  <c r="K51" i="8"/>
  <c r="D52" i="8"/>
  <c r="I52" i="8" l="1"/>
  <c r="J52" i="8"/>
  <c r="K52" i="8"/>
  <c r="H52" i="8"/>
  <c r="D53" i="8"/>
  <c r="J53" i="8" l="1"/>
  <c r="K53" i="8"/>
  <c r="I53" i="8"/>
  <c r="H53" i="8"/>
  <c r="S53" i="8" s="1"/>
  <c r="D54" i="8"/>
  <c r="V53" i="8"/>
  <c r="T53" i="8"/>
  <c r="U53" i="8"/>
  <c r="K54" i="8" l="1"/>
  <c r="H54" i="8"/>
  <c r="I54" i="8"/>
  <c r="J54" i="8"/>
  <c r="D55" i="8"/>
  <c r="I55" i="8" l="1"/>
  <c r="J55" i="8"/>
  <c r="H55" i="8"/>
  <c r="K55" i="8"/>
  <c r="D56" i="8"/>
  <c r="I56" i="8" l="1"/>
  <c r="J56" i="8"/>
  <c r="U56" i="8" s="1"/>
  <c r="K56" i="8"/>
  <c r="H56" i="8"/>
  <c r="D57" i="8"/>
  <c r="V56" i="8"/>
  <c r="S56" i="8"/>
  <c r="T56" i="8"/>
  <c r="J57" i="8" l="1"/>
  <c r="K57" i="8"/>
  <c r="I57" i="8"/>
  <c r="H57" i="8"/>
  <c r="D58" i="8"/>
  <c r="K58" i="8" l="1"/>
  <c r="H58" i="8"/>
  <c r="I58" i="8"/>
  <c r="J58" i="8"/>
  <c r="D59" i="8"/>
  <c r="H59" i="8" l="1"/>
  <c r="I59" i="8"/>
  <c r="J59" i="8"/>
  <c r="K59" i="8"/>
  <c r="V59" i="8" s="1"/>
  <c r="D60" i="8"/>
  <c r="S59" i="8"/>
  <c r="T59" i="8"/>
  <c r="U59" i="8"/>
  <c r="I60" i="8" l="1"/>
  <c r="J60" i="8"/>
  <c r="K60" i="8"/>
  <c r="H60" i="8"/>
  <c r="D61" i="8"/>
  <c r="J61" i="8" l="1"/>
  <c r="K61" i="8"/>
  <c r="H61" i="8"/>
  <c r="I61" i="8"/>
  <c r="D62" i="8"/>
  <c r="K62" i="8" l="1"/>
  <c r="H62" i="8"/>
  <c r="I62" i="8"/>
  <c r="J62" i="8"/>
  <c r="U62" i="8" s="1"/>
  <c r="D63" i="8"/>
  <c r="V62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K65" i="8"/>
  <c r="I65" i="8"/>
  <c r="H65" i="8"/>
  <c r="S65" i="8" s="1"/>
  <c r="D66" i="8"/>
  <c r="V65" i="8"/>
  <c r="T65" i="8"/>
  <c r="U65" i="8"/>
  <c r="K66" i="8" l="1"/>
  <c r="H66" i="8"/>
  <c r="I66" i="8"/>
  <c r="J66" i="8"/>
  <c r="D67" i="8"/>
  <c r="H67" i="8" l="1"/>
  <c r="I67" i="8"/>
  <c r="J67" i="8"/>
  <c r="K67" i="8"/>
  <c r="D68" i="8"/>
  <c r="I68" i="8" l="1"/>
  <c r="J68" i="8"/>
  <c r="K68" i="8"/>
  <c r="V68" i="8" s="1"/>
  <c r="H68" i="8"/>
  <c r="S68" i="8" s="1"/>
  <c r="D69" i="8"/>
  <c r="T68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I71" i="8"/>
  <c r="J71" i="8"/>
  <c r="U71" i="8" s="1"/>
  <c r="K71" i="8"/>
  <c r="V71" i="8" s="1"/>
  <c r="D72" i="8"/>
  <c r="S71" i="8"/>
  <c r="T71" i="8"/>
  <c r="I72" i="8" l="1"/>
  <c r="J72" i="8"/>
  <c r="K72" i="8"/>
  <c r="H72" i="8"/>
  <c r="D73" i="8"/>
  <c r="J73" i="8" l="1"/>
  <c r="K73" i="8"/>
  <c r="I73" i="8"/>
  <c r="H73" i="8"/>
  <c r="D74" i="8"/>
  <c r="K74" i="8" l="1"/>
  <c r="H74" i="8"/>
  <c r="I74" i="8"/>
  <c r="J74" i="8"/>
  <c r="U74" i="8" s="1"/>
  <c r="D75" i="8"/>
  <c r="V74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K77" i="8"/>
  <c r="H77" i="8"/>
  <c r="I77" i="8"/>
  <c r="D78" i="8"/>
  <c r="V77" i="8"/>
  <c r="S77" i="8"/>
  <c r="T77" i="8"/>
  <c r="U77" i="8"/>
  <c r="K78" i="8" l="1"/>
  <c r="H78" i="8"/>
  <c r="I78" i="8"/>
  <c r="J78" i="8"/>
  <c r="D79" i="8"/>
  <c r="H79" i="8" l="1"/>
  <c r="I79" i="8"/>
  <c r="J79" i="8"/>
  <c r="K79" i="8"/>
  <c r="D80" i="8"/>
  <c r="I80" i="8" l="1"/>
  <c r="J80" i="8"/>
  <c r="K80" i="8"/>
  <c r="V80" i="8" s="1"/>
  <c r="H80" i="8"/>
  <c r="S80" i="8" s="1"/>
  <c r="D81" i="8"/>
  <c r="T80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I83" i="8"/>
  <c r="J83" i="8"/>
  <c r="K83" i="8"/>
  <c r="V83" i="8" s="1"/>
  <c r="D84" i="8"/>
  <c r="S83" i="8"/>
  <c r="T83" i="8"/>
  <c r="U83" i="8"/>
  <c r="I84" i="8" l="1"/>
  <c r="J84" i="8"/>
  <c r="K84" i="8"/>
  <c r="H84" i="8"/>
  <c r="D85" i="8"/>
  <c r="J85" i="8" l="1"/>
  <c r="K85" i="8"/>
  <c r="H85" i="8"/>
  <c r="I85" i="8"/>
  <c r="D86" i="8"/>
  <c r="K86" i="8" l="1"/>
  <c r="H86" i="8"/>
  <c r="I86" i="8"/>
  <c r="J86" i="8"/>
  <c r="U86" i="8" s="1"/>
  <c r="D87" i="8"/>
  <c r="V86" i="8"/>
  <c r="S86" i="8"/>
  <c r="T86" i="8"/>
  <c r="H87" i="8" l="1"/>
  <c r="I87" i="8"/>
  <c r="J87" i="8"/>
  <c r="K87" i="8"/>
  <c r="D88" i="8"/>
  <c r="I88" i="8" l="1"/>
  <c r="J88" i="8"/>
  <c r="K88" i="8"/>
  <c r="H88" i="8"/>
  <c r="D89" i="8"/>
  <c r="J89" i="8" l="1"/>
  <c r="K89" i="8"/>
  <c r="I89" i="8"/>
  <c r="H89" i="8"/>
  <c r="S89" i="8" s="1"/>
  <c r="D90" i="8"/>
  <c r="U89" i="8"/>
  <c r="T89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J92" i="8"/>
  <c r="K92" i="8"/>
  <c r="H92" i="8"/>
  <c r="S92" i="8" s="1"/>
  <c r="C38" i="5" s="1"/>
  <c r="D93" i="8"/>
  <c r="U92" i="8"/>
  <c r="L54" i="7" s="1"/>
  <c r="T92" i="8"/>
  <c r="K54" i="7" s="1"/>
  <c r="V92" i="8"/>
  <c r="M54" i="7" s="1"/>
  <c r="J93" i="8" l="1"/>
  <c r="K93" i="8"/>
  <c r="H93" i="8"/>
  <c r="I93" i="8"/>
  <c r="D54" i="7"/>
  <c r="D94" i="8"/>
  <c r="M55" i="7" l="1"/>
  <c r="N55" i="7"/>
  <c r="K94" i="8"/>
  <c r="H94" i="8"/>
  <c r="I94" i="8"/>
  <c r="J94" i="8"/>
  <c r="K55" i="7"/>
  <c r="L55" i="7"/>
</calcChain>
</file>

<file path=xl/comments1.xml><?xml version="1.0" encoding="utf-8"?>
<comments xmlns="http://schemas.openxmlformats.org/spreadsheetml/2006/main">
  <authors>
    <author>Jason Altieri</author>
  </authors>
  <commentList>
    <comment ref="C24" authorId="0" shapeId="0">
      <text>
        <r>
          <rPr>
            <b/>
            <sz val="9"/>
            <color indexed="81"/>
            <rFont val="Tahoma"/>
            <charset val="1"/>
          </rPr>
          <t>Jason Altieri:</t>
        </r>
        <r>
          <rPr>
            <sz val="9"/>
            <color indexed="81"/>
            <rFont val="Tahoma"/>
            <charset val="1"/>
          </rPr>
          <t xml:space="preserve">
From Quarterly pricing workbook</t>
        </r>
      </text>
    </comment>
  </commentList>
</comments>
</file>

<file path=xl/sharedStrings.xml><?xml version="1.0" encoding="utf-8"?>
<sst xmlns="http://schemas.openxmlformats.org/spreadsheetml/2006/main" count="284" uniqueCount="108">
  <si>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</si>
  <si>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</si>
  <si>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</si>
  <si>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</si>
  <si>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</si>
  <si>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</si>
  <si>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</si>
  <si>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</si>
  <si>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</si>
  <si>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</si>
  <si>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</si>
  <si>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</si>
  <si>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</si>
  <si>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</si>
  <si>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</si>
  <si>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</si>
  <si>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</si>
  <si>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</si>
  <si>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</si>
  <si>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</si>
  <si>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</si>
  <si>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</si>
  <si>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</si>
  <si>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</si>
  <si>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</si>
  <si>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</si>
  <si>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</si>
  <si>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</si>
  <si>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</si>
  <si>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</si>
  <si>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</si>
  <si>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</si>
  <si>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</si>
  <si>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</si>
  <si>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</si>
  <si>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</si>
  <si>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</si>
  <si>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</si>
  <si>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</si>
  <si>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</si>
  <si>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</si>
  <si>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</si>
  <si>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</si>
  <si>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</si>
  <si>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</si>
  <si>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</si>
  <si>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</si>
  <si>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</si>
  <si>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</si>
  <si>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</si>
  <si>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</si>
  <si>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</si>
  <si>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</si>
  <si>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</si>
  <si>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</si>
  <si>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</si>
  <si>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</si>
  <si>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</si>
  <si>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</si>
  <si>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</si>
  <si>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</si>
  <si>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</si>
  <si>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</si>
  <si>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</si>
  <si>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</si>
  <si>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</si>
  <si>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</si>
  <si>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</si>
  <si>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</si>
  <si>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</si>
  <si>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</si>
  <si>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</si>
  <si>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</si>
  <si>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</si>
  <si>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</si>
  <si>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</si>
  <si>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</si>
  <si>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</si>
  <si>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</si>
  <si>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</si>
  <si>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</si>
  <si>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</si>
  <si>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</si>
  <si>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</si>
  <si>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</si>
  <si>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</si>
  <si>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</si>
  <si>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</si>
  <si>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</si>
  <si>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</si>
  <si>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</si>
  <si>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</si>
  <si>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</si>
  <si>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</si>
  <si>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</si>
  <si>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</si>
  <si>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</si>
  <si>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</si>
  <si>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</si>
  <si>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</si>
  <si>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</si>
  <si>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</si>
  <si>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</si>
  <si>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</si>
  <si>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Additional Annual Cost</t>
  </si>
  <si>
    <t>90% to NY, 10% PRM for marginal increase</t>
  </si>
  <si>
    <t>Annual Additional NY</t>
  </si>
  <si>
    <t>Annual Additional PRM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</si>
</sst>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&quot;$&quot;#,##0.0_);[Red]\(&quot;$&quot;#,##0.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169" fontId="0" fillId="0" borderId="0" xfId="0" applyNumberForma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7"/>
  <sheetViews>
    <sheetView showGridLines="0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D28" sqref="D28"/>
    </sheetView>
  </sheetViews>
  <sheetFormatPr defaultRowHeight="15" x14ac:dyDescent="0.25"/>
  <cols>
    <col min="1" max="1" width="5.140625" customWidth="1"/>
    <col min="2" max="2" width="21.42578125" customWidth="1"/>
    <col min="3" max="3" width="21.7109375" style="70" bestFit="1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82</v>
      </c>
      <c r="C1" s="76">
        <v>43101</v>
      </c>
    </row>
    <row r="2" spans="2:12" x14ac:dyDescent="0.25">
      <c r="B2" s="72" t="s">
        <v>96</v>
      </c>
      <c r="C2" s="77">
        <v>12</v>
      </c>
    </row>
    <row r="3" spans="2:12" x14ac:dyDescent="0.25">
      <c r="B3" s="73"/>
      <c r="C3" s="78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4" t="s">
        <v>6</v>
      </c>
      <c r="D4" s="56" t="s">
        <v>4</v>
      </c>
      <c r="E4" s="56"/>
      <c r="F4" s="56"/>
      <c r="G4" s="56"/>
      <c r="H4" s="57"/>
      <c r="L4" t="s">
        <v>4</v>
      </c>
    </row>
    <row r="5" spans="2:12" ht="18" customHeight="1" x14ac:dyDescent="0.25">
      <c r="B5" s="74" t="s">
        <v>7</v>
      </c>
      <c r="D5" s="56" t="s">
        <v>44</v>
      </c>
      <c r="E5" s="56"/>
      <c r="F5" s="56"/>
      <c r="G5" s="56"/>
      <c r="H5" s="57"/>
      <c r="L5" t="s">
        <v>44</v>
      </c>
    </row>
    <row r="6" spans="2:12" ht="18" customHeight="1" x14ac:dyDescent="0.25">
      <c r="B6" s="74" t="s">
        <v>8</v>
      </c>
      <c r="D6" s="56" t="s">
        <v>44</v>
      </c>
      <c r="E6" s="56"/>
      <c r="F6" s="56"/>
      <c r="G6" s="56"/>
      <c r="H6" s="57"/>
    </row>
    <row r="7" spans="2:12" ht="18" customHeight="1" x14ac:dyDescent="0.25">
      <c r="B7" s="74" t="s">
        <v>5</v>
      </c>
      <c r="D7" s="56">
        <v>50000</v>
      </c>
      <c r="E7" s="56"/>
      <c r="F7" s="56"/>
      <c r="G7" s="56"/>
      <c r="H7" s="57"/>
    </row>
    <row r="8" spans="2:12" ht="18" customHeight="1" x14ac:dyDescent="0.25">
      <c r="B8" s="74" t="s">
        <v>9</v>
      </c>
      <c r="D8" s="56" t="s">
        <v>4</v>
      </c>
      <c r="E8" s="56"/>
      <c r="F8" s="56"/>
      <c r="G8" s="56"/>
      <c r="H8" s="57"/>
    </row>
    <row r="9" spans="2:12" ht="18" customHeight="1" x14ac:dyDescent="0.25">
      <c r="B9" s="74" t="s">
        <v>10</v>
      </c>
      <c r="D9" s="56" t="s">
        <v>4</v>
      </c>
      <c r="E9" s="56"/>
      <c r="F9" s="56"/>
      <c r="G9" s="56"/>
      <c r="H9" s="57"/>
    </row>
    <row r="10" spans="2:12" ht="18" customHeight="1" x14ac:dyDescent="0.25">
      <c r="B10" s="74" t="s">
        <v>11</v>
      </c>
      <c r="D10" s="56" t="s">
        <v>4</v>
      </c>
      <c r="E10" s="56"/>
      <c r="F10" s="56"/>
      <c r="G10" s="56"/>
      <c r="H10" s="57"/>
    </row>
    <row r="11" spans="2:12" ht="18" customHeight="1" x14ac:dyDescent="0.25">
      <c r="B11" s="74" t="s">
        <v>33</v>
      </c>
      <c r="D11" s="56" t="s">
        <v>4</v>
      </c>
      <c r="E11" s="56"/>
      <c r="F11" s="56"/>
      <c r="G11" s="56"/>
      <c r="H11" s="57"/>
    </row>
    <row r="12" spans="2:12" ht="18" customHeight="1" x14ac:dyDescent="0.25">
      <c r="B12" s="74" t="s">
        <v>12</v>
      </c>
      <c r="D12" s="56" t="s">
        <v>4</v>
      </c>
      <c r="E12" s="56"/>
      <c r="F12" s="56"/>
      <c r="G12" s="56"/>
      <c r="H12" s="57"/>
    </row>
    <row r="13" spans="2:12" ht="18" customHeight="1" x14ac:dyDescent="0.25">
      <c r="B13" s="74" t="s">
        <v>13</v>
      </c>
      <c r="D13" s="56" t="s">
        <v>4</v>
      </c>
      <c r="E13" s="56"/>
      <c r="F13" s="56"/>
      <c r="G13" s="56"/>
      <c r="H13" s="57"/>
    </row>
    <row r="14" spans="2:12" ht="18" customHeight="1" x14ac:dyDescent="0.25">
      <c r="B14" s="74" t="s">
        <v>101</v>
      </c>
      <c r="D14" s="56" t="s">
        <v>4</v>
      </c>
      <c r="E14" s="56"/>
      <c r="F14" s="56"/>
      <c r="G14" s="56"/>
      <c r="H14" s="57"/>
    </row>
    <row r="15" spans="2:12" ht="18" customHeight="1" x14ac:dyDescent="0.25">
      <c r="B15" s="74" t="s">
        <v>14</v>
      </c>
      <c r="D15" s="56" t="s">
        <v>44</v>
      </c>
      <c r="E15" s="56"/>
      <c r="F15" s="56"/>
      <c r="G15" s="56"/>
      <c r="H15" s="57"/>
    </row>
    <row r="16" spans="2:12" ht="18" customHeight="1" x14ac:dyDescent="0.25">
      <c r="B16" s="74" t="s">
        <v>15</v>
      </c>
      <c r="D16" s="56" t="s">
        <v>44</v>
      </c>
      <c r="E16" s="56"/>
      <c r="F16" s="56"/>
      <c r="G16" s="56"/>
      <c r="H16" s="57"/>
    </row>
    <row r="17" spans="2:8" ht="18" customHeight="1" x14ac:dyDescent="0.25">
      <c r="B17" s="74" t="s">
        <v>16</v>
      </c>
      <c r="D17" s="56" t="s">
        <v>44</v>
      </c>
      <c r="E17" s="56"/>
      <c r="F17" s="56"/>
      <c r="G17" s="56"/>
      <c r="H17" s="57"/>
    </row>
    <row r="18" spans="2:8" ht="18" customHeight="1" x14ac:dyDescent="0.25">
      <c r="B18" s="74" t="s">
        <v>17</v>
      </c>
      <c r="D18" s="56" t="s">
        <v>44</v>
      </c>
      <c r="E18" s="56"/>
      <c r="F18" s="56"/>
      <c r="G18" s="56"/>
      <c r="H18" s="57"/>
    </row>
    <row r="19" spans="2:8" ht="18" customHeight="1" x14ac:dyDescent="0.25">
      <c r="B19" s="74" t="s">
        <v>18</v>
      </c>
      <c r="D19" s="56" t="s">
        <v>44</v>
      </c>
      <c r="E19" s="56"/>
      <c r="F19" s="56"/>
      <c r="G19" s="56"/>
      <c r="H19" s="57"/>
    </row>
    <row r="20" spans="2:8" ht="18" customHeight="1" x14ac:dyDescent="0.25">
      <c r="B20" s="74" t="s">
        <v>19</v>
      </c>
      <c r="D20" s="56" t="s">
        <v>44</v>
      </c>
      <c r="E20" s="56"/>
      <c r="F20" s="56"/>
      <c r="G20" s="56"/>
      <c r="H20" s="57"/>
    </row>
    <row r="21" spans="2:8" ht="18" customHeight="1" x14ac:dyDescent="0.25">
      <c r="B21" s="75" t="s">
        <v>20</v>
      </c>
      <c r="C21" s="71"/>
      <c r="D21" s="58" t="s">
        <v>44</v>
      </c>
      <c r="E21" s="58"/>
      <c r="F21" s="58"/>
      <c r="G21" s="58"/>
      <c r="H21" s="59"/>
    </row>
    <row r="24" spans="2:8" x14ac:dyDescent="0.25">
      <c r="C24" s="70" t="s">
        <v>104</v>
      </c>
      <c r="D24" s="1">
        <v>7250</v>
      </c>
    </row>
    <row r="25" spans="2:8" x14ac:dyDescent="0.25">
      <c r="D25" t="s">
        <v>105</v>
      </c>
    </row>
    <row r="26" spans="2:8" x14ac:dyDescent="0.25">
      <c r="C26" s="70" t="s">
        <v>106</v>
      </c>
      <c r="D26" s="82">
        <f>D24*0.9</f>
        <v>6525</v>
      </c>
    </row>
    <row r="27" spans="2:8" x14ac:dyDescent="0.25">
      <c r="C27" s="70" t="s">
        <v>107</v>
      </c>
      <c r="D27" s="82">
        <f>D24*0.1</f>
        <v>725</v>
      </c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29" sqref="I29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8100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1200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4800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2400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2400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7200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101</v>
      </c>
      <c r="D14" s="18">
        <f>SUM(Calcs!D42, Calcs!D55)</f>
        <v>4800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61</v>
      </c>
      <c r="D29" s="7">
        <f>SUM(D7:D17, D20:D23, D26:D27)</f>
        <v>48900</v>
      </c>
      <c r="E29" s="7">
        <f t="shared" ref="E29:H29" si="0">SUM(E7:E17, E20:E23, E26:E27)</f>
        <v>0</v>
      </c>
      <c r="F29" s="7">
        <f t="shared" si="0"/>
        <v>0</v>
      </c>
      <c r="G29" s="7">
        <f t="shared" si="0"/>
        <v>0</v>
      </c>
      <c r="H29" s="7">
        <f t="shared" si="0"/>
        <v>0</v>
      </c>
      <c r="I29" s="7"/>
      <c r="J29" s="7"/>
      <c r="K29" s="7"/>
      <c r="M29" s="1"/>
      <c r="S29" s="1"/>
      <c r="T29" s="1"/>
      <c r="U29" s="1"/>
    </row>
    <row r="30" spans="2:21" x14ac:dyDescent="0.25">
      <c r="D30" s="7"/>
      <c r="E30" s="7"/>
      <c r="F30" s="7"/>
      <c r="G30" s="7"/>
      <c r="H30" s="7"/>
      <c r="I30" s="7"/>
      <c r="J30" s="7"/>
      <c r="K30" s="7"/>
      <c r="M30" s="1"/>
      <c r="S30" s="1"/>
      <c r="T30" s="1"/>
      <c r="U30" s="1"/>
    </row>
    <row r="31" spans="2:21" x14ac:dyDescent="0.25">
      <c r="B31" s="6" t="s">
        <v>98</v>
      </c>
      <c r="D31" s="7"/>
      <c r="E31" s="7"/>
      <c r="F31" s="7"/>
      <c r="G31" s="7"/>
      <c r="H31" s="7"/>
      <c r="I31" s="7"/>
      <c r="J31" s="7"/>
      <c r="K31" s="7"/>
      <c r="M31" s="1"/>
      <c r="O31" s="8"/>
      <c r="P31" s="8"/>
      <c r="Q31" s="8"/>
      <c r="S31" s="1"/>
      <c r="T31" s="1"/>
      <c r="U31" s="1"/>
    </row>
    <row r="32" spans="2:21" x14ac:dyDescent="0.25">
      <c r="C32" s="68">
        <f>INDEX(Outputs_Timeline!$D$3:$D$94,MATCH(Inputs!$C$1,Outputs_Timeline!$B$3:$B$94,0),1)</f>
        <v>1</v>
      </c>
    </row>
    <row r="34" spans="2:21" x14ac:dyDescent="0.25">
      <c r="B34" s="6" t="s">
        <v>97</v>
      </c>
      <c r="D34" s="7">
        <f>(D29/12*Inputs!$C$2+D4)*$C$32</f>
        <v>53900</v>
      </c>
      <c r="E34" s="7">
        <f>(E29/12*Inputs!$C$2+E4)*$C$32</f>
        <v>0</v>
      </c>
      <c r="F34" s="7">
        <f>(F29/12*Inputs!$C$2+F4)*$C$32</f>
        <v>0</v>
      </c>
      <c r="G34" s="7">
        <f>(G29/12*Inputs!$C$2+G4)*$C$32</f>
        <v>0</v>
      </c>
      <c r="H34" s="7">
        <f>(H29/12*Inputs!$C$2+H4)*$C$32</f>
        <v>0</v>
      </c>
      <c r="I34" s="7"/>
      <c r="J34" s="7"/>
      <c r="K34" s="7"/>
      <c r="M34" s="1"/>
      <c r="S34" s="1"/>
      <c r="T34" s="1"/>
      <c r="U34" s="1"/>
    </row>
    <row r="36" spans="2:21" x14ac:dyDescent="0.25">
      <c r="D36" s="7"/>
      <c r="E36" s="7"/>
      <c r="F36" s="7"/>
      <c r="G36" s="7"/>
      <c r="H36" s="7"/>
      <c r="I36" s="7"/>
      <c r="J36" s="7"/>
      <c r="K36" s="7"/>
      <c r="L36" s="7"/>
      <c r="M36" s="1"/>
      <c r="S36" s="8"/>
      <c r="T36" s="8"/>
      <c r="U36" s="8"/>
    </row>
    <row r="37" spans="2:21" x14ac:dyDescent="0.25">
      <c r="B37" s="6" t="s">
        <v>94</v>
      </c>
    </row>
    <row r="38" spans="2:21" x14ac:dyDescent="0.25">
      <c r="C38" s="7">
        <f>SUM(Outputs_Timeline!S:S)</f>
        <v>61150</v>
      </c>
    </row>
    <row r="39" spans="2:21" x14ac:dyDescent="0.25">
      <c r="C39" s="53">
        <f>SUM(D34:H34)</f>
        <v>53900</v>
      </c>
      <c r="D39" s="1"/>
      <c r="G39" s="1"/>
    </row>
    <row r="40" spans="2:21" x14ac:dyDescent="0.25">
      <c r="D40" s="1"/>
      <c r="E40" s="1"/>
      <c r="F40" s="1"/>
    </row>
    <row r="41" spans="2:21" x14ac:dyDescent="0.25">
      <c r="D41" s="2"/>
      <c r="E41" s="1"/>
      <c r="F41" s="1"/>
    </row>
    <row r="42" spans="2:21" x14ac:dyDescent="0.25">
      <c r="D42" s="2"/>
      <c r="E42" s="2"/>
      <c r="F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2"/>
  <sheetViews>
    <sheetView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P51" sqref="P51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103</v>
      </c>
      <c r="I2" s="9" t="s">
        <v>102</v>
      </c>
      <c r="J2" s="9"/>
      <c r="K2" s="9" t="s">
        <v>62</v>
      </c>
      <c r="L2" s="9" t="s">
        <v>63</v>
      </c>
      <c r="M2" s="9" t="s">
        <v>103</v>
      </c>
      <c r="N2" s="9" t="s">
        <v>102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9">
        <v>0.5</v>
      </c>
      <c r="G4" s="79">
        <v>0.5</v>
      </c>
      <c r="H4" s="52">
        <f>1-SUM(F4:G4)</f>
        <v>0</v>
      </c>
      <c r="I4" s="52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18000</v>
      </c>
      <c r="E8" s="3"/>
      <c r="F8" s="81">
        <v>0.4</v>
      </c>
      <c r="G8" s="81">
        <v>0.6</v>
      </c>
      <c r="H8" s="35">
        <f t="shared" ref="H8:H18" si="1">1-SUM(F8:G8)</f>
        <v>0</v>
      </c>
      <c r="I8" s="35">
        <v>0</v>
      </c>
      <c r="K8" s="16">
        <f>F8*$D8</f>
        <v>7200</v>
      </c>
      <c r="L8" s="16">
        <f>G8*$D8</f>
        <v>10800</v>
      </c>
      <c r="M8" s="16">
        <f t="shared" ref="M8:N18" si="2">H8*$D8</f>
        <v>0</v>
      </c>
      <c r="N8" s="16">
        <f>I8*$D8</f>
        <v>0</v>
      </c>
    </row>
    <row r="9" spans="2:14" x14ac:dyDescent="0.25">
      <c r="C9" s="15" t="s">
        <v>3</v>
      </c>
      <c r="D9" s="16">
        <f>SUM(Calcs!D10:H10)</f>
        <v>8100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1620</v>
      </c>
      <c r="L9" s="16">
        <f t="shared" ref="L9:L17" si="4">G9*$D9</f>
        <v>6480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1200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120</v>
      </c>
      <c r="L10" s="18">
        <f t="shared" si="4"/>
        <v>1080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4800</v>
      </c>
      <c r="E11" s="3"/>
      <c r="F11" s="80">
        <v>0.45</v>
      </c>
      <c r="G11" s="80">
        <v>0.45</v>
      </c>
      <c r="H11" s="37">
        <v>0</v>
      </c>
      <c r="I11" s="37">
        <v>0.1</v>
      </c>
      <c r="K11" s="18">
        <f t="shared" si="3"/>
        <v>2160</v>
      </c>
      <c r="L11" s="18">
        <f t="shared" si="4"/>
        <v>2160</v>
      </c>
      <c r="M11" s="18">
        <f t="shared" si="2"/>
        <v>0</v>
      </c>
      <c r="N11" s="18">
        <f t="shared" si="2"/>
        <v>480</v>
      </c>
    </row>
    <row r="12" spans="2:14" x14ac:dyDescent="0.25">
      <c r="C12" s="17" t="s">
        <v>33</v>
      </c>
      <c r="D12" s="18">
        <f>SUM(Calcs!D13:H13)</f>
        <v>2400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2160</v>
      </c>
      <c r="L12" s="18">
        <f t="shared" si="4"/>
        <v>240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2400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240</v>
      </c>
      <c r="L13" s="18">
        <f t="shared" si="4"/>
        <v>2160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7200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720</v>
      </c>
      <c r="L14" s="18">
        <f t="shared" si="4"/>
        <v>720</v>
      </c>
      <c r="M14" s="18">
        <f t="shared" si="2"/>
        <v>5760</v>
      </c>
      <c r="N14" s="18">
        <f>I14*$D14</f>
        <v>0</v>
      </c>
    </row>
    <row r="15" spans="2:14" x14ac:dyDescent="0.25">
      <c r="C15" s="17" t="s">
        <v>101</v>
      </c>
      <c r="D15" s="18">
        <f>SUM(Calcs!D16:H16)</f>
        <v>4800</v>
      </c>
      <c r="F15" s="80">
        <v>0.6</v>
      </c>
      <c r="G15" s="80">
        <v>0.4</v>
      </c>
      <c r="H15" s="37">
        <f t="shared" si="1"/>
        <v>0</v>
      </c>
      <c r="I15" s="37">
        <v>0</v>
      </c>
      <c r="K15" s="18">
        <f t="shared" si="3"/>
        <v>2880</v>
      </c>
      <c r="L15" s="18">
        <f t="shared" si="4"/>
        <v>1920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</row>
    <row r="21" spans="2:14" x14ac:dyDescent="0.25">
      <c r="F21" s="11"/>
      <c r="G21" s="11"/>
      <c r="H21" s="11"/>
      <c r="I21" s="11"/>
      <c r="K21" s="9"/>
      <c r="L21" s="9"/>
      <c r="M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>H23*$D23</f>
        <v>0</v>
      </c>
      <c r="N23" s="16">
        <f>I23*$D23</f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7">(1-G24)*F9/SUM(F9,H9)</f>
        <v>9.9999999999999978E-2</v>
      </c>
      <c r="G24" s="36">
        <f t="shared" si="5"/>
        <v>0.9</v>
      </c>
      <c r="H24" s="36">
        <f t="shared" ref="H24:H33" si="8">IF(H9=0, 0,(1-G24)*H9/SUM(F9,H9))</f>
        <v>0</v>
      </c>
      <c r="I24" s="36">
        <f t="shared" ref="I24:I33" si="9">IF(I9=0, 0,(1-G24)*I9/SUM(F9,I9))</f>
        <v>0</v>
      </c>
      <c r="K24" s="29">
        <f t="shared" ref="K24:K33" si="10">F24*$D24</f>
        <v>0</v>
      </c>
      <c r="L24" s="29">
        <f t="shared" si="6"/>
        <v>0</v>
      </c>
      <c r="M24" s="29">
        <f t="shared" ref="M24:N33" si="11">H24*$D24</f>
        <v>0</v>
      </c>
      <c r="N24" s="29">
        <f t="shared" si="11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7"/>
        <v>0</v>
      </c>
      <c r="G25" s="37">
        <f t="shared" si="5"/>
        <v>1</v>
      </c>
      <c r="H25" s="37">
        <f t="shared" si="8"/>
        <v>0</v>
      </c>
      <c r="I25" s="37">
        <f t="shared" si="9"/>
        <v>0</v>
      </c>
      <c r="K25" s="18">
        <f t="shared" si="10"/>
        <v>0</v>
      </c>
      <c r="L25" s="18">
        <f t="shared" si="6"/>
        <v>0</v>
      </c>
      <c r="M25" s="18">
        <f t="shared" si="11"/>
        <v>0</v>
      </c>
      <c r="N25" s="18">
        <f t="shared" si="11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9"/>
        <v>8.1818181818181804E-2</v>
      </c>
      <c r="K26" s="18">
        <f t="shared" si="10"/>
        <v>0</v>
      </c>
      <c r="L26" s="18">
        <f t="shared" si="6"/>
        <v>0</v>
      </c>
      <c r="M26" s="18">
        <f t="shared" si="11"/>
        <v>0</v>
      </c>
      <c r="N26" s="18">
        <f t="shared" si="11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7"/>
        <v>0.8</v>
      </c>
      <c r="G27" s="37">
        <f t="shared" si="5"/>
        <v>0.2</v>
      </c>
      <c r="H27" s="37">
        <f t="shared" si="8"/>
        <v>0</v>
      </c>
      <c r="I27" s="37">
        <f t="shared" si="9"/>
        <v>0</v>
      </c>
      <c r="K27" s="18">
        <f t="shared" si="10"/>
        <v>0</v>
      </c>
      <c r="L27" s="18">
        <f t="shared" si="6"/>
        <v>0</v>
      </c>
      <c r="M27" s="18">
        <f t="shared" si="11"/>
        <v>0</v>
      </c>
      <c r="N27" s="18">
        <f t="shared" si="11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7"/>
        <v>0</v>
      </c>
      <c r="G28" s="37">
        <f t="shared" si="5"/>
        <v>1</v>
      </c>
      <c r="H28" s="37">
        <f t="shared" si="8"/>
        <v>0</v>
      </c>
      <c r="I28" s="37">
        <f t="shared" si="9"/>
        <v>0</v>
      </c>
      <c r="K28" s="18">
        <f t="shared" si="10"/>
        <v>0</v>
      </c>
      <c r="L28" s="18">
        <f t="shared" si="6"/>
        <v>0</v>
      </c>
      <c r="M28" s="18">
        <f t="shared" si="11"/>
        <v>0</v>
      </c>
      <c r="N28" s="18">
        <f t="shared" si="11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7"/>
        <v>8.8888888888888906E-2</v>
      </c>
      <c r="G29" s="37">
        <f t="shared" si="5"/>
        <v>0.2</v>
      </c>
      <c r="H29" s="37">
        <f t="shared" si="8"/>
        <v>0.71111111111111125</v>
      </c>
      <c r="I29" s="37">
        <f t="shared" si="9"/>
        <v>0</v>
      </c>
      <c r="K29" s="18">
        <f t="shared" si="10"/>
        <v>0</v>
      </c>
      <c r="L29" s="18">
        <f t="shared" si="6"/>
        <v>0</v>
      </c>
      <c r="M29" s="18">
        <f t="shared" si="11"/>
        <v>0</v>
      </c>
      <c r="N29" s="18">
        <f t="shared" si="11"/>
        <v>0</v>
      </c>
    </row>
    <row r="30" spans="2:14" x14ac:dyDescent="0.25">
      <c r="C30" s="17" t="s">
        <v>101</v>
      </c>
      <c r="D30" s="18">
        <f>SUM(Calcs!D29:H29)</f>
        <v>0</v>
      </c>
      <c r="F30" s="37">
        <f t="shared" si="7"/>
        <v>0.5</v>
      </c>
      <c r="G30" s="37">
        <f t="shared" si="5"/>
        <v>0.5</v>
      </c>
      <c r="H30" s="37">
        <f t="shared" si="8"/>
        <v>0</v>
      </c>
      <c r="I30" s="37">
        <f t="shared" si="9"/>
        <v>0</v>
      </c>
      <c r="K30" s="18">
        <f t="shared" si="10"/>
        <v>0</v>
      </c>
      <c r="L30" s="18">
        <f t="shared" si="6"/>
        <v>0</v>
      </c>
      <c r="M30" s="18">
        <f t="shared" si="11"/>
        <v>0</v>
      </c>
      <c r="N30" s="18">
        <f t="shared" si="11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7"/>
        <v>0</v>
      </c>
      <c r="G31" s="38">
        <f t="shared" si="5"/>
        <v>1</v>
      </c>
      <c r="H31" s="38">
        <f t="shared" si="8"/>
        <v>0</v>
      </c>
      <c r="I31" s="38">
        <f t="shared" si="9"/>
        <v>0</v>
      </c>
      <c r="K31" s="20">
        <f t="shared" si="10"/>
        <v>0</v>
      </c>
      <c r="L31" s="20">
        <f t="shared" si="6"/>
        <v>0</v>
      </c>
      <c r="M31" s="20">
        <f t="shared" si="11"/>
        <v>0</v>
      </c>
      <c r="N31" s="20">
        <f t="shared" si="11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7"/>
        <v>0</v>
      </c>
      <c r="G32" s="38">
        <f t="shared" si="5"/>
        <v>1</v>
      </c>
      <c r="H32" s="38">
        <f t="shared" si="8"/>
        <v>0</v>
      </c>
      <c r="I32" s="38">
        <f t="shared" si="9"/>
        <v>0</v>
      </c>
      <c r="K32" s="20">
        <f t="shared" si="10"/>
        <v>0</v>
      </c>
      <c r="L32" s="20">
        <f t="shared" si="6"/>
        <v>0</v>
      </c>
      <c r="M32" s="20">
        <f t="shared" si="11"/>
        <v>0</v>
      </c>
      <c r="N32" s="20">
        <f t="shared" si="11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7"/>
        <v>0</v>
      </c>
      <c r="G33" s="36">
        <f t="shared" si="5"/>
        <v>1</v>
      </c>
      <c r="H33" s="36">
        <f t="shared" si="8"/>
        <v>0</v>
      </c>
      <c r="I33" s="36">
        <f t="shared" si="9"/>
        <v>0</v>
      </c>
      <c r="K33" s="29">
        <f t="shared" si="10"/>
        <v>0</v>
      </c>
      <c r="L33" s="29">
        <f t="shared" si="6"/>
        <v>0</v>
      </c>
      <c r="M33" s="29">
        <f t="shared" si="11"/>
        <v>0</v>
      </c>
      <c r="N33" s="29">
        <f t="shared" si="11"/>
        <v>0</v>
      </c>
    </row>
    <row r="34" spans="2:14" x14ac:dyDescent="0.25">
      <c r="F34" s="11"/>
      <c r="G34" s="11"/>
      <c r="H34" s="11"/>
      <c r="I34" s="11"/>
      <c r="K34" s="9"/>
      <c r="L34" s="9"/>
      <c r="M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</row>
    <row r="36" spans="2:14" x14ac:dyDescent="0.25">
      <c r="C36" s="17" t="s">
        <v>17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>H42*$D42</f>
        <v>0</v>
      </c>
      <c r="N42" s="29">
        <f>I42*$D42</f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ref="M43:N45" si="15">H43*$D43</f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>MIN(1,G38+$H$20)</f>
        <v>1</v>
      </c>
      <c r="H44" s="31">
        <f>IFERROR((1-G44)*H38/SUM(F38,H38),0)</f>
        <v>0</v>
      </c>
      <c r="I44" s="31">
        <v>0</v>
      </c>
      <c r="K44" s="20">
        <f t="shared" ref="K44:K45" si="16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ref="G45" si="17">MIN(1,G39+$H$20)</f>
        <v>1</v>
      </c>
      <c r="H45" s="31">
        <f>IFERROR((1-G45)*H39/SUM(F39,H39),0)</f>
        <v>0</v>
      </c>
      <c r="I45" s="31">
        <v>0</v>
      </c>
      <c r="K45" s="20">
        <f t="shared" si="16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</v>
      </c>
      <c r="G48" s="8">
        <f>IFERROR(SUM(L59:L62)/SUM($K$59:$M$62), 0)</f>
        <v>0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0.34969325153374231</v>
      </c>
      <c r="G49" s="3">
        <f>IFERROR(SUM(L8:L48)/SUM($K8:$N48), 0)</f>
        <v>0.52269938650306746</v>
      </c>
      <c r="H49" s="3">
        <f>IFERROR(SUM(M8:M48)/SUM($K8:$N48), 0)</f>
        <v>0.11779141104294479</v>
      </c>
      <c r="I49" s="3">
        <f>1-F49-G49-H49</f>
        <v>9.8159509202454392E-3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K50" s="9"/>
      <c r="L50" s="9"/>
      <c r="M50" s="9"/>
    </row>
    <row r="51" spans="2:14" x14ac:dyDescent="0.25">
      <c r="B51" s="6" t="s">
        <v>61</v>
      </c>
      <c r="D51" s="1">
        <f>SUM(Outputs_External!D29:'Outputs_External'!H29)</f>
        <v>48900</v>
      </c>
      <c r="K51" s="12">
        <f>SUM(K48:K49, K36:K39, K8:K18,K23:K33,K42:K45)</f>
        <v>17100</v>
      </c>
      <c r="L51" s="12">
        <f t="shared" ref="L51" si="18">SUM(L48:L49, L36:L39, L8:L18,L23:L33,L42:L45)</f>
        <v>25560</v>
      </c>
      <c r="M51" s="12">
        <f>SUM(M48:M49, M36:M39, M8:M18,M23:M33,M42:M45)</f>
        <v>5760</v>
      </c>
      <c r="N51" s="12">
        <f>SUM(N48:N49, N36:N39, N8:N18,N23:N33,N42:N45)</f>
        <v>480</v>
      </c>
    </row>
    <row r="52" spans="2:14" x14ac:dyDescent="0.25">
      <c r="C52" s="21" t="s">
        <v>80</v>
      </c>
      <c r="D52" s="23">
        <f>SUM(K51:N51)</f>
        <v>48900</v>
      </c>
      <c r="K52" s="12"/>
      <c r="L52" s="12"/>
      <c r="M52" s="12"/>
    </row>
    <row r="53" spans="2:14" x14ac:dyDescent="0.25">
      <c r="K53" s="9"/>
      <c r="L53" s="9"/>
      <c r="M53" s="9"/>
    </row>
    <row r="54" spans="2:14" x14ac:dyDescent="0.25">
      <c r="B54" s="6" t="s">
        <v>94</v>
      </c>
      <c r="D54" s="1">
        <f>SUM(Outputs_Timeline!S:S)</f>
        <v>61150</v>
      </c>
      <c r="K54" s="12">
        <f>SUM(Outputs_Timeline!T:T)</f>
        <v>26125</v>
      </c>
      <c r="L54" s="12">
        <f>SUM(Outputs_Timeline!U:U)</f>
        <v>28785</v>
      </c>
      <c r="M54" s="12">
        <f>SUM(Outputs_Timeline!V:V)</f>
        <v>5760</v>
      </c>
      <c r="N54" s="12">
        <f>SUM(Outputs_Timeline!W:W)</f>
        <v>480</v>
      </c>
    </row>
    <row r="55" spans="2:14" x14ac:dyDescent="0.25">
      <c r="D55" s="1"/>
      <c r="K55" s="54">
        <f>IFERROR(K54/$D$54, 0)</f>
        <v>0.42722812755519213</v>
      </c>
      <c r="L55" s="54">
        <f>IFERROR(L54/$D$54, 0)</f>
        <v>0.47072771872444807</v>
      </c>
      <c r="M55" s="54">
        <f>IFERROR(M54/$D$54, 0)</f>
        <v>9.4194603434178251E-2</v>
      </c>
      <c r="N55" s="54">
        <f>IFERROR(N54/$D$54, 0)</f>
        <v>7.8495502861815215E-3</v>
      </c>
    </row>
    <row r="57" spans="2:14" x14ac:dyDescent="0.25">
      <c r="K57" s="9"/>
      <c r="L57" s="9"/>
      <c r="M57" s="9"/>
    </row>
    <row r="58" spans="2:14" x14ac:dyDescent="0.25">
      <c r="B58" s="27" t="s">
        <v>75</v>
      </c>
      <c r="C58" s="21"/>
      <c r="D58" s="21"/>
      <c r="E58" s="21"/>
      <c r="F58" s="21"/>
      <c r="G58" s="21"/>
      <c r="H58" s="21"/>
      <c r="I58" s="21"/>
      <c r="J58" s="21"/>
      <c r="K58" s="22"/>
      <c r="L58" s="22"/>
      <c r="M58" s="22"/>
    </row>
    <row r="59" spans="2:14" x14ac:dyDescent="0.25">
      <c r="B59" s="27"/>
      <c r="C59" s="21" t="s">
        <v>17</v>
      </c>
      <c r="D59" s="23">
        <f>SUM(Calcs!D61:H61)+SUM(Calcs!D67:H67)</f>
        <v>0</v>
      </c>
      <c r="E59" s="21"/>
      <c r="F59" s="24">
        <f>F36</f>
        <v>0.9</v>
      </c>
      <c r="G59" s="24">
        <f>G36</f>
        <v>0.1</v>
      </c>
      <c r="H59" s="24">
        <f>H36</f>
        <v>0</v>
      </c>
      <c r="I59" s="24">
        <f>I36</f>
        <v>0</v>
      </c>
      <c r="J59" s="21"/>
      <c r="K59" s="25">
        <f t="shared" ref="K59:N62" si="19">F59*$D59</f>
        <v>0</v>
      </c>
      <c r="L59" s="25">
        <f t="shared" si="19"/>
        <v>0</v>
      </c>
      <c r="M59" s="25">
        <f t="shared" si="19"/>
        <v>0</v>
      </c>
      <c r="N59" s="25">
        <f t="shared" si="19"/>
        <v>0</v>
      </c>
    </row>
    <row r="60" spans="2:14" x14ac:dyDescent="0.25">
      <c r="B60" s="27"/>
      <c r="C60" s="21" t="s">
        <v>18</v>
      </c>
      <c r="D60" s="23">
        <f>SUM(Calcs!D62:H62)+SUM(Calcs!D68:H68)</f>
        <v>0</v>
      </c>
      <c r="E60" s="21"/>
      <c r="F60" s="24">
        <f>IFERROR(SUM(K$37,K$10:K$15,K$43,K$25:K$30)/SUM($K$37:$M$37,$K$10:$M$15,$K$43:$M$43,$K$25:$M$30),0)</f>
        <v>0.37096774193548387</v>
      </c>
      <c r="G60" s="24">
        <f t="shared" ref="G60" si="20">IFERROR(SUM(L$37,L$10:L$15,L$43,L$25:L$30)/SUM($K$37:$M$37,$K$10:$M$15,$K$43:$M$43,$K$25:$M$30),0)</f>
        <v>0.37096774193548387</v>
      </c>
      <c r="H60" s="24">
        <f>IFERROR(SUM(M$37,M$10:M$15,M$43,M$25:M$30)/SUM($K$37:$N$37,$K$10:$N$15,$K$43:$N$43,$K$25:$N$30),0)</f>
        <v>0.25263157894736843</v>
      </c>
      <c r="I60" s="24">
        <f>IFERROR(SUM(N$37,N$10:N$15,N$43,N$25:N$30)/SUM($K$37:$N$37,$K$10:$N$15,$K$43:$N$43,$K$25:$N$30),0)</f>
        <v>2.1052631578947368E-2</v>
      </c>
      <c r="J60" s="21"/>
      <c r="K60" s="25">
        <f t="shared" si="19"/>
        <v>0</v>
      </c>
      <c r="L60" s="25">
        <f t="shared" si="19"/>
        <v>0</v>
      </c>
      <c r="M60" s="25">
        <f t="shared" si="19"/>
        <v>0</v>
      </c>
      <c r="N60" s="25">
        <f t="shared" si="19"/>
        <v>0</v>
      </c>
    </row>
    <row r="61" spans="2:14" x14ac:dyDescent="0.25">
      <c r="B61" s="27"/>
      <c r="C61" s="21" t="s">
        <v>19</v>
      </c>
      <c r="D61" s="23">
        <f>SUM(Calcs!D63:H63)+SUM(Calcs!D69:H69)</f>
        <v>0</v>
      </c>
      <c r="E61" s="21"/>
      <c r="F61" s="24">
        <f>IFERROR(SUM(K38,K16:K18,K44,K31:K33)/SUM($K$38:$M$38,$K$16:$M$18,$K$44:$M$44,$K$31:$M$33),0)</f>
        <v>0</v>
      </c>
      <c r="G61" s="24">
        <f>IFERROR(SUM(L38,L16:L18,L44,L31:L33)/SUM($K$38:$M$38,$K$16:$M$18,$K$44:$M$44,$K$31:$M$33),0)</f>
        <v>0</v>
      </c>
      <c r="H61" s="24">
        <f>IFERROR(SUM(M38,M16:M18,M44,M31:M33)/SUM($K$38:$N$38,$K$16:$N$18,$K$44:$N$44,$K$31:$N$33),0)</f>
        <v>0</v>
      </c>
      <c r="I61" s="24">
        <f>IFERROR(SUM(N38,N16:N18,N44,N31:N33)/SUM($K$38:$N$38,$K$16:$N$18,$K$44:$N$44,$K$31:$N$33),0)</f>
        <v>0</v>
      </c>
      <c r="J61" s="21"/>
      <c r="K61" s="25">
        <f t="shared" si="19"/>
        <v>0</v>
      </c>
      <c r="L61" s="25">
        <f t="shared" si="19"/>
        <v>0</v>
      </c>
      <c r="M61" s="25">
        <f t="shared" si="19"/>
        <v>0</v>
      </c>
      <c r="N61" s="25">
        <f t="shared" si="19"/>
        <v>0</v>
      </c>
    </row>
    <row r="62" spans="2:14" x14ac:dyDescent="0.25">
      <c r="B62" s="27"/>
      <c r="C62" s="21" t="s">
        <v>20</v>
      </c>
      <c r="D62" s="23">
        <f>SUM(Calcs!D64:H64)+SUM(Calcs!D70:H70)</f>
        <v>0</v>
      </c>
      <c r="E62" s="21"/>
      <c r="F62" s="24">
        <f>F39</f>
        <v>0.1</v>
      </c>
      <c r="G62" s="24">
        <f>G39</f>
        <v>0.9</v>
      </c>
      <c r="H62" s="24">
        <f>H39</f>
        <v>0</v>
      </c>
      <c r="I62" s="24">
        <f>I39</f>
        <v>0</v>
      </c>
      <c r="J62" s="21"/>
      <c r="K62" s="25">
        <f t="shared" si="19"/>
        <v>0</v>
      </c>
      <c r="L62" s="25">
        <f t="shared" si="19"/>
        <v>0</v>
      </c>
      <c r="M62" s="25">
        <f t="shared" si="19"/>
        <v>0</v>
      </c>
      <c r="N62" s="25">
        <f t="shared" si="19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9" sqref="M9:M20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5" width="8.7109375" style="67"/>
    <col min="16" max="16" width="11.85546875" style="67" bestFit="1" customWidth="1"/>
    <col min="17" max="17" width="14.85546875" style="67" bestFit="1" customWidth="1"/>
    <col min="18" max="18" width="3.5703125" customWidth="1"/>
    <col min="22" max="23" width="14.85546875" bestFit="1" customWidth="1"/>
  </cols>
  <sheetData>
    <row r="1" spans="2:23" x14ac:dyDescent="0.25">
      <c r="F1" s="69">
        <f>COUNTIF(F3:F94,"&gt;0")</f>
        <v>12</v>
      </c>
      <c r="H1" s="65" t="s">
        <v>86</v>
      </c>
      <c r="I1" s="65"/>
      <c r="J1" s="65"/>
      <c r="K1" s="65"/>
      <c r="M1" s="65" t="s">
        <v>91</v>
      </c>
      <c r="N1" s="65"/>
      <c r="O1" s="65"/>
      <c r="P1" s="65"/>
      <c r="Q1" s="65"/>
      <c r="S1" s="65" t="s">
        <v>93</v>
      </c>
      <c r="T1" s="65"/>
      <c r="U1" s="65"/>
      <c r="V1" s="65"/>
    </row>
    <row r="2" spans="2:23" x14ac:dyDescent="0.25">
      <c r="B2" s="63" t="s">
        <v>85</v>
      </c>
      <c r="C2" s="63"/>
      <c r="D2" s="63" t="s">
        <v>90</v>
      </c>
      <c r="E2" s="63" t="s">
        <v>95</v>
      </c>
      <c r="F2" s="63" t="s">
        <v>92</v>
      </c>
      <c r="G2" s="63"/>
      <c r="H2" s="66" t="s">
        <v>87</v>
      </c>
      <c r="I2" s="66" t="s">
        <v>88</v>
      </c>
      <c r="J2" s="66" t="s">
        <v>63</v>
      </c>
      <c r="K2" s="66" t="s">
        <v>89</v>
      </c>
      <c r="M2" s="66" t="s">
        <v>87</v>
      </c>
      <c r="N2" s="66" t="s">
        <v>88</v>
      </c>
      <c r="O2" s="66" t="s">
        <v>63</v>
      </c>
      <c r="P2" s="66" t="s">
        <v>103</v>
      </c>
      <c r="Q2" s="66" t="s">
        <v>102</v>
      </c>
      <c r="S2" s="66" t="s">
        <v>87</v>
      </c>
      <c r="T2" s="66" t="s">
        <v>88</v>
      </c>
      <c r="U2" s="66" t="s">
        <v>63</v>
      </c>
      <c r="V2" s="66" t="s">
        <v>103</v>
      </c>
      <c r="W2" s="66" t="s">
        <v>102</v>
      </c>
    </row>
    <row r="3" spans="2:23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IF($B3=Inputs!$C$1,SUM(Outputs_Internal!K$4, Outputs_Internal!K$5),0)*$D3</f>
        <v>0</v>
      </c>
      <c r="J3" s="67">
        <f>IF($B3=Inputs!$C$1,SUM(Outputs_Internal!L$4, Outputs_Internal!L$5),0)*$D3</f>
        <v>0</v>
      </c>
      <c r="K3" s="67">
        <f>IF($B3=Inputs!$C$1,SUM(Outputs_Internal!M$4, Outputs_Internal!$M$5),0)*$D3</f>
        <v>0</v>
      </c>
      <c r="M3" s="67">
        <f>$F3*Outputs_Internal!$D$51/12</f>
        <v>0</v>
      </c>
      <c r="N3" s="67">
        <f>$F3*Outputs_Internal!K$51/12</f>
        <v>0</v>
      </c>
      <c r="O3" s="67">
        <f>$F3*Outputs_Internal!L$51/12</f>
        <v>0</v>
      </c>
      <c r="P3" s="67">
        <f>$F3*Outputs_Internal!M$51/12</f>
        <v>0</v>
      </c>
      <c r="Q3" s="67">
        <f>$F3*Outputs_Internal!N$51/12</f>
        <v>0</v>
      </c>
      <c r="S3" s="67"/>
      <c r="T3" s="67"/>
      <c r="U3" s="67"/>
      <c r="V3" s="67"/>
    </row>
    <row r="4" spans="2:23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IF($B4=Inputs!$C$1,SUM(Outputs_Internal!K$4, Outputs_Internal!K$5),0)*$D4</f>
        <v>0</v>
      </c>
      <c r="J4" s="67">
        <f>IF($B4=Inputs!$C$1,SUM(Outputs_Internal!L$4, Outputs_Internal!L$5),0)*$D4</f>
        <v>0</v>
      </c>
      <c r="K4" s="67">
        <f>IF($B4=Inputs!$C$1,SUM(Outputs_Internal!M$4, Outputs_Internal!$M$5),0)*$D4</f>
        <v>0</v>
      </c>
      <c r="M4" s="67">
        <f>$F4*Outputs_Internal!$D$51/12</f>
        <v>0</v>
      </c>
      <c r="N4" s="67">
        <f>$F4*Outputs_Internal!K$51/12</f>
        <v>0</v>
      </c>
      <c r="O4" s="67">
        <f>$F4*Outputs_Internal!L$51/12</f>
        <v>0</v>
      </c>
      <c r="P4" s="67">
        <f>$F4*Outputs_Internal!M$51/12</f>
        <v>0</v>
      </c>
      <c r="Q4" s="67">
        <f>$F4*Outputs_Internal!N$51/12</f>
        <v>0</v>
      </c>
    </row>
    <row r="5" spans="2:23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0</v>
      </c>
      <c r="H5" s="67">
        <f>IF($B5=Inputs!$C$1,SUM(Outputs_Internal!$D$4, Outputs_Internal!$D$5),0)*$D5</f>
        <v>0</v>
      </c>
      <c r="I5" s="67">
        <f>IF($B5=Inputs!$C$1,SUM(Outputs_Internal!K$4, Outputs_Internal!K$5),0)*$D5</f>
        <v>0</v>
      </c>
      <c r="J5" s="67">
        <f>IF($B5=Inputs!$C$1,SUM(Outputs_Internal!L$4, Outputs_Internal!L$5),0)*$D5</f>
        <v>0</v>
      </c>
      <c r="K5" s="67">
        <f>IF($B5=Inputs!$C$1,SUM(Outputs_Internal!M$4, Outputs_Internal!$M$5),0)*$D5</f>
        <v>0</v>
      </c>
      <c r="M5" s="67">
        <f>$F5*Outputs_Internal!$D$51/12</f>
        <v>0</v>
      </c>
      <c r="N5" s="67">
        <f>$F5*Outputs_Internal!K$51/12</f>
        <v>0</v>
      </c>
      <c r="O5" s="67">
        <f>$F5*Outputs_Internal!L$51/12</f>
        <v>0</v>
      </c>
      <c r="P5" s="67">
        <f>$F5*Outputs_Internal!M$51/12</f>
        <v>0</v>
      </c>
      <c r="Q5" s="67">
        <f>$F5*Outputs_Internal!N$51/12</f>
        <v>0</v>
      </c>
      <c r="S5" s="67">
        <f>IF(MOD(MONTH($B5),3)=0,SUM(H3:H5,M3:M5),0)</f>
        <v>0</v>
      </c>
      <c r="T5" s="67">
        <f>IF(MOD(MONTH($B5),3)=0,SUM(I3:I5,N3:N5),0)</f>
        <v>0</v>
      </c>
      <c r="U5" s="67">
        <f>IF(MOD(MONTH($B5),3)=0,SUM(J3:J5,O3:O5),0)</f>
        <v>0</v>
      </c>
      <c r="V5" s="67">
        <f>IF(MOD(MONTH($B5),3)=0,SUM(K3:K5,P3:P5),0)</f>
        <v>0</v>
      </c>
      <c r="W5" s="67">
        <f>IF(MOD(MONTH($B5),3)=0,SUM(L3:L5,Q3:Q5),0)</f>
        <v>0</v>
      </c>
    </row>
    <row r="6" spans="2:23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0</v>
      </c>
      <c r="H6" s="67">
        <f>IF($B6=Inputs!$C$1,SUM(Outputs_Internal!$D$4, Outputs_Internal!$D$5),0)*$D6</f>
        <v>0</v>
      </c>
      <c r="I6" s="67">
        <f>IF($B6=Inputs!$C$1,SUM(Outputs_Internal!K$4, Outputs_Internal!K$5),0)*$D6</f>
        <v>0</v>
      </c>
      <c r="J6" s="67">
        <f>IF($B6=Inputs!$C$1,SUM(Outputs_Internal!L$4, Outputs_Internal!L$5),0)*$D6</f>
        <v>0</v>
      </c>
      <c r="K6" s="67">
        <f>IF($B6=Inputs!$C$1,SUM(Outputs_Internal!M$4, Outputs_Internal!$M$5),0)*$D6</f>
        <v>0</v>
      </c>
      <c r="M6" s="67">
        <f>$F6*Outputs_Internal!$D$51/12</f>
        <v>0</v>
      </c>
      <c r="N6" s="67">
        <f>$F6*Outputs_Internal!K$51/12</f>
        <v>0</v>
      </c>
      <c r="O6" s="67">
        <f>$F6*Outputs_Internal!L$51/12</f>
        <v>0</v>
      </c>
      <c r="P6" s="67">
        <f>$F6*Outputs_Internal!M$51/12</f>
        <v>0</v>
      </c>
      <c r="Q6" s="67">
        <f>$F6*Outputs_Internal!N$51/12</f>
        <v>0</v>
      </c>
      <c r="S6" s="67">
        <f t="shared" ref="S6:S69" si="1">IF(MOD(MONTH($B6),3)=0,SUM(H4:H6,M4:M6),0)</f>
        <v>0</v>
      </c>
      <c r="T6" s="67">
        <f t="shared" ref="T6:T69" si="2">IF(MOD(MONTH($B6),3)=0,SUM(I4:I6,N4:N6),0)</f>
        <v>0</v>
      </c>
      <c r="U6" s="67">
        <f t="shared" ref="U6:U69" si="3">IF(MOD(MONTH($B6),3)=0,SUM(J4:J6,O4:O6),0)</f>
        <v>0</v>
      </c>
      <c r="V6" s="67">
        <f t="shared" ref="V6:V69" si="4">IF(MOD(MONTH($B6),3)=0,SUM(K4:K6,P4:P6),0)</f>
        <v>0</v>
      </c>
      <c r="W6" s="67">
        <f t="shared" ref="W6:W69" si="5">IF(MOD(MONTH($B6),3)=0,SUM(L4:L6,Q4:Q6),0)</f>
        <v>0</v>
      </c>
    </row>
    <row r="7" spans="2:23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0</v>
      </c>
      <c r="H7" s="67">
        <f>IF($B7=Inputs!$C$1,SUM(Outputs_Internal!$D$4, Outputs_Internal!$D$5),0)*$D7</f>
        <v>0</v>
      </c>
      <c r="I7" s="67">
        <f>IF($B7=Inputs!$C$1,SUM(Outputs_Internal!K$4, Outputs_Internal!K$5),0)*$D7</f>
        <v>0</v>
      </c>
      <c r="J7" s="67">
        <f>IF($B7=Inputs!$C$1,SUM(Outputs_Internal!L$4, Outputs_Internal!L$5),0)*$D7</f>
        <v>0</v>
      </c>
      <c r="K7" s="67">
        <f>IF($B7=Inputs!$C$1,SUM(Outputs_Internal!M$4, Outputs_Internal!$M$5),0)*$D7</f>
        <v>0</v>
      </c>
      <c r="M7" s="67">
        <f>$F7*Outputs_Internal!$D$51/12</f>
        <v>0</v>
      </c>
      <c r="N7" s="67">
        <f>$F7*Outputs_Internal!K$51/12</f>
        <v>0</v>
      </c>
      <c r="O7" s="67">
        <f>$F7*Outputs_Internal!L$51/12</f>
        <v>0</v>
      </c>
      <c r="P7" s="67">
        <f>$F7*Outputs_Internal!M$51/12</f>
        <v>0</v>
      </c>
      <c r="Q7" s="67">
        <f>$F7*Outputs_Internal!N$51/12</f>
        <v>0</v>
      </c>
      <c r="S7" s="67">
        <f t="shared" si="1"/>
        <v>0</v>
      </c>
      <c r="T7" s="67">
        <f t="shared" si="2"/>
        <v>0</v>
      </c>
      <c r="U7" s="67">
        <f t="shared" si="3"/>
        <v>0</v>
      </c>
      <c r="V7" s="67">
        <f t="shared" si="4"/>
        <v>0</v>
      </c>
      <c r="W7" s="67">
        <f t="shared" si="5"/>
        <v>0</v>
      </c>
    </row>
    <row r="8" spans="2:23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0</v>
      </c>
      <c r="H8" s="67">
        <f>IF($B8=Inputs!$C$1,SUM(Outputs_Internal!$D$4, Outputs_Internal!$D$5),0)*$D8</f>
        <v>0</v>
      </c>
      <c r="I8" s="67">
        <f>IF($B8=Inputs!$C$1,SUM(Outputs_Internal!K$4, Outputs_Internal!K$5),0)*$D8</f>
        <v>0</v>
      </c>
      <c r="J8" s="67">
        <f>IF($B8=Inputs!$C$1,SUM(Outputs_Internal!L$4, Outputs_Internal!L$5),0)*$D8</f>
        <v>0</v>
      </c>
      <c r="K8" s="67">
        <f>IF($B8=Inputs!$C$1,SUM(Outputs_Internal!M$4, Outputs_Internal!$M$5),0)*$D8</f>
        <v>0</v>
      </c>
      <c r="M8" s="67">
        <f>$F8*Outputs_Internal!$D$51/12</f>
        <v>0</v>
      </c>
      <c r="N8" s="67">
        <f>$F8*Outputs_Internal!K$51/12</f>
        <v>0</v>
      </c>
      <c r="O8" s="67">
        <f>$F8*Outputs_Internal!L$51/12</f>
        <v>0</v>
      </c>
      <c r="P8" s="67">
        <f>$F8*Outputs_Internal!M$51/12</f>
        <v>0</v>
      </c>
      <c r="Q8" s="67">
        <f>$F8*Outputs_Internal!N$51/12</f>
        <v>0</v>
      </c>
      <c r="S8" s="67">
        <f t="shared" si="1"/>
        <v>0</v>
      </c>
      <c r="T8" s="67">
        <f t="shared" si="2"/>
        <v>0</v>
      </c>
      <c r="U8" s="67">
        <f t="shared" si="3"/>
        <v>0</v>
      </c>
      <c r="V8" s="67">
        <f t="shared" si="4"/>
        <v>0</v>
      </c>
      <c r="W8" s="67">
        <f t="shared" si="5"/>
        <v>0</v>
      </c>
    </row>
    <row r="9" spans="2:23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1</v>
      </c>
      <c r="H9" s="67">
        <f>IF($B9=Inputs!$C$1,SUM(Outputs_Internal!$D$4, Outputs_Internal!$D$5),0)*$D9</f>
        <v>5000</v>
      </c>
      <c r="I9" s="67">
        <f>IF($B9=Inputs!$C$1,SUM(Outputs_Internal!K$4, Outputs_Internal!K$5),0)*$D9</f>
        <v>2500</v>
      </c>
      <c r="J9" s="67">
        <f>IF($B9=Inputs!$C$1,SUM(Outputs_Internal!L$4, Outputs_Internal!L$5),0)*$D9</f>
        <v>2500</v>
      </c>
      <c r="K9" s="67">
        <f>IF($B9=Inputs!$C$1,SUM(Outputs_Internal!M$4, Outputs_Internal!$M$5),0)*$D9</f>
        <v>0</v>
      </c>
      <c r="M9" s="67">
        <f>$F9*Outputs_Internal!$D$51/12+(7250/12)</f>
        <v>4679.166666666667</v>
      </c>
      <c r="N9" s="67">
        <f>$F9*Outputs_Internal!K$51/12+(6525/12)</f>
        <v>1968.75</v>
      </c>
      <c r="O9" s="67">
        <f>$F9*Outputs_Internal!L$51/12+(725/12)</f>
        <v>2190.4166666666665</v>
      </c>
      <c r="P9" s="67">
        <f>$F9*Outputs_Internal!M$51/12</f>
        <v>480</v>
      </c>
      <c r="Q9" s="67">
        <f>$F9*Outputs_Internal!N$51/12</f>
        <v>40</v>
      </c>
      <c r="S9" s="67">
        <f t="shared" si="1"/>
        <v>0</v>
      </c>
      <c r="T9" s="67">
        <f t="shared" si="2"/>
        <v>0</v>
      </c>
      <c r="U9" s="67">
        <f t="shared" si="3"/>
        <v>0</v>
      </c>
      <c r="V9" s="67">
        <f t="shared" si="4"/>
        <v>0</v>
      </c>
      <c r="W9" s="67">
        <f t="shared" si="5"/>
        <v>0</v>
      </c>
    </row>
    <row r="10" spans="2:23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1</v>
      </c>
      <c r="H10" s="67">
        <f>IF($B10=Inputs!$C$1,SUM(Outputs_Internal!$D$4, Outputs_Internal!$D$5),0)*$D10</f>
        <v>0</v>
      </c>
      <c r="I10" s="67">
        <f>IF($B10=Inputs!$C$1,SUM(Outputs_Internal!K$4, Outputs_Internal!K$5),0)*$D10</f>
        <v>0</v>
      </c>
      <c r="J10" s="67">
        <f>IF($B10=Inputs!$C$1,SUM(Outputs_Internal!L$4, Outputs_Internal!L$5),0)*$D10</f>
        <v>0</v>
      </c>
      <c r="K10" s="67">
        <f>IF($B10=Inputs!$C$1,SUM(Outputs_Internal!M$4, Outputs_Internal!$M$5),0)*$D10</f>
        <v>0</v>
      </c>
      <c r="M10" s="67">
        <f>$F10*Outputs_Internal!$D$51/12+(7250/12)</f>
        <v>4679.166666666667</v>
      </c>
      <c r="N10" s="67">
        <f>$F10*Outputs_Internal!K$51/12+(6525/12)</f>
        <v>1968.75</v>
      </c>
      <c r="O10" s="67">
        <f>$F10*Outputs_Internal!L$51/12+(725/12)</f>
        <v>2190.4166666666665</v>
      </c>
      <c r="P10" s="67">
        <f>$F10*Outputs_Internal!M$51/12</f>
        <v>480</v>
      </c>
      <c r="Q10" s="67">
        <f>$F10*Outputs_Internal!N$51/12</f>
        <v>40</v>
      </c>
      <c r="S10" s="67">
        <f t="shared" si="1"/>
        <v>0</v>
      </c>
      <c r="T10" s="67">
        <f t="shared" si="2"/>
        <v>0</v>
      </c>
      <c r="U10" s="67">
        <f t="shared" si="3"/>
        <v>0</v>
      </c>
      <c r="V10" s="67">
        <f t="shared" si="4"/>
        <v>0</v>
      </c>
      <c r="W10" s="67">
        <f t="shared" si="5"/>
        <v>0</v>
      </c>
    </row>
    <row r="11" spans="2:23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1</v>
      </c>
      <c r="H11" s="67">
        <f>IF($B11=Inputs!$C$1,SUM(Outputs_Internal!$D$4, Outputs_Internal!$D$5),0)*$D11</f>
        <v>0</v>
      </c>
      <c r="I11" s="67">
        <f>IF($B11=Inputs!$C$1,SUM(Outputs_Internal!K$4, Outputs_Internal!K$5),0)*$D11</f>
        <v>0</v>
      </c>
      <c r="J11" s="67">
        <f>IF($B11=Inputs!$C$1,SUM(Outputs_Internal!L$4, Outputs_Internal!L$5),0)*$D11</f>
        <v>0</v>
      </c>
      <c r="K11" s="67">
        <f>IF($B11=Inputs!$C$1,SUM(Outputs_Internal!M$4, Outputs_Internal!$M$5),0)*$D11</f>
        <v>0</v>
      </c>
      <c r="M11" s="67">
        <f>$F11*Outputs_Internal!$D$51/12+(7250/12)</f>
        <v>4679.166666666667</v>
      </c>
      <c r="N11" s="67">
        <f>$F11*Outputs_Internal!K$51/12+(6525/12)</f>
        <v>1968.75</v>
      </c>
      <c r="O11" s="67">
        <f>$F11*Outputs_Internal!L$51/12+(725/12)</f>
        <v>2190.4166666666665</v>
      </c>
      <c r="P11" s="67">
        <f>$F11*Outputs_Internal!M$51/12</f>
        <v>480</v>
      </c>
      <c r="Q11" s="67">
        <f>$F11*Outputs_Internal!N$51/12</f>
        <v>40</v>
      </c>
      <c r="S11" s="67">
        <f t="shared" si="1"/>
        <v>19037.500000000004</v>
      </c>
      <c r="T11" s="67">
        <f t="shared" si="2"/>
        <v>8406.25</v>
      </c>
      <c r="U11" s="67">
        <f>IF(MOD(MONTH($B11),3)=0,SUM(J9:J11,O9:O11),0)</f>
        <v>9071.2499999999982</v>
      </c>
      <c r="V11" s="67">
        <f t="shared" si="4"/>
        <v>1440</v>
      </c>
      <c r="W11" s="67">
        <f t="shared" si="5"/>
        <v>120</v>
      </c>
    </row>
    <row r="12" spans="2:23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1</v>
      </c>
      <c r="H12" s="67">
        <f>IF($B12=Inputs!$C$1,SUM(Outputs_Internal!$D$4, Outputs_Internal!$D$5),0)*$D12</f>
        <v>0</v>
      </c>
      <c r="I12" s="67">
        <f>IF($B12=Inputs!$C$1,SUM(Outputs_Internal!K$4, Outputs_Internal!K$5),0)*$D12</f>
        <v>0</v>
      </c>
      <c r="J12" s="67">
        <f>IF($B12=Inputs!$C$1,SUM(Outputs_Internal!L$4, Outputs_Internal!L$5),0)*$D12</f>
        <v>0</v>
      </c>
      <c r="K12" s="67">
        <f>IF($B12=Inputs!$C$1,SUM(Outputs_Internal!M$4, Outputs_Internal!$M$5),0)*$D12</f>
        <v>0</v>
      </c>
      <c r="M12" s="67">
        <f>$F12*Outputs_Internal!$D$51/12+(7250/12)</f>
        <v>4679.166666666667</v>
      </c>
      <c r="N12" s="67">
        <f>$F12*Outputs_Internal!K$51/12+(6525/12)</f>
        <v>1968.75</v>
      </c>
      <c r="O12" s="67">
        <f>$F12*Outputs_Internal!L$51/12+(725/12)</f>
        <v>2190.4166666666665</v>
      </c>
      <c r="P12" s="67">
        <f>$F12*Outputs_Internal!M$51/12</f>
        <v>480</v>
      </c>
      <c r="Q12" s="67">
        <f>$F12*Outputs_Internal!N$51/12</f>
        <v>40</v>
      </c>
      <c r="S12" s="67">
        <f t="shared" si="1"/>
        <v>0</v>
      </c>
      <c r="T12" s="67">
        <f t="shared" si="2"/>
        <v>0</v>
      </c>
      <c r="U12" s="67">
        <f t="shared" si="3"/>
        <v>0</v>
      </c>
      <c r="V12" s="67">
        <f t="shared" si="4"/>
        <v>0</v>
      </c>
      <c r="W12" s="67">
        <f t="shared" si="5"/>
        <v>0</v>
      </c>
    </row>
    <row r="13" spans="2:23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1</v>
      </c>
      <c r="H13" s="67">
        <f>IF($B13=Inputs!$C$1,SUM(Outputs_Internal!$D$4, Outputs_Internal!$D$5),0)*$D13</f>
        <v>0</v>
      </c>
      <c r="I13" s="67">
        <f>IF($B13=Inputs!$C$1,SUM(Outputs_Internal!K$4, Outputs_Internal!K$5),0)*$D13</f>
        <v>0</v>
      </c>
      <c r="J13" s="67">
        <f>IF($B13=Inputs!$C$1,SUM(Outputs_Internal!L$4, Outputs_Internal!L$5),0)*$D13</f>
        <v>0</v>
      </c>
      <c r="K13" s="67">
        <f>IF($B13=Inputs!$C$1,SUM(Outputs_Internal!M$4, Outputs_Internal!$M$5),0)*$D13</f>
        <v>0</v>
      </c>
      <c r="M13" s="67">
        <f>$F13*Outputs_Internal!$D$51/12+(7250/12)</f>
        <v>4679.166666666667</v>
      </c>
      <c r="N13" s="67">
        <f>$F13*Outputs_Internal!K$51/12+(6525/12)</f>
        <v>1968.75</v>
      </c>
      <c r="O13" s="67">
        <f>$F13*Outputs_Internal!L$51/12+(725/12)</f>
        <v>2190.4166666666665</v>
      </c>
      <c r="P13" s="67">
        <f>$F13*Outputs_Internal!M$51/12</f>
        <v>480</v>
      </c>
      <c r="Q13" s="67">
        <f>$F13*Outputs_Internal!N$51/12</f>
        <v>40</v>
      </c>
      <c r="S13" s="67">
        <f t="shared" si="1"/>
        <v>0</v>
      </c>
      <c r="T13" s="67">
        <f t="shared" si="2"/>
        <v>0</v>
      </c>
      <c r="U13" s="67">
        <f t="shared" si="3"/>
        <v>0</v>
      </c>
      <c r="V13" s="67">
        <f t="shared" si="4"/>
        <v>0</v>
      </c>
      <c r="W13" s="67">
        <f t="shared" si="5"/>
        <v>0</v>
      </c>
    </row>
    <row r="14" spans="2:23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1</v>
      </c>
      <c r="H14" s="67">
        <f>IF($B14=Inputs!$C$1,SUM(Outputs_Internal!$D$4, Outputs_Internal!$D$5),0)*$D14</f>
        <v>0</v>
      </c>
      <c r="I14" s="67">
        <f>IF($B14=Inputs!$C$1,SUM(Outputs_Internal!K$4, Outputs_Internal!K$5),0)*$D14</f>
        <v>0</v>
      </c>
      <c r="J14" s="67">
        <f>IF($B14=Inputs!$C$1,SUM(Outputs_Internal!L$4, Outputs_Internal!L$5),0)*$D14</f>
        <v>0</v>
      </c>
      <c r="K14" s="67">
        <f>IF($B14=Inputs!$C$1,SUM(Outputs_Internal!M$4, Outputs_Internal!$M$5),0)*$D14</f>
        <v>0</v>
      </c>
      <c r="M14" s="67">
        <f>$F14*Outputs_Internal!$D$51/12+(7250/12)</f>
        <v>4679.166666666667</v>
      </c>
      <c r="N14" s="67">
        <f>$F14*Outputs_Internal!K$51/12+(6525/12)</f>
        <v>1968.75</v>
      </c>
      <c r="O14" s="67">
        <f>$F14*Outputs_Internal!L$51/12+(725/12)</f>
        <v>2190.4166666666665</v>
      </c>
      <c r="P14" s="67">
        <f>$F14*Outputs_Internal!M$51/12</f>
        <v>480</v>
      </c>
      <c r="Q14" s="67">
        <f>$F14*Outputs_Internal!N$51/12</f>
        <v>40</v>
      </c>
      <c r="S14" s="67">
        <f t="shared" si="1"/>
        <v>14037.5</v>
      </c>
      <c r="T14" s="67">
        <f t="shared" si="2"/>
        <v>5906.25</v>
      </c>
      <c r="U14" s="67">
        <f t="shared" si="3"/>
        <v>6571.25</v>
      </c>
      <c r="V14" s="67">
        <f t="shared" si="4"/>
        <v>1440</v>
      </c>
      <c r="W14" s="67">
        <f t="shared" si="5"/>
        <v>120</v>
      </c>
    </row>
    <row r="15" spans="2:23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0</v>
      </c>
      <c r="I15" s="67">
        <f>IF($B15=Inputs!$C$1,SUM(Outputs_Internal!K$4, Outputs_Internal!K$5),0)*$D15</f>
        <v>0</v>
      </c>
      <c r="J15" s="67">
        <f>IF($B15=Inputs!$C$1,SUM(Outputs_Internal!L$4, Outputs_Internal!L$5),0)*$D15</f>
        <v>0</v>
      </c>
      <c r="K15" s="67">
        <f>IF($B15=Inputs!$C$1,SUM(Outputs_Internal!M$4, Outputs_Internal!$M$5),0)*$D15</f>
        <v>0</v>
      </c>
      <c r="M15" s="67">
        <f>$F15*Outputs_Internal!$D$51/12+(7250/12)</f>
        <v>4679.166666666667</v>
      </c>
      <c r="N15" s="67">
        <f>$F15*Outputs_Internal!K$51/12+(6525/12)</f>
        <v>1968.75</v>
      </c>
      <c r="O15" s="67">
        <f>$F15*Outputs_Internal!L$51/12+(725/12)</f>
        <v>2190.4166666666665</v>
      </c>
      <c r="P15" s="67">
        <f>$F15*Outputs_Internal!M$51/12</f>
        <v>480</v>
      </c>
      <c r="Q15" s="67">
        <f>$F15*Outputs_Internal!N$51/12</f>
        <v>40</v>
      </c>
      <c r="S15" s="67">
        <f t="shared" si="1"/>
        <v>0</v>
      </c>
      <c r="T15" s="67">
        <f t="shared" si="2"/>
        <v>0</v>
      </c>
      <c r="U15" s="67">
        <f t="shared" si="3"/>
        <v>0</v>
      </c>
      <c r="V15" s="67">
        <f t="shared" si="4"/>
        <v>0</v>
      </c>
      <c r="W15" s="67">
        <f t="shared" si="5"/>
        <v>0</v>
      </c>
    </row>
    <row r="16" spans="2:23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IF($B16=Inputs!$C$1,SUM(Outputs_Internal!K$4, Outputs_Internal!K$5),0)*$D16</f>
        <v>0</v>
      </c>
      <c r="J16" s="67">
        <f>IF($B16=Inputs!$C$1,SUM(Outputs_Internal!L$4, Outputs_Internal!L$5),0)*$D16</f>
        <v>0</v>
      </c>
      <c r="K16" s="67">
        <f>IF($B16=Inputs!$C$1,SUM(Outputs_Internal!M$4, Outputs_Internal!$M$5),0)*$D16</f>
        <v>0</v>
      </c>
      <c r="M16" s="67">
        <f>$F16*Outputs_Internal!$D$51/12+(7250/12)</f>
        <v>4679.166666666667</v>
      </c>
      <c r="N16" s="67">
        <f>$F16*Outputs_Internal!K$51/12+(6525/12)</f>
        <v>1968.75</v>
      </c>
      <c r="O16" s="67">
        <f>$F16*Outputs_Internal!L$51/12+(725/12)</f>
        <v>2190.4166666666665</v>
      </c>
      <c r="P16" s="67">
        <f>$F16*Outputs_Internal!M$51/12</f>
        <v>480</v>
      </c>
      <c r="Q16" s="67">
        <f>$F16*Outputs_Internal!N$51/12</f>
        <v>40</v>
      </c>
      <c r="S16" s="67">
        <f t="shared" si="1"/>
        <v>0</v>
      </c>
      <c r="T16" s="67">
        <f t="shared" si="2"/>
        <v>0</v>
      </c>
      <c r="U16" s="67">
        <f t="shared" si="3"/>
        <v>0</v>
      </c>
      <c r="V16" s="67">
        <f t="shared" si="4"/>
        <v>0</v>
      </c>
      <c r="W16" s="67">
        <f t="shared" si="5"/>
        <v>0</v>
      </c>
    </row>
    <row r="17" spans="2:23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IF($B17=Inputs!$C$1,SUM(Outputs_Internal!K$4, Outputs_Internal!K$5),0)*$D17</f>
        <v>0</v>
      </c>
      <c r="J17" s="67">
        <f>IF($B17=Inputs!$C$1,SUM(Outputs_Internal!L$4, Outputs_Internal!L$5),0)*$D17</f>
        <v>0</v>
      </c>
      <c r="K17" s="67">
        <f>IF($B17=Inputs!$C$1,SUM(Outputs_Internal!M$4, Outputs_Internal!$M$5),0)*$D17</f>
        <v>0</v>
      </c>
      <c r="M17" s="67">
        <f>$F17*Outputs_Internal!$D$51/12+(7250/12)</f>
        <v>4679.166666666667</v>
      </c>
      <c r="N17" s="67">
        <f>$F17*Outputs_Internal!K$51/12+(6525/12)</f>
        <v>1968.75</v>
      </c>
      <c r="O17" s="67">
        <f>$F17*Outputs_Internal!L$51/12+(725/12)</f>
        <v>2190.4166666666665</v>
      </c>
      <c r="P17" s="67">
        <f>$F17*Outputs_Internal!M$51/12</f>
        <v>480</v>
      </c>
      <c r="Q17" s="67">
        <f>$F17*Outputs_Internal!N$51/12</f>
        <v>40</v>
      </c>
      <c r="S17" s="67">
        <f t="shared" si="1"/>
        <v>14037.5</v>
      </c>
      <c r="T17" s="67">
        <f t="shared" si="2"/>
        <v>5906.25</v>
      </c>
      <c r="U17" s="67">
        <f t="shared" si="3"/>
        <v>6571.25</v>
      </c>
      <c r="V17" s="67">
        <f t="shared" si="4"/>
        <v>1440</v>
      </c>
      <c r="W17" s="67">
        <f t="shared" si="5"/>
        <v>120</v>
      </c>
    </row>
    <row r="18" spans="2:23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IF($B18=Inputs!$C$1,SUM(Outputs_Internal!K$4, Outputs_Internal!K$5),0)*$D18</f>
        <v>0</v>
      </c>
      <c r="J18" s="67">
        <f>IF($B18=Inputs!$C$1,SUM(Outputs_Internal!L$4, Outputs_Internal!L$5),0)*$D18</f>
        <v>0</v>
      </c>
      <c r="K18" s="67">
        <f>IF($B18=Inputs!$C$1,SUM(Outputs_Internal!M$4, Outputs_Internal!$M$5),0)*$D18</f>
        <v>0</v>
      </c>
      <c r="M18" s="67">
        <f>$F18*Outputs_Internal!$D$51/12+(7250/12)</f>
        <v>4679.166666666667</v>
      </c>
      <c r="N18" s="67">
        <f>$F18*Outputs_Internal!K$51/12+(6525/12)</f>
        <v>1968.75</v>
      </c>
      <c r="O18" s="67">
        <f>$F18*Outputs_Internal!L$51/12+(725/12)</f>
        <v>2190.4166666666665</v>
      </c>
      <c r="P18" s="67">
        <f>$F18*Outputs_Internal!M$51/12</f>
        <v>480</v>
      </c>
      <c r="Q18" s="67">
        <f>$F18*Outputs_Internal!N$51/12</f>
        <v>40</v>
      </c>
      <c r="S18" s="67">
        <f t="shared" si="1"/>
        <v>0</v>
      </c>
      <c r="T18" s="67">
        <f t="shared" si="2"/>
        <v>0</v>
      </c>
      <c r="U18" s="67">
        <f t="shared" si="3"/>
        <v>0</v>
      </c>
      <c r="V18" s="67">
        <f t="shared" si="4"/>
        <v>0</v>
      </c>
      <c r="W18" s="67">
        <f t="shared" si="5"/>
        <v>0</v>
      </c>
    </row>
    <row r="19" spans="2:23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IF($B19=Inputs!$C$1,SUM(Outputs_Internal!K$4, Outputs_Internal!K$5),0)*$D19</f>
        <v>0</v>
      </c>
      <c r="J19" s="67">
        <f>IF($B19=Inputs!$C$1,SUM(Outputs_Internal!L$4, Outputs_Internal!L$5),0)*$D19</f>
        <v>0</v>
      </c>
      <c r="K19" s="67">
        <f>IF($B19=Inputs!$C$1,SUM(Outputs_Internal!M$4, Outputs_Internal!$M$5),0)*$D19</f>
        <v>0</v>
      </c>
      <c r="M19" s="67">
        <f>$F19*Outputs_Internal!$D$51/12+(7250/12)</f>
        <v>4679.166666666667</v>
      </c>
      <c r="N19" s="67">
        <f>$F19*Outputs_Internal!K$51/12+(6525/12)</f>
        <v>1968.75</v>
      </c>
      <c r="O19" s="67">
        <f>$F19*Outputs_Internal!L$51/12+(725/12)</f>
        <v>2190.4166666666665</v>
      </c>
      <c r="P19" s="67">
        <f>$F19*Outputs_Internal!M$51/12</f>
        <v>480</v>
      </c>
      <c r="Q19" s="67">
        <f>$F19*Outputs_Internal!N$51/12</f>
        <v>40</v>
      </c>
      <c r="S19" s="67">
        <f t="shared" si="1"/>
        <v>0</v>
      </c>
      <c r="T19" s="67">
        <f t="shared" si="2"/>
        <v>0</v>
      </c>
      <c r="U19" s="67">
        <f t="shared" si="3"/>
        <v>0</v>
      </c>
      <c r="V19" s="67">
        <f t="shared" si="4"/>
        <v>0</v>
      </c>
      <c r="W19" s="67">
        <f t="shared" si="5"/>
        <v>0</v>
      </c>
    </row>
    <row r="20" spans="2:23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IF($B20=Inputs!$C$1,SUM(Outputs_Internal!K$4, Outputs_Internal!K$5),0)*$D20</f>
        <v>0</v>
      </c>
      <c r="J20" s="67">
        <f>IF($B20=Inputs!$C$1,SUM(Outputs_Internal!L$4, Outputs_Internal!L$5),0)*$D20</f>
        <v>0</v>
      </c>
      <c r="K20" s="67">
        <f>IF($B20=Inputs!$C$1,SUM(Outputs_Internal!M$4, Outputs_Internal!$M$5),0)*$D20</f>
        <v>0</v>
      </c>
      <c r="M20" s="67">
        <f>$F20*Outputs_Internal!$D$51/12+(7250/12)</f>
        <v>4679.166666666667</v>
      </c>
      <c r="N20" s="67">
        <f>$F20*Outputs_Internal!K$51/12+(6525/12)</f>
        <v>1968.75</v>
      </c>
      <c r="O20" s="67">
        <f>$F20*Outputs_Internal!L$51/12+(725/12)</f>
        <v>2190.4166666666665</v>
      </c>
      <c r="P20" s="67">
        <f>$F20*Outputs_Internal!M$51/12</f>
        <v>480</v>
      </c>
      <c r="Q20" s="67">
        <f>$F20*Outputs_Internal!N$51/12</f>
        <v>40</v>
      </c>
      <c r="S20" s="67">
        <f t="shared" si="1"/>
        <v>14037.5</v>
      </c>
      <c r="T20" s="67">
        <f t="shared" si="2"/>
        <v>5906.25</v>
      </c>
      <c r="U20" s="67">
        <f t="shared" si="3"/>
        <v>6571.25</v>
      </c>
      <c r="V20" s="67">
        <f t="shared" si="4"/>
        <v>1440</v>
      </c>
      <c r="W20" s="67">
        <f t="shared" si="5"/>
        <v>120</v>
      </c>
    </row>
    <row r="21" spans="2:23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0</v>
      </c>
      <c r="H21" s="67">
        <f>IF($B21=Inputs!$C$1,SUM(Outputs_Internal!$D$4, Outputs_Internal!$D$5),0)*$D21</f>
        <v>0</v>
      </c>
      <c r="I21" s="67">
        <f>IF($B21=Inputs!$C$1,SUM(Outputs_Internal!K$4, Outputs_Internal!K$5),0)*$D21</f>
        <v>0</v>
      </c>
      <c r="J21" s="67">
        <f>IF($B21=Inputs!$C$1,SUM(Outputs_Internal!L$4, Outputs_Internal!L$5),0)*$D21</f>
        <v>0</v>
      </c>
      <c r="K21" s="67">
        <f>IF($B21=Inputs!$C$1,SUM(Outputs_Internal!M$4, Outputs_Internal!$M$5),0)*$D21</f>
        <v>0</v>
      </c>
      <c r="M21" s="67">
        <f>$F21*Outputs_Internal!$D$51/12</f>
        <v>0</v>
      </c>
      <c r="N21" s="67">
        <f>$F21*Outputs_Internal!K$51/12</f>
        <v>0</v>
      </c>
      <c r="O21" s="67">
        <f>$F21*Outputs_Internal!L$51/12</f>
        <v>0</v>
      </c>
      <c r="P21" s="67">
        <f>$F21*Outputs_Internal!M$51/12</f>
        <v>0</v>
      </c>
      <c r="Q21" s="67">
        <f>$F21*Outputs_Internal!N$51/12</f>
        <v>0</v>
      </c>
      <c r="S21" s="67">
        <f t="shared" si="1"/>
        <v>0</v>
      </c>
      <c r="T21" s="67">
        <f t="shared" si="2"/>
        <v>0</v>
      </c>
      <c r="U21" s="67">
        <f t="shared" si="3"/>
        <v>0</v>
      </c>
      <c r="V21" s="67">
        <f t="shared" si="4"/>
        <v>0</v>
      </c>
      <c r="W21" s="67">
        <f t="shared" si="5"/>
        <v>0</v>
      </c>
    </row>
    <row r="22" spans="2:23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0</v>
      </c>
      <c r="H22" s="67">
        <f>IF($B22=Inputs!$C$1,SUM(Outputs_Internal!$D$4, Outputs_Internal!$D$5),0)*$D22</f>
        <v>0</v>
      </c>
      <c r="I22" s="67">
        <f>IF($B22=Inputs!$C$1,SUM(Outputs_Internal!K$4, Outputs_Internal!K$5),0)*$D22</f>
        <v>0</v>
      </c>
      <c r="J22" s="67">
        <f>IF($B22=Inputs!$C$1,SUM(Outputs_Internal!L$4, Outputs_Internal!L$5),0)*$D22</f>
        <v>0</v>
      </c>
      <c r="K22" s="67">
        <f>IF($B22=Inputs!$C$1,SUM(Outputs_Internal!M$4, Outputs_Internal!$M$5),0)*$D22</f>
        <v>0</v>
      </c>
      <c r="M22" s="67">
        <f>$F22*Outputs_Internal!$D$51/12</f>
        <v>0</v>
      </c>
      <c r="N22" s="67">
        <f>$F22*Outputs_Internal!K$51/12</f>
        <v>0</v>
      </c>
      <c r="O22" s="67">
        <f>$F22*Outputs_Internal!L$51/12</f>
        <v>0</v>
      </c>
      <c r="P22" s="67">
        <f>$F22*Outputs_Internal!M$51/12</f>
        <v>0</v>
      </c>
      <c r="Q22" s="67">
        <f>$F22*Outputs_Internal!N$51/12</f>
        <v>0</v>
      </c>
      <c r="S22" s="67">
        <f t="shared" si="1"/>
        <v>0</v>
      </c>
      <c r="T22" s="67">
        <f t="shared" si="2"/>
        <v>0</v>
      </c>
      <c r="U22" s="67">
        <f t="shared" si="3"/>
        <v>0</v>
      </c>
      <c r="V22" s="67">
        <f t="shared" si="4"/>
        <v>0</v>
      </c>
      <c r="W22" s="67">
        <f t="shared" si="5"/>
        <v>0</v>
      </c>
    </row>
    <row r="23" spans="2:23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0</v>
      </c>
      <c r="H23" s="67">
        <f>IF($B23=Inputs!$C$1,SUM(Outputs_Internal!$D$4, Outputs_Internal!$D$5),0)*$D23</f>
        <v>0</v>
      </c>
      <c r="I23" s="67">
        <f>IF($B23=Inputs!$C$1,SUM(Outputs_Internal!K$4, Outputs_Internal!K$5),0)*$D23</f>
        <v>0</v>
      </c>
      <c r="J23" s="67">
        <f>IF($B23=Inputs!$C$1,SUM(Outputs_Internal!L$4, Outputs_Internal!L$5),0)*$D23</f>
        <v>0</v>
      </c>
      <c r="K23" s="67">
        <f>IF($B23=Inputs!$C$1,SUM(Outputs_Internal!M$4, Outputs_Internal!$M$5),0)*$D23</f>
        <v>0</v>
      </c>
      <c r="M23" s="67">
        <f>$F23*Outputs_Internal!$D$51/12</f>
        <v>0</v>
      </c>
      <c r="N23" s="67">
        <f>$F23*Outputs_Internal!K$51/12</f>
        <v>0</v>
      </c>
      <c r="O23" s="67">
        <f>$F23*Outputs_Internal!L$51/12</f>
        <v>0</v>
      </c>
      <c r="P23" s="67">
        <f>$F23*Outputs_Internal!M$51/12</f>
        <v>0</v>
      </c>
      <c r="Q23" s="67">
        <f>$F23*Outputs_Internal!N$51/12</f>
        <v>0</v>
      </c>
      <c r="S23" s="67">
        <f t="shared" si="1"/>
        <v>0</v>
      </c>
      <c r="T23" s="67">
        <f t="shared" si="2"/>
        <v>0</v>
      </c>
      <c r="U23" s="67">
        <f t="shared" si="3"/>
        <v>0</v>
      </c>
      <c r="V23" s="67">
        <f t="shared" si="4"/>
        <v>0</v>
      </c>
      <c r="W23" s="67">
        <f t="shared" si="5"/>
        <v>0</v>
      </c>
    </row>
    <row r="24" spans="2:23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0</v>
      </c>
      <c r="H24" s="67">
        <f>IF($B24=Inputs!$C$1,SUM(Outputs_Internal!$D$4, Outputs_Internal!$D$5),0)*$D24</f>
        <v>0</v>
      </c>
      <c r="I24" s="67">
        <f>IF($B24=Inputs!$C$1,SUM(Outputs_Internal!K$4, Outputs_Internal!K$5),0)*$D24</f>
        <v>0</v>
      </c>
      <c r="J24" s="67">
        <f>IF($B24=Inputs!$C$1,SUM(Outputs_Internal!L$4, Outputs_Internal!L$5),0)*$D24</f>
        <v>0</v>
      </c>
      <c r="K24" s="67">
        <f>IF($B24=Inputs!$C$1,SUM(Outputs_Internal!M$4, Outputs_Internal!$M$5),0)*$D24</f>
        <v>0</v>
      </c>
      <c r="M24" s="67">
        <f>$F24*Outputs_Internal!$D$51/12</f>
        <v>0</v>
      </c>
      <c r="N24" s="67">
        <f>$F24*Outputs_Internal!K$51/12</f>
        <v>0</v>
      </c>
      <c r="O24" s="67">
        <f>$F24*Outputs_Internal!L$51/12</f>
        <v>0</v>
      </c>
      <c r="P24" s="67">
        <f>$F24*Outputs_Internal!M$51/12</f>
        <v>0</v>
      </c>
      <c r="Q24" s="67">
        <f>$F24*Outputs_Internal!N$51/12</f>
        <v>0</v>
      </c>
      <c r="S24" s="67">
        <f t="shared" si="1"/>
        <v>0</v>
      </c>
      <c r="T24" s="67">
        <f t="shared" si="2"/>
        <v>0</v>
      </c>
      <c r="U24" s="67">
        <f t="shared" si="3"/>
        <v>0</v>
      </c>
      <c r="V24" s="67">
        <f t="shared" si="4"/>
        <v>0</v>
      </c>
      <c r="W24" s="67">
        <f t="shared" si="5"/>
        <v>0</v>
      </c>
    </row>
    <row r="25" spans="2:23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0</v>
      </c>
      <c r="H25" s="67">
        <f>IF($B25=Inputs!$C$1,SUM(Outputs_Internal!$D$4, Outputs_Internal!$D$5),0)*$D25</f>
        <v>0</v>
      </c>
      <c r="I25" s="67">
        <f>IF($B25=Inputs!$C$1,SUM(Outputs_Internal!K$4, Outputs_Internal!K$5),0)*$D25</f>
        <v>0</v>
      </c>
      <c r="J25" s="67">
        <f>IF($B25=Inputs!$C$1,SUM(Outputs_Internal!L$4, Outputs_Internal!L$5),0)*$D25</f>
        <v>0</v>
      </c>
      <c r="K25" s="67">
        <f>IF($B25=Inputs!$C$1,SUM(Outputs_Internal!M$4, Outputs_Internal!$M$5),0)*$D25</f>
        <v>0</v>
      </c>
      <c r="M25" s="67">
        <f>$F25*Outputs_Internal!$D$51/12</f>
        <v>0</v>
      </c>
      <c r="N25" s="67">
        <f>$F25*Outputs_Internal!K$51/12</f>
        <v>0</v>
      </c>
      <c r="O25" s="67">
        <f>$F25*Outputs_Internal!L$51/12</f>
        <v>0</v>
      </c>
      <c r="P25" s="67">
        <f>$F25*Outputs_Internal!M$51/12</f>
        <v>0</v>
      </c>
      <c r="Q25" s="67">
        <f>$F25*Outputs_Internal!N$51/12</f>
        <v>0</v>
      </c>
      <c r="S25" s="67">
        <f t="shared" si="1"/>
        <v>0</v>
      </c>
      <c r="T25" s="67">
        <f t="shared" si="2"/>
        <v>0</v>
      </c>
      <c r="U25" s="67">
        <f t="shared" si="3"/>
        <v>0</v>
      </c>
      <c r="V25" s="67">
        <f t="shared" si="4"/>
        <v>0</v>
      </c>
      <c r="W25" s="67">
        <f t="shared" si="5"/>
        <v>0</v>
      </c>
    </row>
    <row r="26" spans="2:23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0</v>
      </c>
      <c r="H26" s="67">
        <f>IF($B26=Inputs!$C$1,SUM(Outputs_Internal!$D$4, Outputs_Internal!$D$5),0)*$D26</f>
        <v>0</v>
      </c>
      <c r="I26" s="67">
        <f>IF($B26=Inputs!$C$1,SUM(Outputs_Internal!K$4, Outputs_Internal!K$5),0)*$D26</f>
        <v>0</v>
      </c>
      <c r="J26" s="67">
        <f>IF($B26=Inputs!$C$1,SUM(Outputs_Internal!L$4, Outputs_Internal!L$5),0)*$D26</f>
        <v>0</v>
      </c>
      <c r="K26" s="67">
        <f>IF($B26=Inputs!$C$1,SUM(Outputs_Internal!M$4, Outputs_Internal!$M$5),0)*$D26</f>
        <v>0</v>
      </c>
      <c r="M26" s="67">
        <f>$F26*Outputs_Internal!$D$51/12</f>
        <v>0</v>
      </c>
      <c r="N26" s="67">
        <f>$F26*Outputs_Internal!K$51/12</f>
        <v>0</v>
      </c>
      <c r="O26" s="67">
        <f>$F26*Outputs_Internal!L$51/12</f>
        <v>0</v>
      </c>
      <c r="P26" s="67">
        <f>$F26*Outputs_Internal!M$51/12</f>
        <v>0</v>
      </c>
      <c r="Q26" s="67">
        <f>$F26*Outputs_Internal!N$51/12</f>
        <v>0</v>
      </c>
      <c r="S26" s="67">
        <f t="shared" si="1"/>
        <v>0</v>
      </c>
      <c r="T26" s="67">
        <f t="shared" si="2"/>
        <v>0</v>
      </c>
      <c r="U26" s="67">
        <f t="shared" si="3"/>
        <v>0</v>
      </c>
      <c r="V26" s="67">
        <f t="shared" si="4"/>
        <v>0</v>
      </c>
      <c r="W26" s="67">
        <f t="shared" si="5"/>
        <v>0</v>
      </c>
    </row>
    <row r="27" spans="2:23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0</v>
      </c>
      <c r="H27" s="67">
        <f>IF($B27=Inputs!$C$1,SUM(Outputs_Internal!$D$4, Outputs_Internal!$D$5),0)*$D27</f>
        <v>0</v>
      </c>
      <c r="I27" s="67">
        <f>IF($B27=Inputs!$C$1,SUM(Outputs_Internal!K$4, Outputs_Internal!K$5),0)*$D27</f>
        <v>0</v>
      </c>
      <c r="J27" s="67">
        <f>IF($B27=Inputs!$C$1,SUM(Outputs_Internal!L$4, Outputs_Internal!L$5),0)*$D27</f>
        <v>0</v>
      </c>
      <c r="K27" s="67">
        <f>IF($B27=Inputs!$C$1,SUM(Outputs_Internal!M$4, Outputs_Internal!$M$5),0)*$D27</f>
        <v>0</v>
      </c>
      <c r="M27" s="67">
        <f>$F27*Outputs_Internal!$D$51/12</f>
        <v>0</v>
      </c>
      <c r="N27" s="67">
        <f>$F27*Outputs_Internal!K$51/12</f>
        <v>0</v>
      </c>
      <c r="O27" s="67">
        <f>$F27*Outputs_Internal!L$51/12</f>
        <v>0</v>
      </c>
      <c r="P27" s="67">
        <f>$F27*Outputs_Internal!M$51/12</f>
        <v>0</v>
      </c>
      <c r="Q27" s="67">
        <f>$F27*Outputs_Internal!N$51/12</f>
        <v>0</v>
      </c>
      <c r="S27" s="67">
        <f t="shared" si="1"/>
        <v>0</v>
      </c>
      <c r="T27" s="67">
        <f t="shared" si="2"/>
        <v>0</v>
      </c>
      <c r="U27" s="67">
        <f t="shared" si="3"/>
        <v>0</v>
      </c>
      <c r="V27" s="67">
        <f t="shared" si="4"/>
        <v>0</v>
      </c>
      <c r="W27" s="67">
        <f t="shared" si="5"/>
        <v>0</v>
      </c>
    </row>
    <row r="28" spans="2:23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0</v>
      </c>
      <c r="H28" s="67">
        <f>IF($B28=Inputs!$C$1,SUM(Outputs_Internal!$D$4, Outputs_Internal!$D$5),0)*$D28</f>
        <v>0</v>
      </c>
      <c r="I28" s="67">
        <f>IF($B28=Inputs!$C$1,SUM(Outputs_Internal!K$4, Outputs_Internal!K$5),0)*$D28</f>
        <v>0</v>
      </c>
      <c r="J28" s="67">
        <f>IF($B28=Inputs!$C$1,SUM(Outputs_Internal!L$4, Outputs_Internal!L$5),0)*$D28</f>
        <v>0</v>
      </c>
      <c r="K28" s="67">
        <f>IF($B28=Inputs!$C$1,SUM(Outputs_Internal!M$4, Outputs_Internal!$M$5),0)*$D28</f>
        <v>0</v>
      </c>
      <c r="M28" s="67">
        <f>$F28*Outputs_Internal!$D$51/12</f>
        <v>0</v>
      </c>
      <c r="N28" s="67">
        <f>$F28*Outputs_Internal!K$51/12</f>
        <v>0</v>
      </c>
      <c r="O28" s="67">
        <f>$F28*Outputs_Internal!L$51/12</f>
        <v>0</v>
      </c>
      <c r="P28" s="67">
        <f>$F28*Outputs_Internal!M$51/12</f>
        <v>0</v>
      </c>
      <c r="Q28" s="67">
        <f>$F28*Outputs_Internal!N$51/12</f>
        <v>0</v>
      </c>
      <c r="S28" s="67">
        <f t="shared" si="1"/>
        <v>0</v>
      </c>
      <c r="T28" s="67">
        <f t="shared" si="2"/>
        <v>0</v>
      </c>
      <c r="U28" s="67">
        <f t="shared" si="3"/>
        <v>0</v>
      </c>
      <c r="V28" s="67">
        <f t="shared" si="4"/>
        <v>0</v>
      </c>
      <c r="W28" s="67">
        <f t="shared" si="5"/>
        <v>0</v>
      </c>
    </row>
    <row r="29" spans="2:23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0</v>
      </c>
      <c r="H29" s="67">
        <f>IF($B29=Inputs!$C$1,SUM(Outputs_Internal!$D$4, Outputs_Internal!$D$5),0)*$D29</f>
        <v>0</v>
      </c>
      <c r="I29" s="67">
        <f>IF($B29=Inputs!$C$1,SUM(Outputs_Internal!K$4, Outputs_Internal!K$5),0)*$D29</f>
        <v>0</v>
      </c>
      <c r="J29" s="67">
        <f>IF($B29=Inputs!$C$1,SUM(Outputs_Internal!L$4, Outputs_Internal!L$5),0)*$D29</f>
        <v>0</v>
      </c>
      <c r="K29" s="67">
        <f>IF($B29=Inputs!$C$1,SUM(Outputs_Internal!M$4, Outputs_Internal!$M$5),0)*$D29</f>
        <v>0</v>
      </c>
      <c r="M29" s="67">
        <f>$F29*Outputs_Internal!$D$51/12</f>
        <v>0</v>
      </c>
      <c r="N29" s="67">
        <f>$F29*Outputs_Internal!K$51/12</f>
        <v>0</v>
      </c>
      <c r="O29" s="67">
        <f>$F29*Outputs_Internal!L$51/12</f>
        <v>0</v>
      </c>
      <c r="P29" s="67">
        <f>$F29*Outputs_Internal!M$51/12</f>
        <v>0</v>
      </c>
      <c r="Q29" s="67">
        <f>$F29*Outputs_Internal!N$51/12</f>
        <v>0</v>
      </c>
      <c r="S29" s="67">
        <f t="shared" si="1"/>
        <v>0</v>
      </c>
      <c r="T29" s="67">
        <f t="shared" si="2"/>
        <v>0</v>
      </c>
      <c r="U29" s="67">
        <f t="shared" si="3"/>
        <v>0</v>
      </c>
      <c r="V29" s="67">
        <f t="shared" si="4"/>
        <v>0</v>
      </c>
      <c r="W29" s="67">
        <f t="shared" si="5"/>
        <v>0</v>
      </c>
    </row>
    <row r="30" spans="2:23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0</v>
      </c>
      <c r="H30" s="67">
        <f>IF($B30=Inputs!$C$1,SUM(Outputs_Internal!$D$4, Outputs_Internal!$D$5),0)*$D30</f>
        <v>0</v>
      </c>
      <c r="I30" s="67">
        <f>IF($B30=Inputs!$C$1,SUM(Outputs_Internal!K$4, Outputs_Internal!K$5),0)*$D30</f>
        <v>0</v>
      </c>
      <c r="J30" s="67">
        <f>IF($B30=Inputs!$C$1,SUM(Outputs_Internal!L$4, Outputs_Internal!L$5),0)*$D30</f>
        <v>0</v>
      </c>
      <c r="K30" s="67">
        <f>IF($B30=Inputs!$C$1,SUM(Outputs_Internal!M$4, Outputs_Internal!$M$5),0)*$D30</f>
        <v>0</v>
      </c>
      <c r="M30" s="67">
        <f>$F30*Outputs_Internal!$D$51/12</f>
        <v>0</v>
      </c>
      <c r="N30" s="67">
        <f>$F30*Outputs_Internal!K$51/12</f>
        <v>0</v>
      </c>
      <c r="O30" s="67">
        <f>$F30*Outputs_Internal!L$51/12</f>
        <v>0</v>
      </c>
      <c r="P30" s="67">
        <f>$F30*Outputs_Internal!M$51/12</f>
        <v>0</v>
      </c>
      <c r="Q30" s="67">
        <f>$F30*Outputs_Internal!N$51/12</f>
        <v>0</v>
      </c>
      <c r="S30" s="67">
        <f t="shared" si="1"/>
        <v>0</v>
      </c>
      <c r="T30" s="67">
        <f t="shared" si="2"/>
        <v>0</v>
      </c>
      <c r="U30" s="67">
        <f t="shared" si="3"/>
        <v>0</v>
      </c>
      <c r="V30" s="67">
        <f t="shared" si="4"/>
        <v>0</v>
      </c>
      <c r="W30" s="67">
        <f t="shared" si="5"/>
        <v>0</v>
      </c>
    </row>
    <row r="31" spans="2:23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0</v>
      </c>
      <c r="H31" s="67">
        <f>IF($B31=Inputs!$C$1,SUM(Outputs_Internal!$D$4, Outputs_Internal!$D$5),0)*$D31</f>
        <v>0</v>
      </c>
      <c r="I31" s="67">
        <f>IF($B31=Inputs!$C$1,SUM(Outputs_Internal!K$4, Outputs_Internal!K$5),0)*$D31</f>
        <v>0</v>
      </c>
      <c r="J31" s="67">
        <f>IF($B31=Inputs!$C$1,SUM(Outputs_Internal!L$4, Outputs_Internal!L$5),0)*$D31</f>
        <v>0</v>
      </c>
      <c r="K31" s="67">
        <f>IF($B31=Inputs!$C$1,SUM(Outputs_Internal!M$4, Outputs_Internal!$M$5),0)*$D31</f>
        <v>0</v>
      </c>
      <c r="M31" s="67">
        <f>$F31*Outputs_Internal!$D$51/12</f>
        <v>0</v>
      </c>
      <c r="N31" s="67">
        <f>$F31*Outputs_Internal!K$51/12</f>
        <v>0</v>
      </c>
      <c r="O31" s="67">
        <f>$F31*Outputs_Internal!L$51/12</f>
        <v>0</v>
      </c>
      <c r="P31" s="67">
        <f>$F31*Outputs_Internal!M$51/12</f>
        <v>0</v>
      </c>
      <c r="Q31" s="67">
        <f>$F31*Outputs_Internal!N$51/12</f>
        <v>0</v>
      </c>
      <c r="S31" s="67">
        <f t="shared" si="1"/>
        <v>0</v>
      </c>
      <c r="T31" s="67">
        <f t="shared" si="2"/>
        <v>0</v>
      </c>
      <c r="U31" s="67">
        <f t="shared" si="3"/>
        <v>0</v>
      </c>
      <c r="V31" s="67">
        <f t="shared" si="4"/>
        <v>0</v>
      </c>
      <c r="W31" s="67">
        <f t="shared" si="5"/>
        <v>0</v>
      </c>
    </row>
    <row r="32" spans="2:23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0</v>
      </c>
      <c r="H32" s="67">
        <f>IF($B32=Inputs!$C$1,SUM(Outputs_Internal!$D$4, Outputs_Internal!$D$5),0)*$D32</f>
        <v>0</v>
      </c>
      <c r="I32" s="67">
        <f>IF($B32=Inputs!$C$1,SUM(Outputs_Internal!K$4, Outputs_Internal!K$5),0)*$D32</f>
        <v>0</v>
      </c>
      <c r="J32" s="67">
        <f>IF($B32=Inputs!$C$1,SUM(Outputs_Internal!L$4, Outputs_Internal!L$5),0)*$D32</f>
        <v>0</v>
      </c>
      <c r="K32" s="67">
        <f>IF($B32=Inputs!$C$1,SUM(Outputs_Internal!M$4, Outputs_Internal!$M$5),0)*$D32</f>
        <v>0</v>
      </c>
      <c r="M32" s="67">
        <f>$F32*Outputs_Internal!$D$51/12</f>
        <v>0</v>
      </c>
      <c r="N32" s="67">
        <f>$F32*Outputs_Internal!K$51/12</f>
        <v>0</v>
      </c>
      <c r="O32" s="67">
        <f>$F32*Outputs_Internal!L$51/12</f>
        <v>0</v>
      </c>
      <c r="P32" s="67">
        <f>$F32*Outputs_Internal!M$51/12</f>
        <v>0</v>
      </c>
      <c r="Q32" s="67">
        <f>$F32*Outputs_Internal!N$51/12</f>
        <v>0</v>
      </c>
      <c r="S32" s="67">
        <f t="shared" si="1"/>
        <v>0</v>
      </c>
      <c r="T32" s="67">
        <f t="shared" si="2"/>
        <v>0</v>
      </c>
      <c r="U32" s="67">
        <f t="shared" si="3"/>
        <v>0</v>
      </c>
      <c r="V32" s="67">
        <f t="shared" si="4"/>
        <v>0</v>
      </c>
      <c r="W32" s="67">
        <f t="shared" si="5"/>
        <v>0</v>
      </c>
    </row>
    <row r="33" spans="2:23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0</v>
      </c>
      <c r="H33" s="67">
        <f>IF($B33=Inputs!$C$1,SUM(Outputs_Internal!$D$4, Outputs_Internal!$D$5),0)*$D33</f>
        <v>0</v>
      </c>
      <c r="I33" s="67">
        <f>IF($B33=Inputs!$C$1,SUM(Outputs_Internal!K$4, Outputs_Internal!K$5),0)*$D33</f>
        <v>0</v>
      </c>
      <c r="J33" s="67">
        <f>IF($B33=Inputs!$C$1,SUM(Outputs_Internal!L$4, Outputs_Internal!L$5),0)*$D33</f>
        <v>0</v>
      </c>
      <c r="K33" s="67">
        <f>IF($B33=Inputs!$C$1,SUM(Outputs_Internal!M$4, Outputs_Internal!$M$5),0)*$D33</f>
        <v>0</v>
      </c>
      <c r="M33" s="67">
        <f>$F33*Outputs_Internal!$D$51/12</f>
        <v>0</v>
      </c>
      <c r="N33" s="67">
        <f>$F33*Outputs_Internal!K$51/12</f>
        <v>0</v>
      </c>
      <c r="O33" s="67">
        <f>$F33*Outputs_Internal!L$51/12</f>
        <v>0</v>
      </c>
      <c r="P33" s="67">
        <f>$F33*Outputs_Internal!M$51/12</f>
        <v>0</v>
      </c>
      <c r="Q33" s="67">
        <f>$F33*Outputs_Internal!N$51/12</f>
        <v>0</v>
      </c>
      <c r="S33" s="67">
        <f t="shared" si="1"/>
        <v>0</v>
      </c>
      <c r="T33" s="67">
        <f t="shared" si="2"/>
        <v>0</v>
      </c>
      <c r="U33" s="67">
        <f t="shared" si="3"/>
        <v>0</v>
      </c>
      <c r="V33" s="67">
        <f t="shared" si="4"/>
        <v>0</v>
      </c>
      <c r="W33" s="67">
        <f t="shared" si="5"/>
        <v>0</v>
      </c>
    </row>
    <row r="34" spans="2:23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0</v>
      </c>
      <c r="H34" s="67">
        <f>IF($B34=Inputs!$C$1,SUM(Outputs_Internal!$D$4, Outputs_Internal!$D$5),0)*$D34</f>
        <v>0</v>
      </c>
      <c r="I34" s="67">
        <f>IF($B34=Inputs!$C$1,SUM(Outputs_Internal!K$4, Outputs_Internal!K$5),0)*$D34</f>
        <v>0</v>
      </c>
      <c r="J34" s="67">
        <f>IF($B34=Inputs!$C$1,SUM(Outputs_Internal!L$4, Outputs_Internal!L$5),0)*$D34</f>
        <v>0</v>
      </c>
      <c r="K34" s="67">
        <f>IF($B34=Inputs!$C$1,SUM(Outputs_Internal!M$4, Outputs_Internal!$M$5),0)*$D34</f>
        <v>0</v>
      </c>
      <c r="M34" s="67">
        <f>$F34*Outputs_Internal!$D$51/12</f>
        <v>0</v>
      </c>
      <c r="N34" s="67">
        <f>$F34*Outputs_Internal!K$51/12</f>
        <v>0</v>
      </c>
      <c r="O34" s="67">
        <f>$F34*Outputs_Internal!L$51/12</f>
        <v>0</v>
      </c>
      <c r="P34" s="67">
        <f>$F34*Outputs_Internal!M$51/12</f>
        <v>0</v>
      </c>
      <c r="Q34" s="67">
        <f>$F34*Outputs_Internal!N$51/12</f>
        <v>0</v>
      </c>
      <c r="S34" s="67">
        <f t="shared" si="1"/>
        <v>0</v>
      </c>
      <c r="T34" s="67">
        <f t="shared" si="2"/>
        <v>0</v>
      </c>
      <c r="U34" s="67">
        <f t="shared" si="3"/>
        <v>0</v>
      </c>
      <c r="V34" s="67">
        <f t="shared" si="4"/>
        <v>0</v>
      </c>
      <c r="W34" s="67">
        <f t="shared" si="5"/>
        <v>0</v>
      </c>
    </row>
    <row r="35" spans="2:23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0</v>
      </c>
      <c r="H35" s="67">
        <f>IF($B35=Inputs!$C$1,SUM(Outputs_Internal!$D$4, Outputs_Internal!$D$5),0)*$D35</f>
        <v>0</v>
      </c>
      <c r="I35" s="67">
        <f>IF($B35=Inputs!$C$1,SUM(Outputs_Internal!K$4, Outputs_Internal!K$5),0)*$D35</f>
        <v>0</v>
      </c>
      <c r="J35" s="67">
        <f>IF($B35=Inputs!$C$1,SUM(Outputs_Internal!L$4, Outputs_Internal!L$5),0)*$D35</f>
        <v>0</v>
      </c>
      <c r="K35" s="67">
        <f>IF($B35=Inputs!$C$1,SUM(Outputs_Internal!M$4, Outputs_Internal!$M$5),0)*$D35</f>
        <v>0</v>
      </c>
      <c r="M35" s="67">
        <f>$F35*Outputs_Internal!$D$51/12</f>
        <v>0</v>
      </c>
      <c r="N35" s="67">
        <f>$F35*Outputs_Internal!K$51/12</f>
        <v>0</v>
      </c>
      <c r="O35" s="67">
        <f>$F35*Outputs_Internal!L$51/12</f>
        <v>0</v>
      </c>
      <c r="P35" s="67">
        <f>$F35*Outputs_Internal!M$51/12</f>
        <v>0</v>
      </c>
      <c r="Q35" s="67">
        <f>$F35*Outputs_Internal!N$51/12</f>
        <v>0</v>
      </c>
      <c r="S35" s="67">
        <f t="shared" si="1"/>
        <v>0</v>
      </c>
      <c r="T35" s="67">
        <f t="shared" si="2"/>
        <v>0</v>
      </c>
      <c r="U35" s="67">
        <f t="shared" si="3"/>
        <v>0</v>
      </c>
      <c r="V35" s="67">
        <f t="shared" si="4"/>
        <v>0</v>
      </c>
      <c r="W35" s="67">
        <f t="shared" si="5"/>
        <v>0</v>
      </c>
    </row>
    <row r="36" spans="2:23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0</v>
      </c>
      <c r="H36" s="67">
        <f>IF($B36=Inputs!$C$1,SUM(Outputs_Internal!$D$4, Outputs_Internal!$D$5),0)*$D36</f>
        <v>0</v>
      </c>
      <c r="I36" s="67">
        <f>IF($B36=Inputs!$C$1,SUM(Outputs_Internal!K$4, Outputs_Internal!K$5),0)*$D36</f>
        <v>0</v>
      </c>
      <c r="J36" s="67">
        <f>IF($B36=Inputs!$C$1,SUM(Outputs_Internal!L$4, Outputs_Internal!L$5),0)*$D36</f>
        <v>0</v>
      </c>
      <c r="K36" s="67">
        <f>IF($B36=Inputs!$C$1,SUM(Outputs_Internal!M$4, Outputs_Internal!$M$5),0)*$D36</f>
        <v>0</v>
      </c>
      <c r="M36" s="67">
        <f>$F36*Outputs_Internal!$D$51/12</f>
        <v>0</v>
      </c>
      <c r="N36" s="67">
        <f>$F36*Outputs_Internal!K$51/12</f>
        <v>0</v>
      </c>
      <c r="O36" s="67">
        <f>$F36*Outputs_Internal!L$51/12</f>
        <v>0</v>
      </c>
      <c r="P36" s="67">
        <f>$F36*Outputs_Internal!M$51/12</f>
        <v>0</v>
      </c>
      <c r="Q36" s="67">
        <f>$F36*Outputs_Internal!N$51/12</f>
        <v>0</v>
      </c>
      <c r="S36" s="67">
        <f t="shared" si="1"/>
        <v>0</v>
      </c>
      <c r="T36" s="67">
        <f t="shared" si="2"/>
        <v>0</v>
      </c>
      <c r="U36" s="67">
        <f t="shared" si="3"/>
        <v>0</v>
      </c>
      <c r="V36" s="67">
        <f t="shared" si="4"/>
        <v>0</v>
      </c>
      <c r="W36" s="67">
        <f t="shared" si="5"/>
        <v>0</v>
      </c>
    </row>
    <row r="37" spans="2:23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0</v>
      </c>
      <c r="H37" s="67">
        <f>IF($B37=Inputs!$C$1,SUM(Outputs_Internal!$D$4, Outputs_Internal!$D$5),0)*$D37</f>
        <v>0</v>
      </c>
      <c r="I37" s="67">
        <f>IF($B37=Inputs!$C$1,SUM(Outputs_Internal!K$4, Outputs_Internal!K$5),0)*$D37</f>
        <v>0</v>
      </c>
      <c r="J37" s="67">
        <f>IF($B37=Inputs!$C$1,SUM(Outputs_Internal!L$4, Outputs_Internal!L$5),0)*$D37</f>
        <v>0</v>
      </c>
      <c r="K37" s="67">
        <f>IF($B37=Inputs!$C$1,SUM(Outputs_Internal!M$4, Outputs_Internal!$M$5),0)*$D37</f>
        <v>0</v>
      </c>
      <c r="M37" s="67">
        <f>$F37*Outputs_Internal!$D$51/12</f>
        <v>0</v>
      </c>
      <c r="N37" s="67">
        <f>$F37*Outputs_Internal!K$51/12</f>
        <v>0</v>
      </c>
      <c r="O37" s="67">
        <f>$F37*Outputs_Internal!L$51/12</f>
        <v>0</v>
      </c>
      <c r="P37" s="67">
        <f>$F37*Outputs_Internal!M$51/12</f>
        <v>0</v>
      </c>
      <c r="Q37" s="67">
        <f>$F37*Outputs_Internal!N$51/12</f>
        <v>0</v>
      </c>
      <c r="S37" s="67">
        <f t="shared" si="1"/>
        <v>0</v>
      </c>
      <c r="T37" s="67">
        <f t="shared" si="2"/>
        <v>0</v>
      </c>
      <c r="U37" s="67">
        <f t="shared" si="3"/>
        <v>0</v>
      </c>
      <c r="V37" s="67">
        <f t="shared" si="4"/>
        <v>0</v>
      </c>
      <c r="W37" s="67">
        <f t="shared" si="5"/>
        <v>0</v>
      </c>
    </row>
    <row r="38" spans="2:23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0</v>
      </c>
      <c r="H38" s="67">
        <f>IF($B38=Inputs!$C$1,SUM(Outputs_Internal!$D$4, Outputs_Internal!$D$5),0)*$D38</f>
        <v>0</v>
      </c>
      <c r="I38" s="67">
        <f>IF($B38=Inputs!$C$1,SUM(Outputs_Internal!K$4, Outputs_Internal!K$5),0)*$D38</f>
        <v>0</v>
      </c>
      <c r="J38" s="67">
        <f>IF($B38=Inputs!$C$1,SUM(Outputs_Internal!L$4, Outputs_Internal!L$5),0)*$D38</f>
        <v>0</v>
      </c>
      <c r="K38" s="67">
        <f>IF($B38=Inputs!$C$1,SUM(Outputs_Internal!M$4, Outputs_Internal!$M$5),0)*$D38</f>
        <v>0</v>
      </c>
      <c r="M38" s="67">
        <f>$F38*Outputs_Internal!$D$51/12</f>
        <v>0</v>
      </c>
      <c r="N38" s="67">
        <f>$F38*Outputs_Internal!K$51/12</f>
        <v>0</v>
      </c>
      <c r="O38" s="67">
        <f>$F38*Outputs_Internal!L$51/12</f>
        <v>0</v>
      </c>
      <c r="P38" s="67">
        <f>$F38*Outputs_Internal!M$51/12</f>
        <v>0</v>
      </c>
      <c r="Q38" s="67">
        <f>$F38*Outputs_Internal!N$51/12</f>
        <v>0</v>
      </c>
      <c r="S38" s="67">
        <f t="shared" si="1"/>
        <v>0</v>
      </c>
      <c r="T38" s="67">
        <f t="shared" si="2"/>
        <v>0</v>
      </c>
      <c r="U38" s="67">
        <f t="shared" si="3"/>
        <v>0</v>
      </c>
      <c r="V38" s="67">
        <f t="shared" si="4"/>
        <v>0</v>
      </c>
      <c r="W38" s="67">
        <f t="shared" si="5"/>
        <v>0</v>
      </c>
    </row>
    <row r="39" spans="2:23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0</v>
      </c>
      <c r="H39" s="67">
        <f>IF($B39=Inputs!$C$1,SUM(Outputs_Internal!$D$4, Outputs_Internal!$D$5),0)*$D39</f>
        <v>0</v>
      </c>
      <c r="I39" s="67">
        <f>IF($B39=Inputs!$C$1,SUM(Outputs_Internal!K$4, Outputs_Internal!K$5),0)*$D39</f>
        <v>0</v>
      </c>
      <c r="J39" s="67">
        <f>IF($B39=Inputs!$C$1,SUM(Outputs_Internal!L$4, Outputs_Internal!L$5),0)*$D39</f>
        <v>0</v>
      </c>
      <c r="K39" s="67">
        <f>IF($B39=Inputs!$C$1,SUM(Outputs_Internal!M$4, Outputs_Internal!$M$5),0)*$D39</f>
        <v>0</v>
      </c>
      <c r="M39" s="67">
        <f>$F39*Outputs_Internal!$D$51/12</f>
        <v>0</v>
      </c>
      <c r="N39" s="67">
        <f>$F39*Outputs_Internal!K$51/12</f>
        <v>0</v>
      </c>
      <c r="O39" s="67">
        <f>$F39*Outputs_Internal!L$51/12</f>
        <v>0</v>
      </c>
      <c r="P39" s="67">
        <f>$F39*Outputs_Internal!M$51/12</f>
        <v>0</v>
      </c>
      <c r="Q39" s="67">
        <f>$F39*Outputs_Internal!N$51/12</f>
        <v>0</v>
      </c>
      <c r="S39" s="67">
        <f t="shared" si="1"/>
        <v>0</v>
      </c>
      <c r="T39" s="67">
        <f t="shared" si="2"/>
        <v>0</v>
      </c>
      <c r="U39" s="67">
        <f t="shared" si="3"/>
        <v>0</v>
      </c>
      <c r="V39" s="67">
        <f t="shared" si="4"/>
        <v>0</v>
      </c>
      <c r="W39" s="67">
        <f t="shared" si="5"/>
        <v>0</v>
      </c>
    </row>
    <row r="40" spans="2:23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0</v>
      </c>
      <c r="H40" s="67">
        <f>IF($B40=Inputs!$C$1,SUM(Outputs_Internal!$D$4, Outputs_Internal!$D$5),0)*$D40</f>
        <v>0</v>
      </c>
      <c r="I40" s="67">
        <f>IF($B40=Inputs!$C$1,SUM(Outputs_Internal!K$4, Outputs_Internal!K$5),0)*$D40</f>
        <v>0</v>
      </c>
      <c r="J40" s="67">
        <f>IF($B40=Inputs!$C$1,SUM(Outputs_Internal!L$4, Outputs_Internal!L$5),0)*$D40</f>
        <v>0</v>
      </c>
      <c r="K40" s="67">
        <f>IF($B40=Inputs!$C$1,SUM(Outputs_Internal!M$4, Outputs_Internal!$M$5),0)*$D40</f>
        <v>0</v>
      </c>
      <c r="M40" s="67">
        <f>$F40*Outputs_Internal!$D$51/12</f>
        <v>0</v>
      </c>
      <c r="N40" s="67">
        <f>$F40*Outputs_Internal!K$51/12</f>
        <v>0</v>
      </c>
      <c r="O40" s="67">
        <f>$F40*Outputs_Internal!L$51/12</f>
        <v>0</v>
      </c>
      <c r="P40" s="67">
        <f>$F40*Outputs_Internal!M$51/12</f>
        <v>0</v>
      </c>
      <c r="Q40" s="67">
        <f>$F40*Outputs_Internal!N$51/12</f>
        <v>0</v>
      </c>
      <c r="S40" s="67">
        <f t="shared" si="1"/>
        <v>0</v>
      </c>
      <c r="T40" s="67">
        <f t="shared" si="2"/>
        <v>0</v>
      </c>
      <c r="U40" s="67">
        <f t="shared" si="3"/>
        <v>0</v>
      </c>
      <c r="V40" s="67">
        <f t="shared" si="4"/>
        <v>0</v>
      </c>
      <c r="W40" s="67">
        <f t="shared" si="5"/>
        <v>0</v>
      </c>
    </row>
    <row r="41" spans="2:23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0</v>
      </c>
      <c r="H41" s="67">
        <f>IF($B41=Inputs!$C$1,SUM(Outputs_Internal!$D$4, Outputs_Internal!$D$5),0)*$D41</f>
        <v>0</v>
      </c>
      <c r="I41" s="67">
        <f>IF($B41=Inputs!$C$1,SUM(Outputs_Internal!K$4, Outputs_Internal!K$5),0)*$D41</f>
        <v>0</v>
      </c>
      <c r="J41" s="67">
        <f>IF($B41=Inputs!$C$1,SUM(Outputs_Internal!L$4, Outputs_Internal!L$5),0)*$D41</f>
        <v>0</v>
      </c>
      <c r="K41" s="67">
        <f>IF($B41=Inputs!$C$1,SUM(Outputs_Internal!M$4, Outputs_Internal!$M$5),0)*$D41</f>
        <v>0</v>
      </c>
      <c r="M41" s="67">
        <f>$F41*Outputs_Internal!$D$51/12</f>
        <v>0</v>
      </c>
      <c r="N41" s="67">
        <f>$F41*Outputs_Internal!K$51/12</f>
        <v>0</v>
      </c>
      <c r="O41" s="67">
        <f>$F41*Outputs_Internal!L$51/12</f>
        <v>0</v>
      </c>
      <c r="P41" s="67">
        <f>$F41*Outputs_Internal!M$51/12</f>
        <v>0</v>
      </c>
      <c r="Q41" s="67">
        <f>$F41*Outputs_Internal!N$51/12</f>
        <v>0</v>
      </c>
      <c r="S41" s="67">
        <f t="shared" si="1"/>
        <v>0</v>
      </c>
      <c r="T41" s="67">
        <f t="shared" si="2"/>
        <v>0</v>
      </c>
      <c r="U41" s="67">
        <f t="shared" si="3"/>
        <v>0</v>
      </c>
      <c r="V41" s="67">
        <f t="shared" si="4"/>
        <v>0</v>
      </c>
      <c r="W41" s="67">
        <f t="shared" si="5"/>
        <v>0</v>
      </c>
    </row>
    <row r="42" spans="2:23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0</v>
      </c>
      <c r="H42" s="67">
        <f>IF($B42=Inputs!$C$1,SUM(Outputs_Internal!$D$4, Outputs_Internal!$D$5),0)*$D42</f>
        <v>0</v>
      </c>
      <c r="I42" s="67">
        <f>IF($B42=Inputs!$C$1,SUM(Outputs_Internal!K$4, Outputs_Internal!K$5),0)*$D42</f>
        <v>0</v>
      </c>
      <c r="J42" s="67">
        <f>IF($B42=Inputs!$C$1,SUM(Outputs_Internal!L$4, Outputs_Internal!L$5),0)*$D42</f>
        <v>0</v>
      </c>
      <c r="K42" s="67">
        <f>IF($B42=Inputs!$C$1,SUM(Outputs_Internal!M$4, Outputs_Internal!$M$5),0)*$D42</f>
        <v>0</v>
      </c>
      <c r="M42" s="67">
        <f>$F42*Outputs_Internal!$D$51/12</f>
        <v>0</v>
      </c>
      <c r="N42" s="67">
        <f>$F42*Outputs_Internal!K$51/12</f>
        <v>0</v>
      </c>
      <c r="O42" s="67">
        <f>$F42*Outputs_Internal!L$51/12</f>
        <v>0</v>
      </c>
      <c r="P42" s="67">
        <f>$F42*Outputs_Internal!M$51/12</f>
        <v>0</v>
      </c>
      <c r="Q42" s="67">
        <f>$F42*Outputs_Internal!N$51/12</f>
        <v>0</v>
      </c>
      <c r="S42" s="67">
        <f t="shared" si="1"/>
        <v>0</v>
      </c>
      <c r="T42" s="67">
        <f t="shared" si="2"/>
        <v>0</v>
      </c>
      <c r="U42" s="67">
        <f t="shared" si="3"/>
        <v>0</v>
      </c>
      <c r="V42" s="67">
        <f t="shared" si="4"/>
        <v>0</v>
      </c>
      <c r="W42" s="67">
        <f t="shared" si="5"/>
        <v>0</v>
      </c>
    </row>
    <row r="43" spans="2:23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0</v>
      </c>
      <c r="H43" s="67">
        <f>IF($B43=Inputs!$C$1,SUM(Outputs_Internal!$D$4, Outputs_Internal!$D$5),0)*$D43</f>
        <v>0</v>
      </c>
      <c r="I43" s="67">
        <f>IF($B43=Inputs!$C$1,SUM(Outputs_Internal!K$4, Outputs_Internal!K$5),0)*$D43</f>
        <v>0</v>
      </c>
      <c r="J43" s="67">
        <f>IF($B43=Inputs!$C$1,SUM(Outputs_Internal!L$4, Outputs_Internal!L$5),0)*$D43</f>
        <v>0</v>
      </c>
      <c r="K43" s="67">
        <f>IF($B43=Inputs!$C$1,SUM(Outputs_Internal!M$4, Outputs_Internal!$M$5),0)*$D43</f>
        <v>0</v>
      </c>
      <c r="M43" s="67">
        <f>$F43*Outputs_Internal!$D$51/12</f>
        <v>0</v>
      </c>
      <c r="N43" s="67">
        <f>$F43*Outputs_Internal!K$51/12</f>
        <v>0</v>
      </c>
      <c r="O43" s="67">
        <f>$F43*Outputs_Internal!L$51/12</f>
        <v>0</v>
      </c>
      <c r="P43" s="67">
        <f>$F43*Outputs_Internal!M$51/12</f>
        <v>0</v>
      </c>
      <c r="Q43" s="67">
        <f>$F43*Outputs_Internal!N$51/12</f>
        <v>0</v>
      </c>
      <c r="S43" s="67">
        <f t="shared" si="1"/>
        <v>0</v>
      </c>
      <c r="T43" s="67">
        <f t="shared" si="2"/>
        <v>0</v>
      </c>
      <c r="U43" s="67">
        <f t="shared" si="3"/>
        <v>0</v>
      </c>
      <c r="V43" s="67">
        <f t="shared" si="4"/>
        <v>0</v>
      </c>
      <c r="W43" s="67">
        <f t="shared" si="5"/>
        <v>0</v>
      </c>
    </row>
    <row r="44" spans="2:23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0</v>
      </c>
      <c r="H44" s="67">
        <f>IF($B44=Inputs!$C$1,SUM(Outputs_Internal!$D$4, Outputs_Internal!$D$5),0)*$D44</f>
        <v>0</v>
      </c>
      <c r="I44" s="67">
        <f>IF($B44=Inputs!$C$1,SUM(Outputs_Internal!K$4, Outputs_Internal!K$5),0)*$D44</f>
        <v>0</v>
      </c>
      <c r="J44" s="67">
        <f>IF($B44=Inputs!$C$1,SUM(Outputs_Internal!L$4, Outputs_Internal!L$5),0)*$D44</f>
        <v>0</v>
      </c>
      <c r="K44" s="67">
        <f>IF($B44=Inputs!$C$1,SUM(Outputs_Internal!M$4, Outputs_Internal!$M$5),0)*$D44</f>
        <v>0</v>
      </c>
      <c r="M44" s="67">
        <f>$F44*Outputs_Internal!$D$51/12</f>
        <v>0</v>
      </c>
      <c r="N44" s="67">
        <f>$F44*Outputs_Internal!K$51/12</f>
        <v>0</v>
      </c>
      <c r="O44" s="67">
        <f>$F44*Outputs_Internal!L$51/12</f>
        <v>0</v>
      </c>
      <c r="P44" s="67">
        <f>$F44*Outputs_Internal!M$51/12</f>
        <v>0</v>
      </c>
      <c r="Q44" s="67">
        <f>$F44*Outputs_Internal!N$51/12</f>
        <v>0</v>
      </c>
      <c r="S44" s="67">
        <f>IF(MOD(MONTH($B44),3)=0,SUM(H42:H44,M42:M44),0)</f>
        <v>0</v>
      </c>
      <c r="T44" s="67">
        <f t="shared" si="2"/>
        <v>0</v>
      </c>
      <c r="U44" s="67">
        <f t="shared" si="3"/>
        <v>0</v>
      </c>
      <c r="V44" s="67">
        <f t="shared" si="4"/>
        <v>0</v>
      </c>
      <c r="W44" s="67">
        <f t="shared" si="5"/>
        <v>0</v>
      </c>
    </row>
    <row r="45" spans="2:23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0</v>
      </c>
      <c r="H45" s="67">
        <f>IF($B45=Inputs!$C$1,SUM(Outputs_Internal!$D$4, Outputs_Internal!$D$5),0)*$D45</f>
        <v>0</v>
      </c>
      <c r="I45" s="67">
        <f>IF($B45=Inputs!$C$1,SUM(Outputs_Internal!K$4, Outputs_Internal!K$5),0)*$D45</f>
        <v>0</v>
      </c>
      <c r="J45" s="67">
        <f>IF($B45=Inputs!$C$1,SUM(Outputs_Internal!L$4, Outputs_Internal!L$5),0)*$D45</f>
        <v>0</v>
      </c>
      <c r="K45" s="67">
        <f>IF($B45=Inputs!$C$1,SUM(Outputs_Internal!M$4, Outputs_Internal!$M$5),0)*$D45</f>
        <v>0</v>
      </c>
      <c r="M45" s="67">
        <f>$F45*Outputs_Internal!$D$51/12</f>
        <v>0</v>
      </c>
      <c r="N45" s="67">
        <f>$F45*Outputs_Internal!K$51/12</f>
        <v>0</v>
      </c>
      <c r="O45" s="67">
        <f>$F45*Outputs_Internal!L$51/12</f>
        <v>0</v>
      </c>
      <c r="P45" s="67">
        <f>$F45*Outputs_Internal!M$51/12</f>
        <v>0</v>
      </c>
      <c r="Q45" s="67">
        <f>$F45*Outputs_Internal!N$51/12</f>
        <v>0</v>
      </c>
      <c r="S45" s="67">
        <f t="shared" si="1"/>
        <v>0</v>
      </c>
      <c r="T45" s="67">
        <f t="shared" si="2"/>
        <v>0</v>
      </c>
      <c r="U45" s="67">
        <f t="shared" si="3"/>
        <v>0</v>
      </c>
      <c r="V45" s="67">
        <f t="shared" si="4"/>
        <v>0</v>
      </c>
      <c r="W45" s="67">
        <f t="shared" si="5"/>
        <v>0</v>
      </c>
    </row>
    <row r="46" spans="2:23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0</v>
      </c>
      <c r="H46" s="67">
        <f>IF($B46=Inputs!$C$1,SUM(Outputs_Internal!$D$4, Outputs_Internal!$D$5),0)*$D46</f>
        <v>0</v>
      </c>
      <c r="I46" s="67">
        <f>IF($B46=Inputs!$C$1,SUM(Outputs_Internal!K$4, Outputs_Internal!K$5),0)*$D46</f>
        <v>0</v>
      </c>
      <c r="J46" s="67">
        <f>IF($B46=Inputs!$C$1,SUM(Outputs_Internal!L$4, Outputs_Internal!L$5),0)*$D46</f>
        <v>0</v>
      </c>
      <c r="K46" s="67">
        <f>IF($B46=Inputs!$C$1,SUM(Outputs_Internal!M$4, Outputs_Internal!$M$5),0)*$D46</f>
        <v>0</v>
      </c>
      <c r="M46" s="67">
        <f>$F46*Outputs_Internal!$D$51/12</f>
        <v>0</v>
      </c>
      <c r="N46" s="67">
        <f>$F46*Outputs_Internal!K$51/12</f>
        <v>0</v>
      </c>
      <c r="O46" s="67">
        <f>$F46*Outputs_Internal!L$51/12</f>
        <v>0</v>
      </c>
      <c r="P46" s="67">
        <f>$F46*Outputs_Internal!M$51/12</f>
        <v>0</v>
      </c>
      <c r="Q46" s="67">
        <f>$F46*Outputs_Internal!N$51/12</f>
        <v>0</v>
      </c>
      <c r="S46" s="67">
        <f t="shared" si="1"/>
        <v>0</v>
      </c>
      <c r="T46" s="67">
        <f t="shared" si="2"/>
        <v>0</v>
      </c>
      <c r="U46" s="67">
        <f t="shared" si="3"/>
        <v>0</v>
      </c>
      <c r="V46" s="67">
        <f t="shared" si="4"/>
        <v>0</v>
      </c>
      <c r="W46" s="67">
        <f t="shared" si="5"/>
        <v>0</v>
      </c>
    </row>
    <row r="47" spans="2:23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0</v>
      </c>
      <c r="H47" s="67">
        <f>IF($B47=Inputs!$C$1,SUM(Outputs_Internal!$D$4, Outputs_Internal!$D$5),0)*$D47</f>
        <v>0</v>
      </c>
      <c r="I47" s="67">
        <f>IF($B47=Inputs!$C$1,SUM(Outputs_Internal!K$4, Outputs_Internal!K$5),0)*$D47</f>
        <v>0</v>
      </c>
      <c r="J47" s="67">
        <f>IF($B47=Inputs!$C$1,SUM(Outputs_Internal!L$4, Outputs_Internal!L$5),0)*$D47</f>
        <v>0</v>
      </c>
      <c r="K47" s="67">
        <f>IF($B47=Inputs!$C$1,SUM(Outputs_Internal!M$4, Outputs_Internal!$M$5),0)*$D47</f>
        <v>0</v>
      </c>
      <c r="M47" s="67">
        <f>$F47*Outputs_Internal!$D$51/12</f>
        <v>0</v>
      </c>
      <c r="N47" s="67">
        <f>$F47*Outputs_Internal!K$51/12</f>
        <v>0</v>
      </c>
      <c r="O47" s="67">
        <f>$F47*Outputs_Internal!L$51/12</f>
        <v>0</v>
      </c>
      <c r="P47" s="67">
        <f>$F47*Outputs_Internal!M$51/12</f>
        <v>0</v>
      </c>
      <c r="Q47" s="67">
        <f>$F47*Outputs_Internal!N$51/12</f>
        <v>0</v>
      </c>
      <c r="S47" s="67">
        <f t="shared" si="1"/>
        <v>0</v>
      </c>
      <c r="T47" s="67">
        <f t="shared" si="2"/>
        <v>0</v>
      </c>
      <c r="U47" s="67">
        <f t="shared" si="3"/>
        <v>0</v>
      </c>
      <c r="V47" s="67">
        <f t="shared" si="4"/>
        <v>0</v>
      </c>
      <c r="W47" s="67">
        <f t="shared" si="5"/>
        <v>0</v>
      </c>
    </row>
    <row r="48" spans="2:23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0</v>
      </c>
      <c r="H48" s="67">
        <f>IF($B48=Inputs!$C$1,SUM(Outputs_Internal!$D$4, Outputs_Internal!$D$5),0)*$D48</f>
        <v>0</v>
      </c>
      <c r="I48" s="67">
        <f>IF($B48=Inputs!$C$1,SUM(Outputs_Internal!K$4, Outputs_Internal!K$5),0)*$D48</f>
        <v>0</v>
      </c>
      <c r="J48" s="67">
        <f>IF($B48=Inputs!$C$1,SUM(Outputs_Internal!L$4, Outputs_Internal!L$5),0)*$D48</f>
        <v>0</v>
      </c>
      <c r="K48" s="67">
        <f>IF($B48=Inputs!$C$1,SUM(Outputs_Internal!M$4, Outputs_Internal!$M$5),0)*$D48</f>
        <v>0</v>
      </c>
      <c r="M48" s="67">
        <f>$F48*Outputs_Internal!$D$51/12</f>
        <v>0</v>
      </c>
      <c r="N48" s="67">
        <f>$F48*Outputs_Internal!K$51/12</f>
        <v>0</v>
      </c>
      <c r="O48" s="67">
        <f>$F48*Outputs_Internal!L$51/12</f>
        <v>0</v>
      </c>
      <c r="P48" s="67">
        <f>$F48*Outputs_Internal!M$51/12</f>
        <v>0</v>
      </c>
      <c r="Q48" s="67">
        <f>$F48*Outputs_Internal!N$51/12</f>
        <v>0</v>
      </c>
      <c r="S48" s="67">
        <f t="shared" si="1"/>
        <v>0</v>
      </c>
      <c r="T48" s="67">
        <f t="shared" si="2"/>
        <v>0</v>
      </c>
      <c r="U48" s="67">
        <f t="shared" si="3"/>
        <v>0</v>
      </c>
      <c r="V48" s="67">
        <f t="shared" si="4"/>
        <v>0</v>
      </c>
      <c r="W48" s="67">
        <f t="shared" si="5"/>
        <v>0</v>
      </c>
    </row>
    <row r="49" spans="2:23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0</v>
      </c>
      <c r="H49" s="67">
        <f>IF($B49=Inputs!$C$1,SUM(Outputs_Internal!$D$4, Outputs_Internal!$D$5),0)*$D49</f>
        <v>0</v>
      </c>
      <c r="I49" s="67">
        <f>IF($B49=Inputs!$C$1,SUM(Outputs_Internal!K$4, Outputs_Internal!K$5),0)*$D49</f>
        <v>0</v>
      </c>
      <c r="J49" s="67">
        <f>IF($B49=Inputs!$C$1,SUM(Outputs_Internal!L$4, Outputs_Internal!L$5),0)*$D49</f>
        <v>0</v>
      </c>
      <c r="K49" s="67">
        <f>IF($B49=Inputs!$C$1,SUM(Outputs_Internal!M$4, Outputs_Internal!$M$5),0)*$D49</f>
        <v>0</v>
      </c>
      <c r="M49" s="67">
        <f>$F49*Outputs_Internal!$D$51/12</f>
        <v>0</v>
      </c>
      <c r="N49" s="67">
        <f>$F49*Outputs_Internal!K$51/12</f>
        <v>0</v>
      </c>
      <c r="O49" s="67">
        <f>$F49*Outputs_Internal!L$51/12</f>
        <v>0</v>
      </c>
      <c r="P49" s="67">
        <f>$F49*Outputs_Internal!M$51/12</f>
        <v>0</v>
      </c>
      <c r="Q49" s="67">
        <f>$F49*Outputs_Internal!N$51/12</f>
        <v>0</v>
      </c>
      <c r="S49" s="67">
        <f t="shared" si="1"/>
        <v>0</v>
      </c>
      <c r="T49" s="67">
        <f t="shared" si="2"/>
        <v>0</v>
      </c>
      <c r="U49" s="67">
        <f t="shared" si="3"/>
        <v>0</v>
      </c>
      <c r="V49" s="67">
        <f t="shared" si="4"/>
        <v>0</v>
      </c>
      <c r="W49" s="67">
        <f t="shared" si="5"/>
        <v>0</v>
      </c>
    </row>
    <row r="50" spans="2:23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0</v>
      </c>
      <c r="H50" s="67">
        <f>IF($B50=Inputs!$C$1,SUM(Outputs_Internal!$D$4, Outputs_Internal!$D$5),0)*$D50</f>
        <v>0</v>
      </c>
      <c r="I50" s="67">
        <f>IF($B50=Inputs!$C$1,SUM(Outputs_Internal!K$4, Outputs_Internal!K$5),0)*$D50</f>
        <v>0</v>
      </c>
      <c r="J50" s="67">
        <f>IF($B50=Inputs!$C$1,SUM(Outputs_Internal!L$4, Outputs_Internal!L$5),0)*$D50</f>
        <v>0</v>
      </c>
      <c r="K50" s="67">
        <f>IF($B50=Inputs!$C$1,SUM(Outputs_Internal!M$4, Outputs_Internal!$M$5),0)*$D50</f>
        <v>0</v>
      </c>
      <c r="M50" s="67">
        <f>$F50*Outputs_Internal!$D$51/12</f>
        <v>0</v>
      </c>
      <c r="N50" s="67">
        <f>$F50*Outputs_Internal!K$51/12</f>
        <v>0</v>
      </c>
      <c r="O50" s="67">
        <f>$F50*Outputs_Internal!L$51/12</f>
        <v>0</v>
      </c>
      <c r="P50" s="67">
        <f>$F50*Outputs_Internal!M$51/12</f>
        <v>0</v>
      </c>
      <c r="Q50" s="67">
        <f>$F50*Outputs_Internal!N$51/12</f>
        <v>0</v>
      </c>
      <c r="S50" s="67">
        <f t="shared" si="1"/>
        <v>0</v>
      </c>
      <c r="T50" s="67">
        <f t="shared" si="2"/>
        <v>0</v>
      </c>
      <c r="U50" s="67">
        <f t="shared" si="3"/>
        <v>0</v>
      </c>
      <c r="V50" s="67">
        <f t="shared" si="4"/>
        <v>0</v>
      </c>
      <c r="W50" s="67">
        <f t="shared" si="5"/>
        <v>0</v>
      </c>
    </row>
    <row r="51" spans="2:23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IF($B51=Inputs!$C$1,SUM(Outputs_Internal!K$4, Outputs_Internal!K$5),0)*$D51</f>
        <v>0</v>
      </c>
      <c r="J51" s="67">
        <f>IF($B51=Inputs!$C$1,SUM(Outputs_Internal!L$4, Outputs_Internal!L$5),0)*$D51</f>
        <v>0</v>
      </c>
      <c r="K51" s="67">
        <f>IF($B51=Inputs!$C$1,SUM(Outputs_Internal!M$4, Outputs_Internal!$M$5),0)*$D51</f>
        <v>0</v>
      </c>
      <c r="M51" s="67">
        <f>$F51*Outputs_Internal!$D$51/12</f>
        <v>0</v>
      </c>
      <c r="N51" s="67">
        <f>$F51*Outputs_Internal!K$51/12</f>
        <v>0</v>
      </c>
      <c r="O51" s="67">
        <f>$F51*Outputs_Internal!L$51/12</f>
        <v>0</v>
      </c>
      <c r="P51" s="67">
        <f>$F51*Outputs_Internal!M$51/12</f>
        <v>0</v>
      </c>
      <c r="Q51" s="67">
        <f>$F51*Outputs_Internal!N$51/12</f>
        <v>0</v>
      </c>
      <c r="S51" s="67">
        <f t="shared" si="1"/>
        <v>0</v>
      </c>
      <c r="T51" s="67">
        <f t="shared" si="2"/>
        <v>0</v>
      </c>
      <c r="U51" s="67">
        <f t="shared" si="3"/>
        <v>0</v>
      </c>
      <c r="V51" s="67">
        <f t="shared" si="4"/>
        <v>0</v>
      </c>
      <c r="W51" s="67">
        <f t="shared" si="5"/>
        <v>0</v>
      </c>
    </row>
    <row r="52" spans="2:23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IF($B52=Inputs!$C$1,SUM(Outputs_Internal!K$4, Outputs_Internal!K$5),0)*$D52</f>
        <v>0</v>
      </c>
      <c r="J52" s="67">
        <f>IF($B52=Inputs!$C$1,SUM(Outputs_Internal!L$4, Outputs_Internal!L$5),0)*$D52</f>
        <v>0</v>
      </c>
      <c r="K52" s="67">
        <f>IF($B52=Inputs!$C$1,SUM(Outputs_Internal!M$4, Outputs_Internal!$M$5),0)*$D52</f>
        <v>0</v>
      </c>
      <c r="M52" s="67">
        <f>$F52*Outputs_Internal!$D$51/12</f>
        <v>0</v>
      </c>
      <c r="N52" s="67">
        <f>$F52*Outputs_Internal!K$51/12</f>
        <v>0</v>
      </c>
      <c r="O52" s="67">
        <f>$F52*Outputs_Internal!L$51/12</f>
        <v>0</v>
      </c>
      <c r="P52" s="67">
        <f>$F52*Outputs_Internal!M$51/12</f>
        <v>0</v>
      </c>
      <c r="Q52" s="67">
        <f>$F52*Outputs_Internal!N$51/12</f>
        <v>0</v>
      </c>
      <c r="S52" s="67">
        <f t="shared" si="1"/>
        <v>0</v>
      </c>
      <c r="T52" s="67">
        <f t="shared" si="2"/>
        <v>0</v>
      </c>
      <c r="U52" s="67">
        <f t="shared" si="3"/>
        <v>0</v>
      </c>
      <c r="V52" s="67">
        <f t="shared" si="4"/>
        <v>0</v>
      </c>
      <c r="W52" s="67">
        <f t="shared" si="5"/>
        <v>0</v>
      </c>
    </row>
    <row r="53" spans="2:23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IF($B53=Inputs!$C$1,SUM(Outputs_Internal!K$4, Outputs_Internal!K$5),0)*$D53</f>
        <v>0</v>
      </c>
      <c r="J53" s="67">
        <f>IF($B53=Inputs!$C$1,SUM(Outputs_Internal!L$4, Outputs_Internal!L$5),0)*$D53</f>
        <v>0</v>
      </c>
      <c r="K53" s="67">
        <f>IF($B53=Inputs!$C$1,SUM(Outputs_Internal!M$4, Outputs_Internal!$M$5),0)*$D53</f>
        <v>0</v>
      </c>
      <c r="M53" s="67">
        <f>$F53*Outputs_Internal!$D$51/12</f>
        <v>0</v>
      </c>
      <c r="N53" s="67">
        <f>$F53*Outputs_Internal!K$51/12</f>
        <v>0</v>
      </c>
      <c r="O53" s="67">
        <f>$F53*Outputs_Internal!L$51/12</f>
        <v>0</v>
      </c>
      <c r="P53" s="67">
        <f>$F53*Outputs_Internal!M$51/12</f>
        <v>0</v>
      </c>
      <c r="Q53" s="67">
        <f>$F53*Outputs_Internal!N$51/12</f>
        <v>0</v>
      </c>
      <c r="S53" s="67">
        <f t="shared" si="1"/>
        <v>0</v>
      </c>
      <c r="T53" s="67">
        <f t="shared" si="2"/>
        <v>0</v>
      </c>
      <c r="U53" s="67">
        <f t="shared" si="3"/>
        <v>0</v>
      </c>
      <c r="V53" s="67">
        <f t="shared" si="4"/>
        <v>0</v>
      </c>
      <c r="W53" s="67">
        <f t="shared" si="5"/>
        <v>0</v>
      </c>
    </row>
    <row r="54" spans="2:23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IF($B54=Inputs!$C$1,SUM(Outputs_Internal!K$4, Outputs_Internal!K$5),0)*$D54</f>
        <v>0</v>
      </c>
      <c r="J54" s="67">
        <f>IF($B54=Inputs!$C$1,SUM(Outputs_Internal!L$4, Outputs_Internal!L$5),0)*$D54</f>
        <v>0</v>
      </c>
      <c r="K54" s="67">
        <f>IF($B54=Inputs!$C$1,SUM(Outputs_Internal!M$4, Outputs_Internal!$M$5),0)*$D54</f>
        <v>0</v>
      </c>
      <c r="M54" s="67">
        <f>$F54*Outputs_Internal!$D$51/12</f>
        <v>0</v>
      </c>
      <c r="N54" s="67">
        <f>$F54*Outputs_Internal!K$51/12</f>
        <v>0</v>
      </c>
      <c r="O54" s="67">
        <f>$F54*Outputs_Internal!L$51/12</f>
        <v>0</v>
      </c>
      <c r="P54" s="67">
        <f>$F54*Outputs_Internal!M$51/12</f>
        <v>0</v>
      </c>
      <c r="Q54" s="67">
        <f>$F54*Outputs_Internal!N$51/12</f>
        <v>0</v>
      </c>
      <c r="S54" s="67">
        <f t="shared" si="1"/>
        <v>0</v>
      </c>
      <c r="T54" s="67">
        <f t="shared" si="2"/>
        <v>0</v>
      </c>
      <c r="U54" s="67">
        <f t="shared" si="3"/>
        <v>0</v>
      </c>
      <c r="V54" s="67">
        <f t="shared" si="4"/>
        <v>0</v>
      </c>
      <c r="W54" s="67">
        <f t="shared" si="5"/>
        <v>0</v>
      </c>
    </row>
    <row r="55" spans="2:23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IF($B55=Inputs!$C$1,SUM(Outputs_Internal!K$4, Outputs_Internal!K$5),0)*$D55</f>
        <v>0</v>
      </c>
      <c r="J55" s="67">
        <f>IF($B55=Inputs!$C$1,SUM(Outputs_Internal!L$4, Outputs_Internal!L$5),0)*$D55</f>
        <v>0</v>
      </c>
      <c r="K55" s="67">
        <f>IF($B55=Inputs!$C$1,SUM(Outputs_Internal!M$4, Outputs_Internal!$M$5),0)*$D55</f>
        <v>0</v>
      </c>
      <c r="M55" s="67">
        <f>$F55*Outputs_Internal!$D$51/12</f>
        <v>0</v>
      </c>
      <c r="N55" s="67">
        <f>$F55*Outputs_Internal!K$51/12</f>
        <v>0</v>
      </c>
      <c r="O55" s="67">
        <f>$F55*Outputs_Internal!L$51/12</f>
        <v>0</v>
      </c>
      <c r="P55" s="67">
        <f>$F55*Outputs_Internal!M$51/12</f>
        <v>0</v>
      </c>
      <c r="Q55" s="67">
        <f>$F55*Outputs_Internal!N$51/12</f>
        <v>0</v>
      </c>
      <c r="S55" s="67">
        <f t="shared" si="1"/>
        <v>0</v>
      </c>
      <c r="T55" s="67">
        <f t="shared" si="2"/>
        <v>0</v>
      </c>
      <c r="U55" s="67">
        <f t="shared" si="3"/>
        <v>0</v>
      </c>
      <c r="V55" s="67">
        <f t="shared" si="4"/>
        <v>0</v>
      </c>
      <c r="W55" s="67">
        <f t="shared" si="5"/>
        <v>0</v>
      </c>
    </row>
    <row r="56" spans="2:23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IF($B56=Inputs!$C$1,SUM(Outputs_Internal!K$4, Outputs_Internal!K$5),0)*$D56</f>
        <v>0</v>
      </c>
      <c r="J56" s="67">
        <f>IF($B56=Inputs!$C$1,SUM(Outputs_Internal!L$4, Outputs_Internal!L$5),0)*$D56</f>
        <v>0</v>
      </c>
      <c r="K56" s="67">
        <f>IF($B56=Inputs!$C$1,SUM(Outputs_Internal!M$4, Outputs_Internal!$M$5),0)*$D56</f>
        <v>0</v>
      </c>
      <c r="M56" s="67">
        <f>$F56*Outputs_Internal!$D$51/12</f>
        <v>0</v>
      </c>
      <c r="N56" s="67">
        <f>$F56*Outputs_Internal!K$51/12</f>
        <v>0</v>
      </c>
      <c r="O56" s="67">
        <f>$F56*Outputs_Internal!L$51/12</f>
        <v>0</v>
      </c>
      <c r="P56" s="67">
        <f>$F56*Outputs_Internal!M$51/12</f>
        <v>0</v>
      </c>
      <c r="Q56" s="67">
        <f>$F56*Outputs_Internal!N$51/12</f>
        <v>0</v>
      </c>
      <c r="S56" s="67">
        <f t="shared" si="1"/>
        <v>0</v>
      </c>
      <c r="T56" s="67">
        <f t="shared" si="2"/>
        <v>0</v>
      </c>
      <c r="U56" s="67">
        <f t="shared" si="3"/>
        <v>0</v>
      </c>
      <c r="V56" s="67">
        <f t="shared" si="4"/>
        <v>0</v>
      </c>
      <c r="W56" s="67">
        <f t="shared" si="5"/>
        <v>0</v>
      </c>
    </row>
    <row r="57" spans="2:23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IF($B57=Inputs!$C$1,SUM(Outputs_Internal!K$4, Outputs_Internal!K$5),0)*$D57</f>
        <v>0</v>
      </c>
      <c r="J57" s="67">
        <f>IF($B57=Inputs!$C$1,SUM(Outputs_Internal!L$4, Outputs_Internal!L$5),0)*$D57</f>
        <v>0</v>
      </c>
      <c r="K57" s="67">
        <f>IF($B57=Inputs!$C$1,SUM(Outputs_Internal!M$4, Outputs_Internal!$M$5),0)*$D57</f>
        <v>0</v>
      </c>
      <c r="M57" s="67">
        <f>$F57*Outputs_Internal!$D$51/12</f>
        <v>0</v>
      </c>
      <c r="N57" s="67">
        <f>$F57*Outputs_Internal!K$51/12</f>
        <v>0</v>
      </c>
      <c r="O57" s="67">
        <f>$F57*Outputs_Internal!L$51/12</f>
        <v>0</v>
      </c>
      <c r="P57" s="67">
        <f>$F57*Outputs_Internal!M$51/12</f>
        <v>0</v>
      </c>
      <c r="Q57" s="67">
        <f>$F57*Outputs_Internal!N$51/12</f>
        <v>0</v>
      </c>
      <c r="S57" s="67">
        <f t="shared" si="1"/>
        <v>0</v>
      </c>
      <c r="T57" s="67">
        <f t="shared" si="2"/>
        <v>0</v>
      </c>
      <c r="U57" s="67">
        <f t="shared" si="3"/>
        <v>0</v>
      </c>
      <c r="V57" s="67">
        <f t="shared" si="4"/>
        <v>0</v>
      </c>
      <c r="W57" s="67">
        <f t="shared" si="5"/>
        <v>0</v>
      </c>
    </row>
    <row r="58" spans="2:23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IF($B58=Inputs!$C$1,SUM(Outputs_Internal!K$4, Outputs_Internal!K$5),0)*$D58</f>
        <v>0</v>
      </c>
      <c r="J58" s="67">
        <f>IF($B58=Inputs!$C$1,SUM(Outputs_Internal!L$4, Outputs_Internal!L$5),0)*$D58</f>
        <v>0</v>
      </c>
      <c r="K58" s="67">
        <f>IF($B58=Inputs!$C$1,SUM(Outputs_Internal!M$4, Outputs_Internal!$M$5),0)*$D58</f>
        <v>0</v>
      </c>
      <c r="M58" s="67">
        <f>$F58*Outputs_Internal!$D$51/12</f>
        <v>0</v>
      </c>
      <c r="N58" s="67">
        <f>$F58*Outputs_Internal!K$51/12</f>
        <v>0</v>
      </c>
      <c r="O58" s="67">
        <f>$F58*Outputs_Internal!L$51/12</f>
        <v>0</v>
      </c>
      <c r="P58" s="67">
        <f>$F58*Outputs_Internal!M$51/12</f>
        <v>0</v>
      </c>
      <c r="Q58" s="67">
        <f>$F58*Outputs_Internal!N$51/12</f>
        <v>0</v>
      </c>
      <c r="S58" s="67">
        <f t="shared" si="1"/>
        <v>0</v>
      </c>
      <c r="T58" s="67">
        <f t="shared" si="2"/>
        <v>0</v>
      </c>
      <c r="U58" s="67">
        <f t="shared" si="3"/>
        <v>0</v>
      </c>
      <c r="V58" s="67">
        <f t="shared" si="4"/>
        <v>0</v>
      </c>
      <c r="W58" s="67">
        <f t="shared" si="5"/>
        <v>0</v>
      </c>
    </row>
    <row r="59" spans="2:23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IF($B59=Inputs!$C$1,SUM(Outputs_Internal!K$4, Outputs_Internal!K$5),0)*$D59</f>
        <v>0</v>
      </c>
      <c r="J59" s="67">
        <f>IF($B59=Inputs!$C$1,SUM(Outputs_Internal!L$4, Outputs_Internal!L$5),0)*$D59</f>
        <v>0</v>
      </c>
      <c r="K59" s="67">
        <f>IF($B59=Inputs!$C$1,SUM(Outputs_Internal!M$4, Outputs_Internal!$M$5),0)*$D59</f>
        <v>0</v>
      </c>
      <c r="M59" s="67">
        <f>$F59*Outputs_Internal!$D$51/12</f>
        <v>0</v>
      </c>
      <c r="N59" s="67">
        <f>$F59*Outputs_Internal!K$51/12</f>
        <v>0</v>
      </c>
      <c r="O59" s="67">
        <f>$F59*Outputs_Internal!L$51/12</f>
        <v>0</v>
      </c>
      <c r="P59" s="67">
        <f>$F59*Outputs_Internal!M$51/12</f>
        <v>0</v>
      </c>
      <c r="Q59" s="67">
        <f>$F59*Outputs_Internal!N$51/12</f>
        <v>0</v>
      </c>
      <c r="S59" s="67">
        <f t="shared" si="1"/>
        <v>0</v>
      </c>
      <c r="T59" s="67">
        <f t="shared" si="2"/>
        <v>0</v>
      </c>
      <c r="U59" s="67">
        <f t="shared" si="3"/>
        <v>0</v>
      </c>
      <c r="V59" s="67">
        <f t="shared" si="4"/>
        <v>0</v>
      </c>
      <c r="W59" s="67">
        <f t="shared" si="5"/>
        <v>0</v>
      </c>
    </row>
    <row r="60" spans="2:23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IF($B60=Inputs!$C$1,SUM(Outputs_Internal!K$4, Outputs_Internal!K$5),0)*$D60</f>
        <v>0</v>
      </c>
      <c r="J60" s="67">
        <f>IF($B60=Inputs!$C$1,SUM(Outputs_Internal!L$4, Outputs_Internal!L$5),0)*$D60</f>
        <v>0</v>
      </c>
      <c r="K60" s="67">
        <f>IF($B60=Inputs!$C$1,SUM(Outputs_Internal!M$4, Outputs_Internal!$M$5),0)*$D60</f>
        <v>0</v>
      </c>
      <c r="M60" s="67">
        <f>$F60*Outputs_Internal!$D$51/12</f>
        <v>0</v>
      </c>
      <c r="N60" s="67">
        <f>$F60*Outputs_Internal!K$51/12</f>
        <v>0</v>
      </c>
      <c r="O60" s="67">
        <f>$F60*Outputs_Internal!L$51/12</f>
        <v>0</v>
      </c>
      <c r="P60" s="67">
        <f>$F60*Outputs_Internal!M$51/12</f>
        <v>0</v>
      </c>
      <c r="Q60" s="67">
        <f>$F60*Outputs_Internal!N$51/12</f>
        <v>0</v>
      </c>
      <c r="S60" s="67">
        <f t="shared" si="1"/>
        <v>0</v>
      </c>
      <c r="T60" s="67">
        <f t="shared" si="2"/>
        <v>0</v>
      </c>
      <c r="U60" s="67">
        <f t="shared" si="3"/>
        <v>0</v>
      </c>
      <c r="V60" s="67">
        <f t="shared" si="4"/>
        <v>0</v>
      </c>
      <c r="W60" s="67">
        <f t="shared" si="5"/>
        <v>0</v>
      </c>
    </row>
    <row r="61" spans="2:23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IF($B61=Inputs!$C$1,SUM(Outputs_Internal!K$4, Outputs_Internal!K$5),0)*$D61</f>
        <v>0</v>
      </c>
      <c r="J61" s="67">
        <f>IF($B61=Inputs!$C$1,SUM(Outputs_Internal!L$4, Outputs_Internal!L$5),0)*$D61</f>
        <v>0</v>
      </c>
      <c r="K61" s="67">
        <f>IF($B61=Inputs!$C$1,SUM(Outputs_Internal!M$4, Outputs_Internal!$M$5),0)*$D61</f>
        <v>0</v>
      </c>
      <c r="M61" s="67">
        <f>$F61*Outputs_Internal!$D$51/12</f>
        <v>0</v>
      </c>
      <c r="N61" s="67">
        <f>$F61*Outputs_Internal!K$51/12</f>
        <v>0</v>
      </c>
      <c r="O61" s="67">
        <f>$F61*Outputs_Internal!L$51/12</f>
        <v>0</v>
      </c>
      <c r="P61" s="67">
        <f>$F61*Outputs_Internal!M$51/12</f>
        <v>0</v>
      </c>
      <c r="Q61" s="67">
        <f>$F61*Outputs_Internal!N$51/12</f>
        <v>0</v>
      </c>
      <c r="S61" s="67">
        <f t="shared" si="1"/>
        <v>0</v>
      </c>
      <c r="T61" s="67">
        <f t="shared" si="2"/>
        <v>0</v>
      </c>
      <c r="U61" s="67">
        <f t="shared" si="3"/>
        <v>0</v>
      </c>
      <c r="V61" s="67">
        <f t="shared" si="4"/>
        <v>0</v>
      </c>
      <c r="W61" s="67">
        <f t="shared" si="5"/>
        <v>0</v>
      </c>
    </row>
    <row r="62" spans="2:23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IF($B62=Inputs!$C$1,SUM(Outputs_Internal!K$4, Outputs_Internal!K$5),0)*$D62</f>
        <v>0</v>
      </c>
      <c r="J62" s="67">
        <f>IF($B62=Inputs!$C$1,SUM(Outputs_Internal!L$4, Outputs_Internal!L$5),0)*$D62</f>
        <v>0</v>
      </c>
      <c r="K62" s="67">
        <f>IF($B62=Inputs!$C$1,SUM(Outputs_Internal!M$4, Outputs_Internal!$M$5),0)*$D62</f>
        <v>0</v>
      </c>
      <c r="M62" s="67">
        <f>$F62*Outputs_Internal!$D$51/12</f>
        <v>0</v>
      </c>
      <c r="N62" s="67">
        <f>$F62*Outputs_Internal!K$51/12</f>
        <v>0</v>
      </c>
      <c r="O62" s="67">
        <f>$F62*Outputs_Internal!L$51/12</f>
        <v>0</v>
      </c>
      <c r="P62" s="67">
        <f>$F62*Outputs_Internal!M$51/12</f>
        <v>0</v>
      </c>
      <c r="Q62" s="67">
        <f>$F62*Outputs_Internal!N$51/12</f>
        <v>0</v>
      </c>
      <c r="S62" s="67">
        <f t="shared" si="1"/>
        <v>0</v>
      </c>
      <c r="T62" s="67">
        <f t="shared" si="2"/>
        <v>0</v>
      </c>
      <c r="U62" s="67">
        <f t="shared" si="3"/>
        <v>0</v>
      </c>
      <c r="V62" s="67">
        <f t="shared" si="4"/>
        <v>0</v>
      </c>
      <c r="W62" s="67">
        <f t="shared" si="5"/>
        <v>0</v>
      </c>
    </row>
    <row r="63" spans="2:23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IF($B63=Inputs!$C$1,SUM(Outputs_Internal!K$4, Outputs_Internal!K$5),0)*$D63</f>
        <v>0</v>
      </c>
      <c r="J63" s="67">
        <f>IF($B63=Inputs!$C$1,SUM(Outputs_Internal!L$4, Outputs_Internal!L$5),0)*$D63</f>
        <v>0</v>
      </c>
      <c r="K63" s="67">
        <f>IF($B63=Inputs!$C$1,SUM(Outputs_Internal!M$4, Outputs_Internal!$M$5),0)*$D63</f>
        <v>0</v>
      </c>
      <c r="M63" s="67">
        <f>$F63*Outputs_Internal!$D$51/12</f>
        <v>0</v>
      </c>
      <c r="N63" s="67">
        <f>$F63*Outputs_Internal!K$51/12</f>
        <v>0</v>
      </c>
      <c r="O63" s="67">
        <f>$F63*Outputs_Internal!L$51/12</f>
        <v>0</v>
      </c>
      <c r="P63" s="67">
        <f>$F63*Outputs_Internal!M$51/12</f>
        <v>0</v>
      </c>
      <c r="Q63" s="67">
        <f>$F63*Outputs_Internal!N$51/12</f>
        <v>0</v>
      </c>
      <c r="S63" s="67">
        <f t="shared" si="1"/>
        <v>0</v>
      </c>
      <c r="T63" s="67">
        <f t="shared" si="2"/>
        <v>0</v>
      </c>
      <c r="U63" s="67">
        <f t="shared" si="3"/>
        <v>0</v>
      </c>
      <c r="V63" s="67">
        <f t="shared" si="4"/>
        <v>0</v>
      </c>
      <c r="W63" s="67">
        <f t="shared" si="5"/>
        <v>0</v>
      </c>
    </row>
    <row r="64" spans="2:23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IF($B64=Inputs!$C$1,SUM(Outputs_Internal!K$4, Outputs_Internal!K$5),0)*$D64</f>
        <v>0</v>
      </c>
      <c r="J64" s="67">
        <f>IF($B64=Inputs!$C$1,SUM(Outputs_Internal!L$4, Outputs_Internal!L$5),0)*$D64</f>
        <v>0</v>
      </c>
      <c r="K64" s="67">
        <f>IF($B64=Inputs!$C$1,SUM(Outputs_Internal!M$4, Outputs_Internal!$M$5),0)*$D64</f>
        <v>0</v>
      </c>
      <c r="M64" s="67">
        <f>$F64*Outputs_Internal!$D$51/12</f>
        <v>0</v>
      </c>
      <c r="N64" s="67">
        <f>$F64*Outputs_Internal!K$51/12</f>
        <v>0</v>
      </c>
      <c r="O64" s="67">
        <f>$F64*Outputs_Internal!L$51/12</f>
        <v>0</v>
      </c>
      <c r="P64" s="67">
        <f>$F64*Outputs_Internal!M$51/12</f>
        <v>0</v>
      </c>
      <c r="Q64" s="67">
        <f>$F64*Outputs_Internal!N$51/12</f>
        <v>0</v>
      </c>
      <c r="S64" s="67">
        <f t="shared" si="1"/>
        <v>0</v>
      </c>
      <c r="T64" s="67">
        <f t="shared" si="2"/>
        <v>0</v>
      </c>
      <c r="U64" s="67">
        <f t="shared" si="3"/>
        <v>0</v>
      </c>
      <c r="V64" s="67">
        <f t="shared" si="4"/>
        <v>0</v>
      </c>
      <c r="W64" s="67">
        <f t="shared" si="5"/>
        <v>0</v>
      </c>
    </row>
    <row r="65" spans="2:23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IF($B65=Inputs!$C$1,SUM(Outputs_Internal!K$4, Outputs_Internal!K$5),0)*$D65</f>
        <v>0</v>
      </c>
      <c r="J65" s="67">
        <f>IF($B65=Inputs!$C$1,SUM(Outputs_Internal!L$4, Outputs_Internal!L$5),0)*$D65</f>
        <v>0</v>
      </c>
      <c r="K65" s="67">
        <f>IF($B65=Inputs!$C$1,SUM(Outputs_Internal!M$4, Outputs_Internal!$M$5),0)*$D65</f>
        <v>0</v>
      </c>
      <c r="M65" s="67">
        <f>$F65*Outputs_Internal!$D$51/12</f>
        <v>0</v>
      </c>
      <c r="N65" s="67">
        <f>$F65*Outputs_Internal!K$51/12</f>
        <v>0</v>
      </c>
      <c r="O65" s="67">
        <f>$F65*Outputs_Internal!L$51/12</f>
        <v>0</v>
      </c>
      <c r="P65" s="67">
        <f>$F65*Outputs_Internal!M$51/12</f>
        <v>0</v>
      </c>
      <c r="Q65" s="67">
        <f>$F65*Outputs_Internal!N$51/12</f>
        <v>0</v>
      </c>
      <c r="S65" s="67">
        <f t="shared" si="1"/>
        <v>0</v>
      </c>
      <c r="T65" s="67">
        <f t="shared" si="2"/>
        <v>0</v>
      </c>
      <c r="U65" s="67">
        <f t="shared" si="3"/>
        <v>0</v>
      </c>
      <c r="V65" s="67">
        <f t="shared" si="4"/>
        <v>0</v>
      </c>
      <c r="W65" s="67">
        <f t="shared" si="5"/>
        <v>0</v>
      </c>
    </row>
    <row r="66" spans="2:23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IF($B66=Inputs!$C$1,SUM(Outputs_Internal!K$4, Outputs_Internal!K$5),0)*$D66</f>
        <v>0</v>
      </c>
      <c r="J66" s="67">
        <f>IF($B66=Inputs!$C$1,SUM(Outputs_Internal!L$4, Outputs_Internal!L$5),0)*$D66</f>
        <v>0</v>
      </c>
      <c r="K66" s="67">
        <f>IF($B66=Inputs!$C$1,SUM(Outputs_Internal!M$4, Outputs_Internal!$M$5),0)*$D66</f>
        <v>0</v>
      </c>
      <c r="M66" s="67">
        <f>$F66*Outputs_Internal!$D$51/12</f>
        <v>0</v>
      </c>
      <c r="N66" s="67">
        <f>$F66*Outputs_Internal!K$51/12</f>
        <v>0</v>
      </c>
      <c r="O66" s="67">
        <f>$F66*Outputs_Internal!L$51/12</f>
        <v>0</v>
      </c>
      <c r="P66" s="67">
        <f>$F66*Outputs_Internal!M$51/12</f>
        <v>0</v>
      </c>
      <c r="Q66" s="67">
        <f>$F66*Outputs_Internal!N$51/12</f>
        <v>0</v>
      </c>
      <c r="S66" s="67">
        <f t="shared" si="1"/>
        <v>0</v>
      </c>
      <c r="T66" s="67">
        <f t="shared" si="2"/>
        <v>0</v>
      </c>
      <c r="U66" s="67">
        <f t="shared" si="3"/>
        <v>0</v>
      </c>
      <c r="V66" s="67">
        <f t="shared" si="4"/>
        <v>0</v>
      </c>
      <c r="W66" s="67">
        <f t="shared" si="5"/>
        <v>0</v>
      </c>
    </row>
    <row r="67" spans="2:23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IF($B67=Inputs!$C$1,SUM(Outputs_Internal!K$4, Outputs_Internal!K$5),0)*$D67</f>
        <v>0</v>
      </c>
      <c r="J67" s="67">
        <f>IF($B67=Inputs!$C$1,SUM(Outputs_Internal!L$4, Outputs_Internal!L$5),0)*$D67</f>
        <v>0</v>
      </c>
      <c r="K67" s="67">
        <f>IF($B67=Inputs!$C$1,SUM(Outputs_Internal!M$4, Outputs_Internal!$M$5),0)*$D67</f>
        <v>0</v>
      </c>
      <c r="M67" s="67">
        <f>$F67*Outputs_Internal!$D$51/12</f>
        <v>0</v>
      </c>
      <c r="N67" s="67">
        <f>$F67*Outputs_Internal!K$51/12</f>
        <v>0</v>
      </c>
      <c r="O67" s="67">
        <f>$F67*Outputs_Internal!L$51/12</f>
        <v>0</v>
      </c>
      <c r="P67" s="67">
        <f>$F67*Outputs_Internal!M$51/12</f>
        <v>0</v>
      </c>
      <c r="Q67" s="67">
        <f>$F67*Outputs_Internal!N$51/12</f>
        <v>0</v>
      </c>
      <c r="S67" s="67">
        <f t="shared" si="1"/>
        <v>0</v>
      </c>
      <c r="T67" s="67">
        <f t="shared" si="2"/>
        <v>0</v>
      </c>
      <c r="U67" s="67">
        <f t="shared" si="3"/>
        <v>0</v>
      </c>
      <c r="V67" s="67">
        <f t="shared" si="4"/>
        <v>0</v>
      </c>
      <c r="W67" s="67">
        <f t="shared" si="5"/>
        <v>0</v>
      </c>
    </row>
    <row r="68" spans="2:23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IF($B68=Inputs!$C$1,SUM(Outputs_Internal!K$4, Outputs_Internal!K$5),0)*$D68</f>
        <v>0</v>
      </c>
      <c r="J68" s="67">
        <f>IF($B68=Inputs!$C$1,SUM(Outputs_Internal!L$4, Outputs_Internal!L$5),0)*$D68</f>
        <v>0</v>
      </c>
      <c r="K68" s="67">
        <f>IF($B68=Inputs!$C$1,SUM(Outputs_Internal!M$4, Outputs_Internal!$M$5),0)*$D68</f>
        <v>0</v>
      </c>
      <c r="M68" s="67">
        <f>$F68*Outputs_Internal!$D$51/12</f>
        <v>0</v>
      </c>
      <c r="N68" s="67">
        <f>$F68*Outputs_Internal!K$51/12</f>
        <v>0</v>
      </c>
      <c r="O68" s="67">
        <f>$F68*Outputs_Internal!L$51/12</f>
        <v>0</v>
      </c>
      <c r="P68" s="67">
        <f>$F68*Outputs_Internal!M$51/12</f>
        <v>0</v>
      </c>
      <c r="Q68" s="67">
        <f>$F68*Outputs_Internal!N$51/12</f>
        <v>0</v>
      </c>
      <c r="S68" s="67">
        <f t="shared" si="1"/>
        <v>0</v>
      </c>
      <c r="T68" s="67">
        <f t="shared" si="2"/>
        <v>0</v>
      </c>
      <c r="U68" s="67">
        <f t="shared" si="3"/>
        <v>0</v>
      </c>
      <c r="V68" s="67">
        <f t="shared" si="4"/>
        <v>0</v>
      </c>
      <c r="W68" s="67">
        <f t="shared" si="5"/>
        <v>0</v>
      </c>
    </row>
    <row r="69" spans="2:23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IF($B69=Inputs!$C$1,SUM(Outputs_Internal!K$4, Outputs_Internal!K$5),0)*$D69</f>
        <v>0</v>
      </c>
      <c r="J69" s="67">
        <f>IF($B69=Inputs!$C$1,SUM(Outputs_Internal!L$4, Outputs_Internal!L$5),0)*$D69</f>
        <v>0</v>
      </c>
      <c r="K69" s="67">
        <f>IF($B69=Inputs!$C$1,SUM(Outputs_Internal!M$4, Outputs_Internal!$M$5),0)*$D69</f>
        <v>0</v>
      </c>
      <c r="M69" s="67">
        <f>$F69*Outputs_Internal!$D$51/12</f>
        <v>0</v>
      </c>
      <c r="N69" s="67">
        <f>$F69*Outputs_Internal!K$51/12</f>
        <v>0</v>
      </c>
      <c r="O69" s="67">
        <f>$F69*Outputs_Internal!L$51/12</f>
        <v>0</v>
      </c>
      <c r="P69" s="67">
        <f>$F69*Outputs_Internal!M$51/12</f>
        <v>0</v>
      </c>
      <c r="Q69" s="67">
        <f>$F69*Outputs_Internal!N$51/12</f>
        <v>0</v>
      </c>
      <c r="S69" s="67">
        <f t="shared" si="1"/>
        <v>0</v>
      </c>
      <c r="T69" s="67">
        <f t="shared" si="2"/>
        <v>0</v>
      </c>
      <c r="U69" s="67">
        <f t="shared" si="3"/>
        <v>0</v>
      </c>
      <c r="V69" s="67">
        <f t="shared" si="4"/>
        <v>0</v>
      </c>
      <c r="W69" s="67">
        <f t="shared" si="5"/>
        <v>0</v>
      </c>
    </row>
    <row r="70" spans="2:23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IF($B70=Inputs!$C$1,SUM(Outputs_Internal!K$4, Outputs_Internal!K$5),0)*$D70</f>
        <v>0</v>
      </c>
      <c r="J70" s="67">
        <f>IF($B70=Inputs!$C$1,SUM(Outputs_Internal!L$4, Outputs_Internal!L$5),0)*$D70</f>
        <v>0</v>
      </c>
      <c r="K70" s="67">
        <f>IF($B70=Inputs!$C$1,SUM(Outputs_Internal!M$4, Outputs_Internal!$M$5),0)*$D70</f>
        <v>0</v>
      </c>
      <c r="M70" s="67">
        <f>$F70*Outputs_Internal!$D$51/12</f>
        <v>0</v>
      </c>
      <c r="N70" s="67">
        <f>$F70*Outputs_Internal!K$51/12</f>
        <v>0</v>
      </c>
      <c r="O70" s="67">
        <f>$F70*Outputs_Internal!L$51/12</f>
        <v>0</v>
      </c>
      <c r="P70" s="67">
        <f>$F70*Outputs_Internal!M$51/12</f>
        <v>0</v>
      </c>
      <c r="Q70" s="67">
        <f>$F70*Outputs_Internal!N$51/12</f>
        <v>0</v>
      </c>
      <c r="S70" s="67">
        <f t="shared" ref="S70:S94" si="7">IF(MOD(MONTH($B70),3)=0,SUM(H68:H70,M68:M70),0)</f>
        <v>0</v>
      </c>
      <c r="T70" s="67">
        <f t="shared" ref="T70:T94" si="8">IF(MOD(MONTH($B70),3)=0,SUM(I68:I70,N68:N70),0)</f>
        <v>0</v>
      </c>
      <c r="U70" s="67">
        <f t="shared" ref="U70:U94" si="9">IF(MOD(MONTH($B70),3)=0,SUM(J68:J70,O68:O70),0)</f>
        <v>0</v>
      </c>
      <c r="V70" s="67">
        <f t="shared" ref="V70:V94" si="10">IF(MOD(MONTH($B70),3)=0,SUM(K68:K70,P68:P70),0)</f>
        <v>0</v>
      </c>
      <c r="W70" s="67">
        <f t="shared" ref="W70:W94" si="11">IF(MOD(MONTH($B70),3)=0,SUM(L68:L70,Q68:Q70),0)</f>
        <v>0</v>
      </c>
    </row>
    <row r="71" spans="2:23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IF($B71=Inputs!$C$1,SUM(Outputs_Internal!K$4, Outputs_Internal!K$5),0)*$D71</f>
        <v>0</v>
      </c>
      <c r="J71" s="67">
        <f>IF($B71=Inputs!$C$1,SUM(Outputs_Internal!L$4, Outputs_Internal!L$5),0)*$D71</f>
        <v>0</v>
      </c>
      <c r="K71" s="67">
        <f>IF($B71=Inputs!$C$1,SUM(Outputs_Internal!M$4, Outputs_Internal!$M$5),0)*$D71</f>
        <v>0</v>
      </c>
      <c r="M71" s="67">
        <f>$F71*Outputs_Internal!$D$51/12</f>
        <v>0</v>
      </c>
      <c r="N71" s="67">
        <f>$F71*Outputs_Internal!K$51/12</f>
        <v>0</v>
      </c>
      <c r="O71" s="67">
        <f>$F71*Outputs_Internal!L$51/12</f>
        <v>0</v>
      </c>
      <c r="P71" s="67">
        <f>$F71*Outputs_Internal!M$51/12</f>
        <v>0</v>
      </c>
      <c r="Q71" s="67">
        <f>$F71*Outputs_Internal!N$51/12</f>
        <v>0</v>
      </c>
      <c r="S71" s="67">
        <f t="shared" si="7"/>
        <v>0</v>
      </c>
      <c r="T71" s="67">
        <f t="shared" si="8"/>
        <v>0</v>
      </c>
      <c r="U71" s="67">
        <f t="shared" si="9"/>
        <v>0</v>
      </c>
      <c r="V71" s="67">
        <f t="shared" si="10"/>
        <v>0</v>
      </c>
      <c r="W71" s="67">
        <f t="shared" si="11"/>
        <v>0</v>
      </c>
    </row>
    <row r="72" spans="2:23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IF($B72=Inputs!$C$1,SUM(Outputs_Internal!K$4, Outputs_Internal!K$5),0)*$D72</f>
        <v>0</v>
      </c>
      <c r="J72" s="67">
        <f>IF($B72=Inputs!$C$1,SUM(Outputs_Internal!L$4, Outputs_Internal!L$5),0)*$D72</f>
        <v>0</v>
      </c>
      <c r="K72" s="67">
        <f>IF($B72=Inputs!$C$1,SUM(Outputs_Internal!M$4, Outputs_Internal!$M$5),0)*$D72</f>
        <v>0</v>
      </c>
      <c r="M72" s="67">
        <f>$F72*Outputs_Internal!$D$51/12</f>
        <v>0</v>
      </c>
      <c r="N72" s="67">
        <f>$F72*Outputs_Internal!K$51/12</f>
        <v>0</v>
      </c>
      <c r="O72" s="67">
        <f>$F72*Outputs_Internal!L$51/12</f>
        <v>0</v>
      </c>
      <c r="P72" s="67">
        <f>$F72*Outputs_Internal!M$51/12</f>
        <v>0</v>
      </c>
      <c r="Q72" s="67">
        <f>$F72*Outputs_Internal!N$51/12</f>
        <v>0</v>
      </c>
      <c r="S72" s="67">
        <f t="shared" si="7"/>
        <v>0</v>
      </c>
      <c r="T72" s="67">
        <f t="shared" si="8"/>
        <v>0</v>
      </c>
      <c r="U72" s="67">
        <f t="shared" si="9"/>
        <v>0</v>
      </c>
      <c r="V72" s="67">
        <f t="shared" si="10"/>
        <v>0</v>
      </c>
      <c r="W72" s="67">
        <f t="shared" si="11"/>
        <v>0</v>
      </c>
    </row>
    <row r="73" spans="2:23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IF($B73=Inputs!$C$1,SUM(Outputs_Internal!K$4, Outputs_Internal!K$5),0)*$D73</f>
        <v>0</v>
      </c>
      <c r="J73" s="67">
        <f>IF($B73=Inputs!$C$1,SUM(Outputs_Internal!L$4, Outputs_Internal!L$5),0)*$D73</f>
        <v>0</v>
      </c>
      <c r="K73" s="67">
        <f>IF($B73=Inputs!$C$1,SUM(Outputs_Internal!M$4, Outputs_Internal!$M$5),0)*$D73</f>
        <v>0</v>
      </c>
      <c r="M73" s="67">
        <f>$F73*Outputs_Internal!$D$51/12</f>
        <v>0</v>
      </c>
      <c r="N73" s="67">
        <f>$F73*Outputs_Internal!K$51/12</f>
        <v>0</v>
      </c>
      <c r="O73" s="67">
        <f>$F73*Outputs_Internal!L$51/12</f>
        <v>0</v>
      </c>
      <c r="P73" s="67">
        <f>$F73*Outputs_Internal!M$51/12</f>
        <v>0</v>
      </c>
      <c r="Q73" s="67">
        <f>$F73*Outputs_Internal!N$51/12</f>
        <v>0</v>
      </c>
      <c r="S73" s="67">
        <f t="shared" si="7"/>
        <v>0</v>
      </c>
      <c r="T73" s="67">
        <f t="shared" si="8"/>
        <v>0</v>
      </c>
      <c r="U73" s="67">
        <f t="shared" si="9"/>
        <v>0</v>
      </c>
      <c r="V73" s="67">
        <f t="shared" si="10"/>
        <v>0</v>
      </c>
      <c r="W73" s="67">
        <f t="shared" si="11"/>
        <v>0</v>
      </c>
    </row>
    <row r="74" spans="2:23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IF($B74=Inputs!$C$1,SUM(Outputs_Internal!K$4, Outputs_Internal!K$5),0)*$D74</f>
        <v>0</v>
      </c>
      <c r="J74" s="67">
        <f>IF($B74=Inputs!$C$1,SUM(Outputs_Internal!L$4, Outputs_Internal!L$5),0)*$D74</f>
        <v>0</v>
      </c>
      <c r="K74" s="67">
        <f>IF($B74=Inputs!$C$1,SUM(Outputs_Internal!M$4, Outputs_Internal!$M$5),0)*$D74</f>
        <v>0</v>
      </c>
      <c r="M74" s="67">
        <f>$F74*Outputs_Internal!$D$51/12</f>
        <v>0</v>
      </c>
      <c r="N74" s="67">
        <f>$F74*Outputs_Internal!K$51/12</f>
        <v>0</v>
      </c>
      <c r="O74" s="67">
        <f>$F74*Outputs_Internal!L$51/12</f>
        <v>0</v>
      </c>
      <c r="P74" s="67">
        <f>$F74*Outputs_Internal!M$51/12</f>
        <v>0</v>
      </c>
      <c r="Q74" s="67">
        <f>$F74*Outputs_Internal!N$51/12</f>
        <v>0</v>
      </c>
      <c r="S74" s="67">
        <f t="shared" si="7"/>
        <v>0</v>
      </c>
      <c r="T74" s="67">
        <f t="shared" si="8"/>
        <v>0</v>
      </c>
      <c r="U74" s="67">
        <f t="shared" si="9"/>
        <v>0</v>
      </c>
      <c r="V74" s="67">
        <f t="shared" si="10"/>
        <v>0</v>
      </c>
      <c r="W74" s="67">
        <f t="shared" si="11"/>
        <v>0</v>
      </c>
    </row>
    <row r="75" spans="2:23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IF($B75=Inputs!$C$1,SUM(Outputs_Internal!K$4, Outputs_Internal!K$5),0)*$D75</f>
        <v>0</v>
      </c>
      <c r="J75" s="67">
        <f>IF($B75=Inputs!$C$1,SUM(Outputs_Internal!L$4, Outputs_Internal!L$5),0)*$D75</f>
        <v>0</v>
      </c>
      <c r="K75" s="67">
        <f>IF($B75=Inputs!$C$1,SUM(Outputs_Internal!M$4, Outputs_Internal!$M$5),0)*$D75</f>
        <v>0</v>
      </c>
      <c r="M75" s="67">
        <f>$F75*Outputs_Internal!$D$51/12</f>
        <v>0</v>
      </c>
      <c r="N75" s="67">
        <f>$F75*Outputs_Internal!K$51/12</f>
        <v>0</v>
      </c>
      <c r="O75" s="67">
        <f>$F75*Outputs_Internal!L$51/12</f>
        <v>0</v>
      </c>
      <c r="P75" s="67">
        <f>$F75*Outputs_Internal!M$51/12</f>
        <v>0</v>
      </c>
      <c r="Q75" s="67">
        <f>$F75*Outputs_Internal!N$51/12</f>
        <v>0</v>
      </c>
      <c r="S75" s="67">
        <f t="shared" si="7"/>
        <v>0</v>
      </c>
      <c r="T75" s="67">
        <f t="shared" si="8"/>
        <v>0</v>
      </c>
      <c r="U75" s="67">
        <f t="shared" si="9"/>
        <v>0</v>
      </c>
      <c r="V75" s="67">
        <f t="shared" si="10"/>
        <v>0</v>
      </c>
      <c r="W75" s="67">
        <f t="shared" si="11"/>
        <v>0</v>
      </c>
    </row>
    <row r="76" spans="2:23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IF($B76=Inputs!$C$1,SUM(Outputs_Internal!K$4, Outputs_Internal!K$5),0)*$D76</f>
        <v>0</v>
      </c>
      <c r="J76" s="67">
        <f>IF($B76=Inputs!$C$1,SUM(Outputs_Internal!L$4, Outputs_Internal!L$5),0)*$D76</f>
        <v>0</v>
      </c>
      <c r="K76" s="67">
        <f>IF($B76=Inputs!$C$1,SUM(Outputs_Internal!M$4, Outputs_Internal!$M$5),0)*$D76</f>
        <v>0</v>
      </c>
      <c r="M76" s="67">
        <f>$F76*Outputs_Internal!$D$51/12</f>
        <v>0</v>
      </c>
      <c r="N76" s="67">
        <f>$F76*Outputs_Internal!K$51/12</f>
        <v>0</v>
      </c>
      <c r="O76" s="67">
        <f>$F76*Outputs_Internal!L$51/12</f>
        <v>0</v>
      </c>
      <c r="P76" s="67">
        <f>$F76*Outputs_Internal!M$51/12</f>
        <v>0</v>
      </c>
      <c r="Q76" s="67">
        <f>$F76*Outputs_Internal!N$51/12</f>
        <v>0</v>
      </c>
      <c r="S76" s="67">
        <f t="shared" si="7"/>
        <v>0</v>
      </c>
      <c r="T76" s="67">
        <f t="shared" si="8"/>
        <v>0</v>
      </c>
      <c r="U76" s="67">
        <f t="shared" si="9"/>
        <v>0</v>
      </c>
      <c r="V76" s="67">
        <f t="shared" si="10"/>
        <v>0</v>
      </c>
      <c r="W76" s="67">
        <f t="shared" si="11"/>
        <v>0</v>
      </c>
    </row>
    <row r="77" spans="2:23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IF($B77=Inputs!$C$1,SUM(Outputs_Internal!K$4, Outputs_Internal!K$5),0)*$D77</f>
        <v>0</v>
      </c>
      <c r="J77" s="67">
        <f>IF($B77=Inputs!$C$1,SUM(Outputs_Internal!L$4, Outputs_Internal!L$5),0)*$D77</f>
        <v>0</v>
      </c>
      <c r="K77" s="67">
        <f>IF($B77=Inputs!$C$1,SUM(Outputs_Internal!M$4, Outputs_Internal!$M$5),0)*$D77</f>
        <v>0</v>
      </c>
      <c r="M77" s="67">
        <f>$F77*Outputs_Internal!$D$51/12</f>
        <v>0</v>
      </c>
      <c r="N77" s="67">
        <f>$F77*Outputs_Internal!K$51/12</f>
        <v>0</v>
      </c>
      <c r="O77" s="67">
        <f>$F77*Outputs_Internal!L$51/12</f>
        <v>0</v>
      </c>
      <c r="P77" s="67">
        <f>$F77*Outputs_Internal!M$51/12</f>
        <v>0</v>
      </c>
      <c r="Q77" s="67">
        <f>$F77*Outputs_Internal!N$51/12</f>
        <v>0</v>
      </c>
      <c r="S77" s="67">
        <f t="shared" si="7"/>
        <v>0</v>
      </c>
      <c r="T77" s="67">
        <f t="shared" si="8"/>
        <v>0</v>
      </c>
      <c r="U77" s="67">
        <f t="shared" si="9"/>
        <v>0</v>
      </c>
      <c r="V77" s="67">
        <f t="shared" si="10"/>
        <v>0</v>
      </c>
      <c r="W77" s="67">
        <f t="shared" si="11"/>
        <v>0</v>
      </c>
    </row>
    <row r="78" spans="2:23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IF($B78=Inputs!$C$1,SUM(Outputs_Internal!K$4, Outputs_Internal!K$5),0)*$D78</f>
        <v>0</v>
      </c>
      <c r="J78" s="67">
        <f>IF($B78=Inputs!$C$1,SUM(Outputs_Internal!L$4, Outputs_Internal!L$5),0)*$D78</f>
        <v>0</v>
      </c>
      <c r="K78" s="67">
        <f>IF($B78=Inputs!$C$1,SUM(Outputs_Internal!M$4, Outputs_Internal!$M$5),0)*$D78</f>
        <v>0</v>
      </c>
      <c r="M78" s="67">
        <f>$F78*Outputs_Internal!$D$51/12</f>
        <v>0</v>
      </c>
      <c r="N78" s="67">
        <f>$F78*Outputs_Internal!K$51/12</f>
        <v>0</v>
      </c>
      <c r="O78" s="67">
        <f>$F78*Outputs_Internal!L$51/12</f>
        <v>0</v>
      </c>
      <c r="P78" s="67">
        <f>$F78*Outputs_Internal!M$51/12</f>
        <v>0</v>
      </c>
      <c r="Q78" s="67">
        <f>$F78*Outputs_Internal!N$51/12</f>
        <v>0</v>
      </c>
      <c r="S78" s="67">
        <f t="shared" si="7"/>
        <v>0</v>
      </c>
      <c r="T78" s="67">
        <f t="shared" si="8"/>
        <v>0</v>
      </c>
      <c r="U78" s="67">
        <f t="shared" si="9"/>
        <v>0</v>
      </c>
      <c r="V78" s="67">
        <f t="shared" si="10"/>
        <v>0</v>
      </c>
      <c r="W78" s="67">
        <f t="shared" si="11"/>
        <v>0</v>
      </c>
    </row>
    <row r="79" spans="2:23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IF($B79=Inputs!$C$1,SUM(Outputs_Internal!K$4, Outputs_Internal!K$5),0)*$D79</f>
        <v>0</v>
      </c>
      <c r="J79" s="67">
        <f>IF($B79=Inputs!$C$1,SUM(Outputs_Internal!L$4, Outputs_Internal!L$5),0)*$D79</f>
        <v>0</v>
      </c>
      <c r="K79" s="67">
        <f>IF($B79=Inputs!$C$1,SUM(Outputs_Internal!M$4, Outputs_Internal!$M$5),0)*$D79</f>
        <v>0</v>
      </c>
      <c r="M79" s="67">
        <f>$F79*Outputs_Internal!$D$51/12</f>
        <v>0</v>
      </c>
      <c r="N79" s="67">
        <f>$F79*Outputs_Internal!K$51/12</f>
        <v>0</v>
      </c>
      <c r="O79" s="67">
        <f>$F79*Outputs_Internal!L$51/12</f>
        <v>0</v>
      </c>
      <c r="P79" s="67">
        <f>$F79*Outputs_Internal!M$51/12</f>
        <v>0</v>
      </c>
      <c r="Q79" s="67">
        <f>$F79*Outputs_Internal!N$51/12</f>
        <v>0</v>
      </c>
      <c r="S79" s="67">
        <f t="shared" si="7"/>
        <v>0</v>
      </c>
      <c r="T79" s="67">
        <f t="shared" si="8"/>
        <v>0</v>
      </c>
      <c r="U79" s="67">
        <f t="shared" si="9"/>
        <v>0</v>
      </c>
      <c r="V79" s="67">
        <f t="shared" si="10"/>
        <v>0</v>
      </c>
      <c r="W79" s="67">
        <f t="shared" si="11"/>
        <v>0</v>
      </c>
    </row>
    <row r="80" spans="2:23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IF($B80=Inputs!$C$1,SUM(Outputs_Internal!K$4, Outputs_Internal!K$5),0)*$D80</f>
        <v>0</v>
      </c>
      <c r="J80" s="67">
        <f>IF($B80=Inputs!$C$1,SUM(Outputs_Internal!L$4, Outputs_Internal!L$5),0)*$D80</f>
        <v>0</v>
      </c>
      <c r="K80" s="67">
        <f>IF($B80=Inputs!$C$1,SUM(Outputs_Internal!M$4, Outputs_Internal!$M$5),0)*$D80</f>
        <v>0</v>
      </c>
      <c r="M80" s="67">
        <f>$F80*Outputs_Internal!$D$51/12</f>
        <v>0</v>
      </c>
      <c r="N80" s="67">
        <f>$F80*Outputs_Internal!K$51/12</f>
        <v>0</v>
      </c>
      <c r="O80" s="67">
        <f>$F80*Outputs_Internal!L$51/12</f>
        <v>0</v>
      </c>
      <c r="P80" s="67">
        <f>$F80*Outputs_Internal!M$51/12</f>
        <v>0</v>
      </c>
      <c r="Q80" s="67">
        <f>$F80*Outputs_Internal!N$51/12</f>
        <v>0</v>
      </c>
      <c r="S80" s="67">
        <f t="shared" si="7"/>
        <v>0</v>
      </c>
      <c r="T80" s="67">
        <f t="shared" si="8"/>
        <v>0</v>
      </c>
      <c r="U80" s="67">
        <f t="shared" si="9"/>
        <v>0</v>
      </c>
      <c r="V80" s="67">
        <f t="shared" si="10"/>
        <v>0</v>
      </c>
      <c r="W80" s="67">
        <f t="shared" si="11"/>
        <v>0</v>
      </c>
    </row>
    <row r="81" spans="2:23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IF($B81=Inputs!$C$1,SUM(Outputs_Internal!K$4, Outputs_Internal!K$5),0)*$D81</f>
        <v>0</v>
      </c>
      <c r="J81" s="67">
        <f>IF($B81=Inputs!$C$1,SUM(Outputs_Internal!L$4, Outputs_Internal!L$5),0)*$D81</f>
        <v>0</v>
      </c>
      <c r="K81" s="67">
        <f>IF($B81=Inputs!$C$1,SUM(Outputs_Internal!M$4, Outputs_Internal!$M$5),0)*$D81</f>
        <v>0</v>
      </c>
      <c r="M81" s="67">
        <f>$F81*Outputs_Internal!$D$51/12</f>
        <v>0</v>
      </c>
      <c r="N81" s="67">
        <f>$F81*Outputs_Internal!K$51/12</f>
        <v>0</v>
      </c>
      <c r="O81" s="67">
        <f>$F81*Outputs_Internal!L$51/12</f>
        <v>0</v>
      </c>
      <c r="P81" s="67">
        <f>$F81*Outputs_Internal!M$51/12</f>
        <v>0</v>
      </c>
      <c r="Q81" s="67">
        <f>$F81*Outputs_Internal!N$51/12</f>
        <v>0</v>
      </c>
      <c r="S81" s="67">
        <f t="shared" si="7"/>
        <v>0</v>
      </c>
      <c r="T81" s="67">
        <f t="shared" si="8"/>
        <v>0</v>
      </c>
      <c r="U81" s="67">
        <f t="shared" si="9"/>
        <v>0</v>
      </c>
      <c r="V81" s="67">
        <f t="shared" si="10"/>
        <v>0</v>
      </c>
      <c r="W81" s="67">
        <f t="shared" si="11"/>
        <v>0</v>
      </c>
    </row>
    <row r="82" spans="2:23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IF($B82=Inputs!$C$1,SUM(Outputs_Internal!K$4, Outputs_Internal!K$5),0)*$D82</f>
        <v>0</v>
      </c>
      <c r="J82" s="67">
        <f>IF($B82=Inputs!$C$1,SUM(Outputs_Internal!L$4, Outputs_Internal!L$5),0)*$D82</f>
        <v>0</v>
      </c>
      <c r="K82" s="67">
        <f>IF($B82=Inputs!$C$1,SUM(Outputs_Internal!M$4, Outputs_Internal!$M$5),0)*$D82</f>
        <v>0</v>
      </c>
      <c r="M82" s="67">
        <f>$F82*Outputs_Internal!$D$51/12</f>
        <v>0</v>
      </c>
      <c r="N82" s="67">
        <f>$F82*Outputs_Internal!K$51/12</f>
        <v>0</v>
      </c>
      <c r="O82" s="67">
        <f>$F82*Outputs_Internal!L$51/12</f>
        <v>0</v>
      </c>
      <c r="P82" s="67">
        <f>$F82*Outputs_Internal!M$51/12</f>
        <v>0</v>
      </c>
      <c r="Q82" s="67">
        <f>$F82*Outputs_Internal!N$51/12</f>
        <v>0</v>
      </c>
      <c r="S82" s="67">
        <f t="shared" si="7"/>
        <v>0</v>
      </c>
      <c r="T82" s="67">
        <f t="shared" si="8"/>
        <v>0</v>
      </c>
      <c r="U82" s="67">
        <f t="shared" si="9"/>
        <v>0</v>
      </c>
      <c r="V82" s="67">
        <f t="shared" si="10"/>
        <v>0</v>
      </c>
      <c r="W82" s="67">
        <f t="shared" si="11"/>
        <v>0</v>
      </c>
    </row>
    <row r="83" spans="2:23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IF($B83=Inputs!$C$1,SUM(Outputs_Internal!K$4, Outputs_Internal!K$5),0)*$D83</f>
        <v>0</v>
      </c>
      <c r="J83" s="67">
        <f>IF($B83=Inputs!$C$1,SUM(Outputs_Internal!L$4, Outputs_Internal!L$5),0)*$D83</f>
        <v>0</v>
      </c>
      <c r="K83" s="67">
        <f>IF($B83=Inputs!$C$1,SUM(Outputs_Internal!M$4, Outputs_Internal!$M$5),0)*$D83</f>
        <v>0</v>
      </c>
      <c r="M83" s="67">
        <f>$F83*Outputs_Internal!$D$51/12</f>
        <v>0</v>
      </c>
      <c r="N83" s="67">
        <f>$F83*Outputs_Internal!K$51/12</f>
        <v>0</v>
      </c>
      <c r="O83" s="67">
        <f>$F83*Outputs_Internal!L$51/12</f>
        <v>0</v>
      </c>
      <c r="P83" s="67">
        <f>$F83*Outputs_Internal!M$51/12</f>
        <v>0</v>
      </c>
      <c r="Q83" s="67">
        <f>$F83*Outputs_Internal!N$51/12</f>
        <v>0</v>
      </c>
      <c r="S83" s="67">
        <f t="shared" si="7"/>
        <v>0</v>
      </c>
      <c r="T83" s="67">
        <f t="shared" si="8"/>
        <v>0</v>
      </c>
      <c r="U83" s="67">
        <f t="shared" si="9"/>
        <v>0</v>
      </c>
      <c r="V83" s="67">
        <f t="shared" si="10"/>
        <v>0</v>
      </c>
      <c r="W83" s="67">
        <f t="shared" si="11"/>
        <v>0</v>
      </c>
    </row>
    <row r="84" spans="2:23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IF($B84=Inputs!$C$1,SUM(Outputs_Internal!K$4, Outputs_Internal!K$5),0)*$D84</f>
        <v>0</v>
      </c>
      <c r="J84" s="67">
        <f>IF($B84=Inputs!$C$1,SUM(Outputs_Internal!L$4, Outputs_Internal!L$5),0)*$D84</f>
        <v>0</v>
      </c>
      <c r="K84" s="67">
        <f>IF($B84=Inputs!$C$1,SUM(Outputs_Internal!M$4, Outputs_Internal!$M$5),0)*$D84</f>
        <v>0</v>
      </c>
      <c r="M84" s="67">
        <f>$F84*Outputs_Internal!$D$51/12</f>
        <v>0</v>
      </c>
      <c r="N84" s="67">
        <f>$F84*Outputs_Internal!K$51/12</f>
        <v>0</v>
      </c>
      <c r="O84" s="67">
        <f>$F84*Outputs_Internal!L$51/12</f>
        <v>0</v>
      </c>
      <c r="P84" s="67">
        <f>$F84*Outputs_Internal!M$51/12</f>
        <v>0</v>
      </c>
      <c r="Q84" s="67">
        <f>$F84*Outputs_Internal!N$51/12</f>
        <v>0</v>
      </c>
      <c r="S84" s="67">
        <f t="shared" si="7"/>
        <v>0</v>
      </c>
      <c r="T84" s="67">
        <f t="shared" si="8"/>
        <v>0</v>
      </c>
      <c r="U84" s="67">
        <f t="shared" si="9"/>
        <v>0</v>
      </c>
      <c r="V84" s="67">
        <f t="shared" si="10"/>
        <v>0</v>
      </c>
      <c r="W84" s="67">
        <f t="shared" si="11"/>
        <v>0</v>
      </c>
    </row>
    <row r="85" spans="2:23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IF($B85=Inputs!$C$1,SUM(Outputs_Internal!K$4, Outputs_Internal!K$5),0)*$D85</f>
        <v>0</v>
      </c>
      <c r="J85" s="67">
        <f>IF($B85=Inputs!$C$1,SUM(Outputs_Internal!L$4, Outputs_Internal!L$5),0)*$D85</f>
        <v>0</v>
      </c>
      <c r="K85" s="67">
        <f>IF($B85=Inputs!$C$1,SUM(Outputs_Internal!M$4, Outputs_Internal!$M$5),0)*$D85</f>
        <v>0</v>
      </c>
      <c r="M85" s="67">
        <f>$F85*Outputs_Internal!$D$51/12</f>
        <v>0</v>
      </c>
      <c r="N85" s="67">
        <f>$F85*Outputs_Internal!K$51/12</f>
        <v>0</v>
      </c>
      <c r="O85" s="67">
        <f>$F85*Outputs_Internal!L$51/12</f>
        <v>0</v>
      </c>
      <c r="P85" s="67">
        <f>$F85*Outputs_Internal!M$51/12</f>
        <v>0</v>
      </c>
      <c r="Q85" s="67">
        <f>$F85*Outputs_Internal!N$51/12</f>
        <v>0</v>
      </c>
      <c r="S85" s="67">
        <f t="shared" si="7"/>
        <v>0</v>
      </c>
      <c r="T85" s="67">
        <f t="shared" si="8"/>
        <v>0</v>
      </c>
      <c r="U85" s="67">
        <f t="shared" si="9"/>
        <v>0</v>
      </c>
      <c r="V85" s="67">
        <f t="shared" si="10"/>
        <v>0</v>
      </c>
      <c r="W85" s="67">
        <f t="shared" si="11"/>
        <v>0</v>
      </c>
    </row>
    <row r="86" spans="2:23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IF($B86=Inputs!$C$1,SUM(Outputs_Internal!K$4, Outputs_Internal!K$5),0)*$D86</f>
        <v>0</v>
      </c>
      <c r="J86" s="67">
        <f>IF($B86=Inputs!$C$1,SUM(Outputs_Internal!L$4, Outputs_Internal!L$5),0)*$D86</f>
        <v>0</v>
      </c>
      <c r="K86" s="67">
        <f>IF($B86=Inputs!$C$1,SUM(Outputs_Internal!M$4, Outputs_Internal!$M$5),0)*$D86</f>
        <v>0</v>
      </c>
      <c r="M86" s="67">
        <f>$F86*Outputs_Internal!$D$51/12</f>
        <v>0</v>
      </c>
      <c r="N86" s="67">
        <f>$F86*Outputs_Internal!K$51/12</f>
        <v>0</v>
      </c>
      <c r="O86" s="67">
        <f>$F86*Outputs_Internal!L$51/12</f>
        <v>0</v>
      </c>
      <c r="P86" s="67">
        <f>$F86*Outputs_Internal!M$51/12</f>
        <v>0</v>
      </c>
      <c r="Q86" s="67">
        <f>$F86*Outputs_Internal!N$51/12</f>
        <v>0</v>
      </c>
      <c r="S86" s="67">
        <f t="shared" si="7"/>
        <v>0</v>
      </c>
      <c r="T86" s="67">
        <f t="shared" si="8"/>
        <v>0</v>
      </c>
      <c r="U86" s="67">
        <f t="shared" si="9"/>
        <v>0</v>
      </c>
      <c r="V86" s="67">
        <f t="shared" si="10"/>
        <v>0</v>
      </c>
      <c r="W86" s="67">
        <f t="shared" si="11"/>
        <v>0</v>
      </c>
    </row>
    <row r="87" spans="2:23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IF($B87=Inputs!$C$1,SUM(Outputs_Internal!K$4, Outputs_Internal!K$5),0)*$D87</f>
        <v>0</v>
      </c>
      <c r="J87" s="67">
        <f>IF($B87=Inputs!$C$1,SUM(Outputs_Internal!L$4, Outputs_Internal!L$5),0)*$D87</f>
        <v>0</v>
      </c>
      <c r="K87" s="67">
        <f>IF($B87=Inputs!$C$1,SUM(Outputs_Internal!M$4, Outputs_Internal!$M$5),0)*$D87</f>
        <v>0</v>
      </c>
      <c r="M87" s="67">
        <f>$F87*Outputs_Internal!$D$51/12</f>
        <v>0</v>
      </c>
      <c r="N87" s="67">
        <f>$F87*Outputs_Internal!K$51/12</f>
        <v>0</v>
      </c>
      <c r="O87" s="67">
        <f>$F87*Outputs_Internal!L$51/12</f>
        <v>0</v>
      </c>
      <c r="P87" s="67">
        <f>$F87*Outputs_Internal!M$51/12</f>
        <v>0</v>
      </c>
      <c r="Q87" s="67">
        <f>$F87*Outputs_Internal!N$51/12</f>
        <v>0</v>
      </c>
      <c r="S87" s="67">
        <f t="shared" si="7"/>
        <v>0</v>
      </c>
      <c r="T87" s="67">
        <f t="shared" si="8"/>
        <v>0</v>
      </c>
      <c r="U87" s="67">
        <f t="shared" si="9"/>
        <v>0</v>
      </c>
      <c r="V87" s="67">
        <f t="shared" si="10"/>
        <v>0</v>
      </c>
      <c r="W87" s="67">
        <f t="shared" si="11"/>
        <v>0</v>
      </c>
    </row>
    <row r="88" spans="2:23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IF($B88=Inputs!$C$1,SUM(Outputs_Internal!K$4, Outputs_Internal!K$5),0)*$D88</f>
        <v>0</v>
      </c>
      <c r="J88" s="67">
        <f>IF($B88=Inputs!$C$1,SUM(Outputs_Internal!L$4, Outputs_Internal!L$5),0)*$D88</f>
        <v>0</v>
      </c>
      <c r="K88" s="67">
        <f>IF($B88=Inputs!$C$1,SUM(Outputs_Internal!M$4, Outputs_Internal!$M$5),0)*$D88</f>
        <v>0</v>
      </c>
      <c r="M88" s="67">
        <f>$F88*Outputs_Internal!$D$51/12</f>
        <v>0</v>
      </c>
      <c r="N88" s="67">
        <f>$F88*Outputs_Internal!K$51/12</f>
        <v>0</v>
      </c>
      <c r="O88" s="67">
        <f>$F88*Outputs_Internal!L$51/12</f>
        <v>0</v>
      </c>
      <c r="P88" s="67">
        <f>$F88*Outputs_Internal!M$51/12</f>
        <v>0</v>
      </c>
      <c r="Q88" s="67">
        <f>$F88*Outputs_Internal!N$51/12</f>
        <v>0</v>
      </c>
      <c r="S88" s="67">
        <f t="shared" si="7"/>
        <v>0</v>
      </c>
      <c r="T88" s="67">
        <f t="shared" si="8"/>
        <v>0</v>
      </c>
      <c r="U88" s="67">
        <f t="shared" si="9"/>
        <v>0</v>
      </c>
      <c r="V88" s="67">
        <f t="shared" si="10"/>
        <v>0</v>
      </c>
      <c r="W88" s="67">
        <f t="shared" si="11"/>
        <v>0</v>
      </c>
    </row>
    <row r="89" spans="2:23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IF($B89=Inputs!$C$1,SUM(Outputs_Internal!K$4, Outputs_Internal!K$5),0)*$D89</f>
        <v>0</v>
      </c>
      <c r="J89" s="67">
        <f>IF($B89=Inputs!$C$1,SUM(Outputs_Internal!L$4, Outputs_Internal!L$5),0)*$D89</f>
        <v>0</v>
      </c>
      <c r="K89" s="67">
        <f>IF($B89=Inputs!$C$1,SUM(Outputs_Internal!M$4, Outputs_Internal!$M$5),0)*$D89</f>
        <v>0</v>
      </c>
      <c r="M89" s="67">
        <f>$F89*Outputs_Internal!$D$51/12</f>
        <v>0</v>
      </c>
      <c r="N89" s="67">
        <f>$F89*Outputs_Internal!K$51/12</f>
        <v>0</v>
      </c>
      <c r="O89" s="67">
        <f>$F89*Outputs_Internal!L$51/12</f>
        <v>0</v>
      </c>
      <c r="P89" s="67">
        <f>$F89*Outputs_Internal!M$51/12</f>
        <v>0</v>
      </c>
      <c r="Q89" s="67">
        <f>$F89*Outputs_Internal!N$51/12</f>
        <v>0</v>
      </c>
      <c r="S89" s="67">
        <f t="shared" si="7"/>
        <v>0</v>
      </c>
      <c r="T89" s="67">
        <f t="shared" si="8"/>
        <v>0</v>
      </c>
      <c r="U89" s="67">
        <f t="shared" si="9"/>
        <v>0</v>
      </c>
      <c r="V89" s="67">
        <f t="shared" si="10"/>
        <v>0</v>
      </c>
      <c r="W89" s="67">
        <f t="shared" si="11"/>
        <v>0</v>
      </c>
    </row>
    <row r="90" spans="2:23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IF($B90=Inputs!$C$1,SUM(Outputs_Internal!K$4, Outputs_Internal!K$5),0)*$D90</f>
        <v>0</v>
      </c>
      <c r="J90" s="67">
        <f>IF($B90=Inputs!$C$1,SUM(Outputs_Internal!L$4, Outputs_Internal!L$5),0)*$D90</f>
        <v>0</v>
      </c>
      <c r="K90" s="67">
        <f>IF($B90=Inputs!$C$1,SUM(Outputs_Internal!M$4, Outputs_Internal!$M$5),0)*$D90</f>
        <v>0</v>
      </c>
      <c r="M90" s="67">
        <f>$F90*Outputs_Internal!$D$51/12</f>
        <v>0</v>
      </c>
      <c r="N90" s="67">
        <f>$F90*Outputs_Internal!K$51/12</f>
        <v>0</v>
      </c>
      <c r="O90" s="67">
        <f>$F90*Outputs_Internal!L$51/12</f>
        <v>0</v>
      </c>
      <c r="P90" s="67">
        <f>$F90*Outputs_Internal!M$51/12</f>
        <v>0</v>
      </c>
      <c r="Q90" s="67">
        <f>$F90*Outputs_Internal!N$51/12</f>
        <v>0</v>
      </c>
      <c r="S90" s="67">
        <f t="shared" si="7"/>
        <v>0</v>
      </c>
      <c r="T90" s="67">
        <f t="shared" si="8"/>
        <v>0</v>
      </c>
      <c r="U90" s="67">
        <f t="shared" si="9"/>
        <v>0</v>
      </c>
      <c r="V90" s="67">
        <f t="shared" si="10"/>
        <v>0</v>
      </c>
      <c r="W90" s="67">
        <f t="shared" si="11"/>
        <v>0</v>
      </c>
    </row>
    <row r="91" spans="2:23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IF($B91=Inputs!$C$1,SUM(Outputs_Internal!K$4, Outputs_Internal!K$5),0)*$D91</f>
        <v>0</v>
      </c>
      <c r="J91" s="67">
        <f>IF($B91=Inputs!$C$1,SUM(Outputs_Internal!L$4, Outputs_Internal!L$5),0)*$D91</f>
        <v>0</v>
      </c>
      <c r="K91" s="67">
        <f>IF($B91=Inputs!$C$1,SUM(Outputs_Internal!M$4, Outputs_Internal!$M$5),0)*$D91</f>
        <v>0</v>
      </c>
      <c r="M91" s="67">
        <f>$F91*Outputs_Internal!$D$51/12</f>
        <v>0</v>
      </c>
      <c r="N91" s="67">
        <f>$F91*Outputs_Internal!K$51/12</f>
        <v>0</v>
      </c>
      <c r="O91" s="67">
        <f>$F91*Outputs_Internal!L$51/12</f>
        <v>0</v>
      </c>
      <c r="P91" s="67">
        <f>$F91*Outputs_Internal!M$51/12</f>
        <v>0</v>
      </c>
      <c r="Q91" s="67">
        <f>$F91*Outputs_Internal!N$51/12</f>
        <v>0</v>
      </c>
      <c r="S91" s="67">
        <f t="shared" si="7"/>
        <v>0</v>
      </c>
      <c r="T91" s="67">
        <f t="shared" si="8"/>
        <v>0</v>
      </c>
      <c r="U91" s="67">
        <f t="shared" si="9"/>
        <v>0</v>
      </c>
      <c r="V91" s="67">
        <f t="shared" si="10"/>
        <v>0</v>
      </c>
      <c r="W91" s="67">
        <f t="shared" si="11"/>
        <v>0</v>
      </c>
    </row>
    <row r="92" spans="2:23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IF($B92=Inputs!$C$1,SUM(Outputs_Internal!K$4, Outputs_Internal!K$5),0)*$D92</f>
        <v>0</v>
      </c>
      <c r="J92" s="67">
        <f>IF($B92=Inputs!$C$1,SUM(Outputs_Internal!L$4, Outputs_Internal!L$5),0)*$D92</f>
        <v>0</v>
      </c>
      <c r="K92" s="67">
        <f>IF($B92=Inputs!$C$1,SUM(Outputs_Internal!M$4, Outputs_Internal!$M$5),0)*$D92</f>
        <v>0</v>
      </c>
      <c r="M92" s="67">
        <f>$F92*Outputs_Internal!$D$51/12</f>
        <v>0</v>
      </c>
      <c r="N92" s="67">
        <f>$F92*Outputs_Internal!K$51/12</f>
        <v>0</v>
      </c>
      <c r="O92" s="67">
        <f>$F92*Outputs_Internal!L$51/12</f>
        <v>0</v>
      </c>
      <c r="P92" s="67">
        <f>$F92*Outputs_Internal!M$51/12</f>
        <v>0</v>
      </c>
      <c r="Q92" s="67">
        <f>$F92*Outputs_Internal!N$51/12</f>
        <v>0</v>
      </c>
      <c r="S92" s="67">
        <f t="shared" si="7"/>
        <v>0</v>
      </c>
      <c r="T92" s="67">
        <f t="shared" si="8"/>
        <v>0</v>
      </c>
      <c r="U92" s="67">
        <f t="shared" si="9"/>
        <v>0</v>
      </c>
      <c r="V92" s="67">
        <f t="shared" si="10"/>
        <v>0</v>
      </c>
      <c r="W92" s="67">
        <f t="shared" si="11"/>
        <v>0</v>
      </c>
    </row>
    <row r="93" spans="2:23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IF($B93=Inputs!$C$1,SUM(Outputs_Internal!K$4, Outputs_Internal!K$5),0)*$D93</f>
        <v>0</v>
      </c>
      <c r="J93" s="67">
        <f>IF($B93=Inputs!$C$1,SUM(Outputs_Internal!L$4, Outputs_Internal!L$5),0)*$D93</f>
        <v>0</v>
      </c>
      <c r="K93" s="67">
        <f>IF($B93=Inputs!$C$1,SUM(Outputs_Internal!M$4, Outputs_Internal!$M$5),0)*$D93</f>
        <v>0</v>
      </c>
      <c r="M93" s="67">
        <f>$F93*Outputs_Internal!$D$51/12</f>
        <v>0</v>
      </c>
      <c r="N93" s="67">
        <f>$F93*Outputs_Internal!K$51/12</f>
        <v>0</v>
      </c>
      <c r="O93" s="67">
        <f>$F93*Outputs_Internal!L$51/12</f>
        <v>0</v>
      </c>
      <c r="P93" s="67">
        <f>$F93*Outputs_Internal!M$51/12</f>
        <v>0</v>
      </c>
      <c r="Q93" s="67">
        <f>$F93*Outputs_Internal!N$51/12</f>
        <v>0</v>
      </c>
      <c r="S93" s="67">
        <f t="shared" si="7"/>
        <v>0</v>
      </c>
      <c r="T93" s="67">
        <f t="shared" si="8"/>
        <v>0</v>
      </c>
      <c r="U93" s="67">
        <f t="shared" si="9"/>
        <v>0</v>
      </c>
      <c r="V93" s="67">
        <f t="shared" si="10"/>
        <v>0</v>
      </c>
      <c r="W93" s="67">
        <f t="shared" si="11"/>
        <v>0</v>
      </c>
    </row>
    <row r="94" spans="2:23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IF($B94=Inputs!$C$1,SUM(Outputs_Internal!K$4, Outputs_Internal!K$5),0)*$D94</f>
        <v>0</v>
      </c>
      <c r="J94" s="67">
        <f>IF($B94=Inputs!$C$1,SUM(Outputs_Internal!L$4, Outputs_Internal!L$5),0)*$D94</f>
        <v>0</v>
      </c>
      <c r="K94" s="67">
        <f>IF($B94=Inputs!$C$1,SUM(Outputs_Internal!M$4, Outputs_Internal!$M$5),0)*$D94</f>
        <v>0</v>
      </c>
      <c r="M94" s="67">
        <f>$F94*Outputs_Internal!$D$51/12</f>
        <v>0</v>
      </c>
      <c r="N94" s="67">
        <f>$F94*Outputs_Internal!K$51/12</f>
        <v>0</v>
      </c>
      <c r="O94" s="67">
        <f>$F94*Outputs_Internal!L$51/12</f>
        <v>0</v>
      </c>
      <c r="P94" s="67">
        <f>$F94*Outputs_Internal!M$51/12</f>
        <v>0</v>
      </c>
      <c r="Q94" s="67">
        <f>$F94*Outputs_Internal!N$51/12</f>
        <v>0</v>
      </c>
      <c r="S94" s="67">
        <f t="shared" si="7"/>
        <v>0</v>
      </c>
      <c r="T94" s="67">
        <f t="shared" si="8"/>
        <v>0</v>
      </c>
      <c r="U94" s="67">
        <f t="shared" si="9"/>
        <v>0</v>
      </c>
      <c r="V94" s="67">
        <f t="shared" si="10"/>
        <v>0</v>
      </c>
      <c r="W94" s="67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8"/>
  <sheetViews>
    <sheetView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8100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1200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4800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2400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2400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7200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101</v>
      </c>
      <c r="D16" s="18">
        <f xml:space="preserve"> IF(OR(Inputs!D14="Y",Inputs!D$19="Y"), Prices!$C15, 0)</f>
        <v>4800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101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8100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1200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4800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2400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2400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7200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101</v>
      </c>
      <c r="D42" s="18">
        <f>IF(AND(Inputs!D14="Y",Inputs!D$19="N"),Prices!$C15,0)</f>
        <v>4800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101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1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1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1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1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48900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IF(D98=1, 0, IF(D98=2, $E$101, IF(D98=3, $E$102, IF(D98=4, $E$103, IF(D98=5, $E$104, "")))))</f>
        <v>0</v>
      </c>
      <c r="E90" s="1">
        <f t="shared" ref="E90:H90" si="21">IF(E98=1, 0, IF(E98=2, $E$101, IF(E98=3, $E$102, IF(E98=4, $E$103, IF(E98=5, $E$104,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2" spans="2:8" x14ac:dyDescent="0.25">
      <c r="B92" s="6" t="s">
        <v>56</v>
      </c>
      <c r="D92" s="7">
        <f>SUM(D88, D90)</f>
        <v>48900</v>
      </c>
      <c r="E92" s="7">
        <f>SUM(E88, E90)</f>
        <v>0</v>
      </c>
      <c r="F92" s="7">
        <f>SUM(F88, F90)</f>
        <v>0</v>
      </c>
      <c r="G92" s="7">
        <f>SUM(G88, G90)</f>
        <v>0</v>
      </c>
      <c r="H92" s="7">
        <f>SUM(H88, H90)</f>
        <v>0</v>
      </c>
    </row>
    <row r="95" spans="2:8" s="21" customFormat="1" x14ac:dyDescent="0.25">
      <c r="B95" s="27"/>
      <c r="C95" s="21" t="s">
        <v>65</v>
      </c>
      <c r="D95" s="21">
        <f>IFERROR(_xlfn.RANK.EQ(D88,$D$88:$H$88),5)</f>
        <v>1</v>
      </c>
      <c r="E95" s="21">
        <f t="shared" ref="E95:H95" si="22">IFERROR(_xlfn.RANK.EQ(E88,$D$88:$H$88),5)</f>
        <v>2</v>
      </c>
      <c r="F95" s="21">
        <f t="shared" si="22"/>
        <v>2</v>
      </c>
      <c r="G95" s="21">
        <f t="shared" si="22"/>
        <v>2</v>
      </c>
      <c r="H95" s="21">
        <f t="shared" si="22"/>
        <v>2</v>
      </c>
    </row>
    <row r="96" spans="2:8" s="21" customFormat="1" x14ac:dyDescent="0.25">
      <c r="B96" s="27"/>
      <c r="D96" s="21">
        <v>0.1</v>
      </c>
      <c r="E96" s="21">
        <v>0.2</v>
      </c>
      <c r="F96" s="21">
        <v>0.3</v>
      </c>
      <c r="G96" s="21">
        <v>0.4</v>
      </c>
      <c r="H96" s="21">
        <v>0.5</v>
      </c>
    </row>
    <row r="97" spans="2:8" s="21" customFormat="1" x14ac:dyDescent="0.25">
      <c r="B97" s="27"/>
      <c r="D97" s="21">
        <f>SUM(D95:D96)</f>
        <v>1.1000000000000001</v>
      </c>
      <c r="E97" s="21">
        <f t="shared" ref="E97:H97" si="23">SUM(E95:E96)</f>
        <v>2.2000000000000002</v>
      </c>
      <c r="F97" s="21">
        <f t="shared" si="23"/>
        <v>2.2999999999999998</v>
      </c>
      <c r="G97" s="21">
        <f t="shared" si="23"/>
        <v>2.4</v>
      </c>
      <c r="H97" s="21">
        <f t="shared" si="23"/>
        <v>2.5</v>
      </c>
    </row>
    <row r="98" spans="2:8" s="21" customFormat="1" x14ac:dyDescent="0.25">
      <c r="B98" s="27"/>
      <c r="D98" s="21">
        <f>_xlfn.RANK.EQ(D97, $D$97:$H$97, 5)</f>
        <v>1</v>
      </c>
      <c r="E98" s="21">
        <f t="shared" ref="E98:H98" si="24">_xlfn.RANK.EQ(E97, $D$97:$H$97, 5)</f>
        <v>2</v>
      </c>
      <c r="F98" s="21">
        <f t="shared" si="24"/>
        <v>3</v>
      </c>
      <c r="G98" s="21">
        <f t="shared" si="24"/>
        <v>4</v>
      </c>
      <c r="H98" s="21">
        <f t="shared" si="24"/>
        <v>5</v>
      </c>
    </row>
    <row r="99" spans="2:8" s="21" customFormat="1" x14ac:dyDescent="0.25">
      <c r="B99" s="27"/>
    </row>
    <row r="100" spans="2:8" s="21" customFormat="1" x14ac:dyDescent="0.25">
      <c r="B100" s="27"/>
      <c r="C100" s="21" t="s">
        <v>53</v>
      </c>
    </row>
    <row r="101" spans="2:8" s="21" customFormat="1" x14ac:dyDescent="0.25">
      <c r="B101" s="27"/>
      <c r="D101" s="21" t="s">
        <v>41</v>
      </c>
      <c r="E101" s="23">
        <f>INDEX($D$88:$H$88, 1, MATCH(2, $D$98:$H$98, 0))*Prices!$I$10*-1</f>
        <v>0</v>
      </c>
    </row>
    <row r="102" spans="2:8" s="21" customFormat="1" x14ac:dyDescent="0.25">
      <c r="B102" s="27"/>
      <c r="D102" s="21" t="s">
        <v>42</v>
      </c>
      <c r="E102" s="23">
        <f>INDEX($D$88:$H$88, 1, MATCH(3, $D$98:$H$98, 0))*Prices!$I$11*-1</f>
        <v>0</v>
      </c>
    </row>
    <row r="103" spans="2:8" s="21" customFormat="1" x14ac:dyDescent="0.25">
      <c r="B103" s="27"/>
      <c r="D103" s="21" t="s">
        <v>54</v>
      </c>
      <c r="E103" s="23">
        <f>INDEX($D$88:$H$88, 1, MATCH(4, $D$98:$H$98, 0))*Prices!$I$11*-1</f>
        <v>0</v>
      </c>
    </row>
    <row r="104" spans="2:8" s="21" customFormat="1" x14ac:dyDescent="0.25">
      <c r="B104" s="27"/>
      <c r="D104" s="21" t="s">
        <v>55</v>
      </c>
      <c r="E104" s="23">
        <f>INDEX($D$88:$H$88, 1, MATCH(5, $D$98:$H$98, 0))*Prices!$I$11*-1</f>
        <v>0</v>
      </c>
    </row>
    <row r="108" spans="2:8" x14ac:dyDescent="0.25">
      <c r="F108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18000</v>
      </c>
      <c r="D6" s="43">
        <v>33000</v>
      </c>
      <c r="E6" s="39">
        <v>0.4</v>
      </c>
      <c r="H6" t="s">
        <v>38</v>
      </c>
      <c r="I6" s="3">
        <v>0.45</v>
      </c>
    </row>
    <row r="7" spans="2:9" x14ac:dyDescent="0.25">
      <c r="B7" s="15" t="s">
        <v>31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1200</v>
      </c>
      <c r="D10" s="41">
        <v>0.05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4800</v>
      </c>
      <c r="D11" s="41">
        <v>7.0000000000000007E-2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2400</v>
      </c>
      <c r="D12" s="41">
        <v>0.05</v>
      </c>
    </row>
    <row r="13" spans="2:9" x14ac:dyDescent="0.25">
      <c r="B13" s="17" t="s">
        <v>12</v>
      </c>
      <c r="C13" s="45">
        <v>2400</v>
      </c>
      <c r="D13" s="41">
        <v>0.05</v>
      </c>
      <c r="H13" s="4"/>
    </row>
    <row r="14" spans="2:9" x14ac:dyDescent="0.25">
      <c r="B14" s="17" t="s">
        <v>13</v>
      </c>
      <c r="C14" s="45">
        <v>7200</v>
      </c>
      <c r="D14" s="41">
        <v>7.0000000000000007E-2</v>
      </c>
      <c r="H14" s="62" t="s">
        <v>83</v>
      </c>
      <c r="I14" s="61">
        <v>1.2500000000000001E-2</v>
      </c>
    </row>
    <row r="15" spans="2:9" x14ac:dyDescent="0.25">
      <c r="B15" s="17" t="s">
        <v>101</v>
      </c>
      <c r="C15" s="45">
        <v>4800</v>
      </c>
      <c r="D15" s="41">
        <v>7.0000000000000007E-2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12000</v>
      </c>
      <c r="D16" s="42">
        <v>0.25</v>
      </c>
      <c r="H16" s="4"/>
      <c r="I16" s="3"/>
    </row>
    <row r="17" spans="2:4" x14ac:dyDescent="0.25">
      <c r="B17" s="19" t="s">
        <v>15</v>
      </c>
      <c r="C17" s="46">
        <v>6000</v>
      </c>
      <c r="D17" s="42">
        <v>0.1</v>
      </c>
    </row>
    <row r="18" spans="2:4" x14ac:dyDescent="0.25">
      <c r="B18" s="19" t="s">
        <v>34</v>
      </c>
      <c r="C18" s="46">
        <v>6000</v>
      </c>
      <c r="D18" s="42">
        <v>0</v>
      </c>
    </row>
    <row r="19" spans="2:4" x14ac:dyDescent="0.25">
      <c r="C19" s="44"/>
      <c r="D19" s="40"/>
    </row>
    <row r="20" spans="2:4" x14ac:dyDescent="0.25">
      <c r="B20" s="17" t="s">
        <v>17</v>
      </c>
      <c r="C20" s="45">
        <v>10200</v>
      </c>
      <c r="D20" s="41">
        <v>0</v>
      </c>
    </row>
    <row r="21" spans="2:4" x14ac:dyDescent="0.25">
      <c r="B21" s="17" t="s">
        <v>18</v>
      </c>
      <c r="C21" s="45">
        <v>39600</v>
      </c>
      <c r="D21" s="41">
        <v>0.4</v>
      </c>
    </row>
    <row r="22" spans="2:4" x14ac:dyDescent="0.25">
      <c r="B22" s="19" t="s">
        <v>19</v>
      </c>
      <c r="C22" s="46">
        <v>42000</v>
      </c>
      <c r="D22" s="42">
        <v>0.42</v>
      </c>
    </row>
    <row r="23" spans="2:4" x14ac:dyDescent="0.25">
      <c r="B23" s="19" t="s">
        <v>20</v>
      </c>
      <c r="C23" s="46">
        <v>33600</v>
      </c>
      <c r="D23" s="4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2018-02-21T16:03:39Z</dcterms:modified>
</cp:coreProperties>
</file>