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2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6" i="7" l="1"/>
  <c r="G26" i="7"/>
  <c r="I26" i="7" s="1"/>
  <c r="F26" i="7" l="1"/>
  <c r="H8" i="7" l="1"/>
  <c r="H9" i="7"/>
  <c r="H10" i="7"/>
  <c r="H12" i="7"/>
  <c r="H13" i="7"/>
  <c r="H15" i="7"/>
  <c r="H16" i="7"/>
  <c r="H17" i="7"/>
  <c r="H18" i="7"/>
  <c r="N59" i="7" l="1"/>
  <c r="N62" i="7"/>
  <c r="K59" i="7"/>
  <c r="I59" i="7"/>
  <c r="I62" i="7"/>
  <c r="H59" i="7"/>
  <c r="D61" i="7"/>
  <c r="G44" i="7"/>
  <c r="G43" i="7"/>
  <c r="G42" i="7"/>
  <c r="H43" i="7"/>
  <c r="H36" i="7"/>
  <c r="H33" i="7"/>
  <c r="H32" i="7"/>
  <c r="H31" i="7"/>
  <c r="H30" i="7"/>
  <c r="H29" i="7"/>
  <c r="H28" i="7"/>
  <c r="H27" i="7"/>
  <c r="H25" i="7"/>
  <c r="H24" i="7"/>
  <c r="H23" i="7"/>
  <c r="I33" i="7"/>
  <c r="I32" i="7"/>
  <c r="I31" i="7"/>
  <c r="I30" i="7"/>
  <c r="I29" i="7"/>
  <c r="N29" i="7" s="1"/>
  <c r="I28" i="7"/>
  <c r="I27" i="7"/>
  <c r="I25" i="7"/>
  <c r="N25" i="7" s="1"/>
  <c r="I24" i="7"/>
  <c r="N30" i="7"/>
  <c r="N26" i="7"/>
  <c r="N31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N42" i="7"/>
  <c r="N43" i="7"/>
  <c r="N44" i="7"/>
  <c r="N45" i="7"/>
  <c r="N36" i="7"/>
  <c r="M36" i="7"/>
  <c r="N37" i="7"/>
  <c r="N38" i="7"/>
  <c r="N39" i="7"/>
  <c r="N23" i="7"/>
  <c r="M23" i="7"/>
  <c r="N24" i="7"/>
  <c r="N27" i="7"/>
  <c r="N28" i="7"/>
  <c r="N32" i="7"/>
  <c r="N33" i="7"/>
  <c r="N14" i="7"/>
  <c r="N8" i="7"/>
  <c r="N9" i="7"/>
  <c r="N10" i="7"/>
  <c r="N11" i="7"/>
  <c r="N12" i="7"/>
  <c r="N13" i="7"/>
  <c r="N15" i="7"/>
  <c r="N16" i="7"/>
  <c r="N17" i="7"/>
  <c r="N18" i="7"/>
  <c r="K3" i="8" l="1"/>
  <c r="J3" i="8"/>
  <c r="I3" i="8"/>
  <c r="H3" i="8"/>
  <c r="H5" i="7"/>
  <c r="H37" i="7" l="1"/>
  <c r="H4" i="1" l="1"/>
  <c r="G4" i="1"/>
  <c r="F4" i="1"/>
  <c r="E4" i="1"/>
  <c r="D4" i="1"/>
  <c r="H61" i="1" l="1"/>
  <c r="G61" i="1"/>
  <c r="F61" i="1"/>
  <c r="E61" i="1"/>
  <c r="D61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D6" i="8"/>
  <c r="L42" i="7"/>
  <c r="F28" i="7"/>
  <c r="F25" i="7"/>
  <c r="F29" i="7"/>
  <c r="F33" i="7"/>
  <c r="K33" i="7" s="1"/>
  <c r="L24" i="7"/>
  <c r="L33" i="7"/>
  <c r="H62" i="7"/>
  <c r="G62" i="7"/>
  <c r="F62" i="7"/>
  <c r="G59" i="7"/>
  <c r="F59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I6" i="8" l="1"/>
  <c r="J6" i="8"/>
  <c r="H6" i="8"/>
  <c r="K6" i="8"/>
  <c r="K5" i="8"/>
  <c r="J5" i="8"/>
  <c r="I5" i="8"/>
  <c r="H5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I7" i="8" l="1"/>
  <c r="J7" i="8"/>
  <c r="K7" i="8"/>
  <c r="H7" i="8"/>
  <c r="D8" i="8"/>
  <c r="H75" i="1"/>
  <c r="G74" i="1"/>
  <c r="H74" i="1"/>
  <c r="G75" i="1"/>
  <c r="F75" i="1"/>
  <c r="D75" i="1"/>
  <c r="E74" i="1"/>
  <c r="E75" i="1"/>
  <c r="E20" i="5"/>
  <c r="F20" i="5"/>
  <c r="G20" i="5"/>
  <c r="J8" i="8" l="1"/>
  <c r="K8" i="8"/>
  <c r="I8" i="8"/>
  <c r="H8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D4" i="7" s="1"/>
  <c r="H64" i="1"/>
  <c r="G64" i="1"/>
  <c r="F64" i="1"/>
  <c r="E64" i="1"/>
  <c r="D59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N4" i="7" l="1"/>
  <c r="K4" i="7"/>
  <c r="M4" i="7"/>
  <c r="C32" i="5"/>
  <c r="E9" i="8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L59" i="7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M59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E10" i="8" l="1"/>
  <c r="F9" i="8"/>
  <c r="K10" i="8"/>
  <c r="I10" i="8"/>
  <c r="J10" i="8"/>
  <c r="H10" i="8"/>
  <c r="K8" i="7"/>
  <c r="L8" i="7"/>
  <c r="D39" i="7"/>
  <c r="F47" i="8"/>
  <c r="L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E80" i="1"/>
  <c r="D60" i="7"/>
  <c r="D62" i="7"/>
  <c r="D80" i="1"/>
  <c r="D82" i="1"/>
  <c r="D45" i="7" s="1"/>
  <c r="D21" i="5"/>
  <c r="L36" i="7"/>
  <c r="L9" i="7"/>
  <c r="M9" i="7"/>
  <c r="K9" i="7"/>
  <c r="K9" i="8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I11" i="8" l="1"/>
  <c r="J11" i="8"/>
  <c r="K11" i="8"/>
  <c r="H11" i="8"/>
  <c r="E11" i="8"/>
  <c r="F10" i="8"/>
  <c r="F48" i="8"/>
  <c r="D12" i="8"/>
  <c r="K45" i="7"/>
  <c r="M45" i="7"/>
  <c r="L45" i="7"/>
  <c r="D43" i="7"/>
  <c r="K43" i="7" s="1"/>
  <c r="D44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2" i="7"/>
  <c r="M62" i="7"/>
  <c r="L62" i="7"/>
  <c r="D85" i="1"/>
  <c r="M18" i="7"/>
  <c r="K18" i="7"/>
  <c r="D86" i="1"/>
  <c r="E86" i="1"/>
  <c r="E85" i="1"/>
  <c r="F86" i="1"/>
  <c r="F85" i="1"/>
  <c r="G86" i="1"/>
  <c r="G85" i="1"/>
  <c r="H86" i="1"/>
  <c r="H85" i="1"/>
  <c r="I12" i="8" l="1"/>
  <c r="J12" i="8"/>
  <c r="K12" i="8"/>
  <c r="H12" i="8"/>
  <c r="E12" i="8"/>
  <c r="F11" i="8"/>
  <c r="F49" i="8"/>
  <c r="D88" i="1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0" i="7" l="1"/>
  <c r="M60" i="7" s="1"/>
  <c r="I60" i="7"/>
  <c r="N60" i="7" s="1"/>
  <c r="H61" i="7"/>
  <c r="M61" i="7" s="1"/>
  <c r="I61" i="7"/>
  <c r="N61" i="7" s="1"/>
  <c r="E13" i="8"/>
  <c r="F12" i="8"/>
  <c r="J13" i="8"/>
  <c r="K13" i="8"/>
  <c r="I13" i="8"/>
  <c r="H13" i="8"/>
  <c r="F50" i="8"/>
  <c r="D14" i="8"/>
  <c r="F60" i="7"/>
  <c r="K60" i="7" s="1"/>
  <c r="G61" i="7"/>
  <c r="L61" i="7" s="1"/>
  <c r="F61" i="7"/>
  <c r="K61" i="7" s="1"/>
  <c r="G60" i="7"/>
  <c r="L60" i="7" s="1"/>
  <c r="D48" i="7"/>
  <c r="D95" i="1"/>
  <c r="D97" i="1" s="1"/>
  <c r="F95" i="1"/>
  <c r="F97" i="1" s="1"/>
  <c r="G95" i="1"/>
  <c r="H95" i="1"/>
  <c r="E95" i="1"/>
  <c r="I48" i="7" l="1"/>
  <c r="N48" i="7" s="1"/>
  <c r="H48" i="7"/>
  <c r="M48" i="7" s="1"/>
  <c r="H49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97" i="1"/>
  <c r="H97" i="1"/>
  <c r="G97" i="1"/>
  <c r="F49" i="7" l="1"/>
  <c r="G49" i="7"/>
  <c r="I15" i="8"/>
  <c r="J15" i="8"/>
  <c r="H15" i="8"/>
  <c r="K15" i="8"/>
  <c r="E15" i="8"/>
  <c r="F14" i="8"/>
  <c r="F52" i="8"/>
  <c r="D16" i="8"/>
  <c r="F98" i="1"/>
  <c r="G98" i="1"/>
  <c r="H98" i="1"/>
  <c r="E98" i="1"/>
  <c r="D98" i="1"/>
  <c r="I49" i="7" l="1"/>
  <c r="I16" i="8"/>
  <c r="J16" i="8"/>
  <c r="K16" i="8"/>
  <c r="H16" i="8"/>
  <c r="E16" i="8"/>
  <c r="F15" i="8"/>
  <c r="F53" i="8"/>
  <c r="D17" i="8"/>
  <c r="E101" i="1"/>
  <c r="E104" i="1"/>
  <c r="H90" i="1" s="1"/>
  <c r="E102" i="1"/>
  <c r="E103" i="1"/>
  <c r="J17" i="8" l="1"/>
  <c r="K17" i="8"/>
  <c r="I17" i="8"/>
  <c r="H17" i="8"/>
  <c r="E17" i="8"/>
  <c r="F16" i="8"/>
  <c r="F54" i="8"/>
  <c r="D18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K18" i="8" l="1"/>
  <c r="I18" i="8"/>
  <c r="H18" i="8"/>
  <c r="J18" i="8"/>
  <c r="E18" i="8"/>
  <c r="F17" i="8"/>
  <c r="F55" i="8"/>
  <c r="D19" i="8"/>
  <c r="E92" i="1"/>
  <c r="F92" i="1"/>
  <c r="D92" i="1"/>
  <c r="G27" i="5"/>
  <c r="D49" i="7" s="1"/>
  <c r="N49" i="7" s="1"/>
  <c r="N51" i="7" s="1"/>
  <c r="G92" i="1"/>
  <c r="Q3" i="8" l="1"/>
  <c r="Q32" i="8"/>
  <c r="Q56" i="8"/>
  <c r="Q54" i="8"/>
  <c r="Q42" i="8"/>
  <c r="Q19" i="8"/>
  <c r="Q82" i="8"/>
  <c r="Q17" i="8"/>
  <c r="Q28" i="8"/>
  <c r="Q52" i="8"/>
  <c r="Q77" i="8"/>
  <c r="Q34" i="8"/>
  <c r="Q78" i="8"/>
  <c r="Q15" i="8"/>
  <c r="Q44" i="8"/>
  <c r="Q24" i="8"/>
  <c r="Q37" i="8"/>
  <c r="Q83" i="8"/>
  <c r="Q57" i="8"/>
  <c r="Q46" i="8"/>
  <c r="Q38" i="8"/>
  <c r="Q92" i="8"/>
  <c r="Q70" i="8"/>
  <c r="Q4" i="8"/>
  <c r="Q76" i="8"/>
  <c r="Q14" i="8"/>
  <c r="Q69" i="8"/>
  <c r="Q62" i="8"/>
  <c r="Q39" i="8"/>
  <c r="Q59" i="8"/>
  <c r="Q30" i="8"/>
  <c r="Q16" i="8"/>
  <c r="Q73" i="8"/>
  <c r="Q49" i="8"/>
  <c r="Q22" i="8"/>
  <c r="Q66" i="8"/>
  <c r="Q67" i="8"/>
  <c r="Q48" i="8"/>
  <c r="Q88" i="8"/>
  <c r="Q58" i="8"/>
  <c r="Q63" i="8"/>
  <c r="Q45" i="8"/>
  <c r="Q35" i="8"/>
  <c r="Q47" i="8"/>
  <c r="Q84" i="8"/>
  <c r="Q31" i="8"/>
  <c r="Q8" i="8"/>
  <c r="Q36" i="8"/>
  <c r="W38" i="8" s="1"/>
  <c r="Q61" i="8"/>
  <c r="Q86" i="8"/>
  <c r="Q50" i="8"/>
  <c r="Q23" i="8"/>
  <c r="Q5" i="8"/>
  <c r="Q26" i="8"/>
  <c r="Q20" i="8"/>
  <c r="Q72" i="8"/>
  <c r="Q21" i="8"/>
  <c r="Q85" i="8"/>
  <c r="Q94" i="8"/>
  <c r="Q11" i="8"/>
  <c r="Q80" i="8"/>
  <c r="Q29" i="8"/>
  <c r="Q90" i="8"/>
  <c r="Q75" i="8"/>
  <c r="W77" i="8" s="1"/>
  <c r="Q89" i="8"/>
  <c r="Q51" i="8"/>
  <c r="Q79" i="8"/>
  <c r="Q25" i="8"/>
  <c r="Q91" i="8"/>
  <c r="Q64" i="8"/>
  <c r="Q9" i="8"/>
  <c r="Q33" i="8"/>
  <c r="W35" i="8" s="1"/>
  <c r="Q6" i="8"/>
  <c r="W8" i="8" s="1"/>
  <c r="Q43" i="8"/>
  <c r="Q7" i="8"/>
  <c r="Q40" i="8"/>
  <c r="Q27" i="8"/>
  <c r="W29" i="8" s="1"/>
  <c r="Q41" i="8"/>
  <c r="Q13" i="8"/>
  <c r="Q93" i="8"/>
  <c r="Q74" i="8"/>
  <c r="Q71" i="8"/>
  <c r="Q60" i="8"/>
  <c r="Q68" i="8"/>
  <c r="Q18" i="8"/>
  <c r="W20" i="8" s="1"/>
  <c r="Q10" i="8"/>
  <c r="Q12" i="8"/>
  <c r="W14" i="8" s="1"/>
  <c r="Q81" i="8"/>
  <c r="W83" i="8" s="1"/>
  <c r="Q65" i="8"/>
  <c r="Q55" i="8"/>
  <c r="Q53" i="8"/>
  <c r="Q87" i="8"/>
  <c r="W89" i="8" s="1"/>
  <c r="I19" i="8"/>
  <c r="J19" i="8"/>
  <c r="H19" i="8"/>
  <c r="K19" i="8"/>
  <c r="E19" i="8"/>
  <c r="F18" i="8"/>
  <c r="F56" i="8"/>
  <c r="D20" i="8"/>
  <c r="K49" i="7"/>
  <c r="K51" i="7" s="1"/>
  <c r="L49" i="7"/>
  <c r="L51" i="7" s="1"/>
  <c r="M49" i="7"/>
  <c r="M51" i="7" s="1"/>
  <c r="G29" i="5"/>
  <c r="G34" i="5" s="1"/>
  <c r="C39" i="5" s="1"/>
  <c r="W62" i="8" l="1"/>
  <c r="W11" i="8"/>
  <c r="W23" i="8"/>
  <c r="W5" i="8"/>
  <c r="W74" i="8"/>
  <c r="W68" i="8"/>
  <c r="W26" i="8"/>
  <c r="W56" i="8"/>
  <c r="W92" i="8"/>
  <c r="W32" i="8"/>
  <c r="W71" i="8"/>
  <c r="W59" i="8"/>
  <c r="D52" i="7"/>
  <c r="W53" i="8"/>
  <c r="W47" i="8"/>
  <c r="W50" i="8"/>
  <c r="W17" i="8"/>
  <c r="W86" i="8"/>
  <c r="W65" i="8"/>
  <c r="W41" i="8"/>
  <c r="W80" i="8"/>
  <c r="W44" i="8"/>
  <c r="P3" i="8"/>
  <c r="I20" i="8"/>
  <c r="J20" i="8"/>
  <c r="K20" i="8"/>
  <c r="H20" i="8"/>
  <c r="D21" i="8"/>
  <c r="E20" i="8"/>
  <c r="F19" i="8"/>
  <c r="P19" i="8" s="1"/>
  <c r="D51" i="7"/>
  <c r="M9" i="8" s="1"/>
  <c r="F57" i="8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57" i="8"/>
  <c r="P49" i="8"/>
  <c r="P17" i="8"/>
  <c r="P9" i="8"/>
  <c r="P52" i="8"/>
  <c r="P4" i="8"/>
  <c r="V5" i="8" s="1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57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11" i="8"/>
  <c r="M10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84" i="8"/>
  <c r="M55" i="8"/>
  <c r="N54" i="7" l="1"/>
  <c r="E21" i="8"/>
  <c r="F20" i="8"/>
  <c r="O19" i="8"/>
  <c r="J21" i="8"/>
  <c r="K21" i="8"/>
  <c r="I21" i="8"/>
  <c r="H21" i="8"/>
  <c r="U11" i="8"/>
  <c r="F58" i="8"/>
  <c r="U14" i="8"/>
  <c r="S11" i="8"/>
  <c r="T11" i="8"/>
  <c r="T17" i="8"/>
  <c r="U17" i="8"/>
  <c r="U8" i="8"/>
  <c r="V11" i="8"/>
  <c r="S5" i="8"/>
  <c r="S17" i="8"/>
  <c r="V17" i="8"/>
  <c r="T14" i="8"/>
  <c r="S14" i="8"/>
  <c r="S8" i="8"/>
  <c r="T5" i="8"/>
  <c r="T8" i="8"/>
  <c r="U5" i="8"/>
  <c r="V8" i="8"/>
  <c r="V14" i="8"/>
  <c r="D22" i="8"/>
  <c r="P20" i="8" l="1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N58" i="8"/>
  <c r="M58" i="8"/>
  <c r="P58" i="8"/>
  <c r="O58" i="8"/>
  <c r="F59" i="8"/>
  <c r="D23" i="8"/>
  <c r="I23" i="8" l="1"/>
  <c r="J23" i="8"/>
  <c r="H23" i="8"/>
  <c r="K23" i="8"/>
  <c r="E23" i="8"/>
  <c r="F22" i="8"/>
  <c r="N21" i="8"/>
  <c r="O21" i="8"/>
  <c r="M21" i="8"/>
  <c r="P21" i="8"/>
  <c r="O59" i="8"/>
  <c r="N59" i="8"/>
  <c r="M59" i="8"/>
  <c r="P59" i="8"/>
  <c r="F60" i="8"/>
  <c r="D24" i="8"/>
  <c r="N22" i="8" l="1"/>
  <c r="O22" i="8"/>
  <c r="M22" i="8"/>
  <c r="P22" i="8"/>
  <c r="I24" i="8"/>
  <c r="J24" i="8"/>
  <c r="K24" i="8"/>
  <c r="H24" i="8"/>
  <c r="E24" i="8"/>
  <c r="F23" i="8"/>
  <c r="O60" i="8"/>
  <c r="N60" i="8"/>
  <c r="P60" i="8"/>
  <c r="M60" i="8"/>
  <c r="F61" i="8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O61" i="8"/>
  <c r="N61" i="8"/>
  <c r="M61" i="8"/>
  <c r="P61" i="8"/>
  <c r="F62" i="8"/>
  <c r="D26" i="8"/>
  <c r="N24" i="8" l="1"/>
  <c r="M24" i="8"/>
  <c r="O24" i="8"/>
  <c r="P24" i="8"/>
  <c r="K26" i="8"/>
  <c r="H26" i="8"/>
  <c r="I26" i="8"/>
  <c r="J26" i="8"/>
  <c r="E26" i="8"/>
  <c r="F25" i="8"/>
  <c r="F63" i="8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P63" i="8"/>
  <c r="M63" i="8"/>
  <c r="O63" i="8"/>
  <c r="N63" i="8"/>
  <c r="F64" i="8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M64" i="8"/>
  <c r="P64" i="8"/>
  <c r="O64" i="8"/>
  <c r="N64" i="8"/>
  <c r="F65" i="8"/>
  <c r="D29" i="8"/>
  <c r="N27" i="8" l="1"/>
  <c r="P27" i="8"/>
  <c r="M27" i="8"/>
  <c r="O27" i="8"/>
  <c r="J29" i="8"/>
  <c r="K29" i="8"/>
  <c r="H29" i="8"/>
  <c r="I29" i="8"/>
  <c r="E29" i="8"/>
  <c r="F28" i="8"/>
  <c r="M65" i="8"/>
  <c r="P65" i="8"/>
  <c r="O65" i="8"/>
  <c r="N65" i="8"/>
  <c r="F66" i="8"/>
  <c r="D30" i="8"/>
  <c r="O28" i="8" l="1"/>
  <c r="M28" i="8"/>
  <c r="N28" i="8"/>
  <c r="P28" i="8"/>
  <c r="K30" i="8"/>
  <c r="H30" i="8"/>
  <c r="I30" i="8"/>
  <c r="J30" i="8"/>
  <c r="E30" i="8"/>
  <c r="F29" i="8"/>
  <c r="F67" i="8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F68" i="8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F69" i="8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F70" i="8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F71" i="8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F72" i="8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F73" i="8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F74" i="8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F75" i="8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F76" i="8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O76" i="8"/>
  <c r="M76" i="8"/>
  <c r="P76" i="8"/>
  <c r="N76" i="8"/>
  <c r="F77" i="8"/>
  <c r="D41" i="8"/>
  <c r="O39" i="8" l="1"/>
  <c r="P39" i="8"/>
  <c r="N39" i="8"/>
  <c r="M39" i="8"/>
  <c r="J41" i="8"/>
  <c r="K41" i="8"/>
  <c r="I41" i="8"/>
  <c r="H41" i="8"/>
  <c r="E41" i="8"/>
  <c r="F40" i="8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E43" i="8"/>
  <c r="D44" i="8"/>
  <c r="I44" i="8" l="1"/>
  <c r="J44" i="8"/>
  <c r="K44" i="8"/>
  <c r="H44" i="8"/>
  <c r="E44" i="8"/>
  <c r="F43" i="8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F1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D46" i="8"/>
  <c r="K46" i="8" l="1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K47" i="8"/>
  <c r="V47" i="8" s="1"/>
  <c r="D48" i="8"/>
  <c r="S47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H50" i="8"/>
  <c r="I50" i="8"/>
  <c r="J50" i="8"/>
  <c r="U50" i="8" s="1"/>
  <c r="D51" i="8"/>
  <c r="V50" i="8"/>
  <c r="S50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I53" i="8"/>
  <c r="H53" i="8"/>
  <c r="S53" i="8" s="1"/>
  <c r="D54" i="8"/>
  <c r="V53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J56" i="8"/>
  <c r="U56" i="8" s="1"/>
  <c r="K56" i="8"/>
  <c r="H56" i="8"/>
  <c r="D57" i="8"/>
  <c r="V56" i="8"/>
  <c r="S56" i="8"/>
  <c r="T56" i="8"/>
  <c r="J57" i="8" l="1"/>
  <c r="K57" i="8"/>
  <c r="I57" i="8"/>
  <c r="H57" i="8"/>
  <c r="D58" i="8"/>
  <c r="K58" i="8" l="1"/>
  <c r="H58" i="8"/>
  <c r="I58" i="8"/>
  <c r="J58" i="8"/>
  <c r="D59" i="8"/>
  <c r="H59" i="8" l="1"/>
  <c r="I59" i="8"/>
  <c r="J59" i="8"/>
  <c r="K59" i="8"/>
  <c r="V59" i="8" s="1"/>
  <c r="D60" i="8"/>
  <c r="S59" i="8"/>
  <c r="T59" i="8"/>
  <c r="U59" i="8"/>
  <c r="I60" i="8" l="1"/>
  <c r="J60" i="8"/>
  <c r="K60" i="8"/>
  <c r="H60" i="8"/>
  <c r="D61" i="8"/>
  <c r="J61" i="8" l="1"/>
  <c r="K61" i="8"/>
  <c r="H61" i="8"/>
  <c r="I61" i="8"/>
  <c r="D62" i="8"/>
  <c r="K62" i="8" l="1"/>
  <c r="H62" i="8"/>
  <c r="I62" i="8"/>
  <c r="J62" i="8"/>
  <c r="U62" i="8" s="1"/>
  <c r="D63" i="8"/>
  <c r="V62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I65" i="8"/>
  <c r="H65" i="8"/>
  <c r="D66" i="8"/>
  <c r="V65" i="8"/>
  <c r="S65" i="8"/>
  <c r="T65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V68" i="8" s="1"/>
  <c r="H68" i="8"/>
  <c r="D69" i="8"/>
  <c r="S68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H74" i="8"/>
  <c r="I74" i="8"/>
  <c r="J74" i="8"/>
  <c r="U74" i="8" s="1"/>
  <c r="D75" i="8"/>
  <c r="V74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J80" i="8"/>
  <c r="K80" i="8"/>
  <c r="V80" i="8" s="1"/>
  <c r="H80" i="8"/>
  <c r="S80" i="8" s="1"/>
  <c r="D81" i="8"/>
  <c r="T80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V83" i="8" s="1"/>
  <c r="D84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H86" i="8"/>
  <c r="I86" i="8"/>
  <c r="J86" i="8"/>
  <c r="U86" i="8" s="1"/>
  <c r="D87" i="8"/>
  <c r="V86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S89" i="8" s="1"/>
  <c r="D90" i="8"/>
  <c r="U89" i="8"/>
  <c r="T89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8" i="5" s="1"/>
  <c r="D93" i="8"/>
  <c r="U92" i="8"/>
  <c r="L54" i="7" s="1"/>
  <c r="T92" i="8"/>
  <c r="K54" i="7" s="1"/>
  <c r="V92" i="8"/>
  <c r="M54" i="7" s="1"/>
  <c r="J93" i="8" l="1"/>
  <c r="K93" i="8"/>
  <c r="H93" i="8"/>
  <c r="I93" i="8"/>
  <c r="D54" i="7"/>
  <c r="D94" i="8"/>
  <c r="M55" i="7" l="1"/>
  <c r="N55" i="7"/>
  <c r="K94" i="8"/>
  <c r="H94" i="8"/>
  <c r="I94" i="8"/>
  <c r="J94" i="8"/>
  <c r="K55" i="7"/>
  <c r="L55" i="7"/>
</calcChain>
</file>

<file path=xl/sharedStrings.xml><?xml version="1.0" encoding="utf-8"?>
<sst xmlns="http://schemas.openxmlformats.org/spreadsheetml/2006/main" count="280" uniqueCount="104">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</sst>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82</v>
      </c>
      <c r="C1" s="76">
        <v>43101</v>
      </c>
    </row>
    <row r="2" spans="2:12" x14ac:dyDescent="0.25">
      <c r="B2" s="72" t="s">
        <v>96</v>
      </c>
      <c r="C2" s="77">
        <v>36</v>
      </c>
    </row>
    <row r="3" spans="2:12" x14ac:dyDescent="0.25">
      <c r="B3" s="73"/>
      <c r="C3" s="78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44</v>
      </c>
      <c r="E5" s="56"/>
      <c r="F5" s="56"/>
      <c r="G5" s="56"/>
      <c r="H5" s="57"/>
      <c r="L5" t="s">
        <v>44</v>
      </c>
    </row>
    <row r="6" spans="2:12" ht="18" customHeight="1" x14ac:dyDescent="0.25">
      <c r="B6" s="74" t="s">
        <v>8</v>
      </c>
      <c r="D6" s="56" t="s">
        <v>44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33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44</v>
      </c>
      <c r="E13" s="56"/>
      <c r="F13" s="56"/>
      <c r="G13" s="56"/>
      <c r="H13" s="57"/>
    </row>
    <row r="14" spans="2:12" ht="18" customHeight="1" x14ac:dyDescent="0.25">
      <c r="B14" s="74" t="s">
        <v>101</v>
      </c>
      <c r="D14" s="56" t="s">
        <v>44</v>
      </c>
      <c r="E14" s="56"/>
      <c r="F14" s="56"/>
      <c r="G14" s="56"/>
      <c r="H14" s="57"/>
    </row>
    <row r="15" spans="2:12" ht="18" customHeight="1" x14ac:dyDescent="0.25">
      <c r="B15" s="74" t="s">
        <v>14</v>
      </c>
      <c r="D15" s="56" t="s">
        <v>44</v>
      </c>
      <c r="E15" s="56"/>
      <c r="F15" s="56"/>
      <c r="G15" s="56"/>
      <c r="H15" s="57"/>
    </row>
    <row r="16" spans="2:12" ht="18" customHeight="1" x14ac:dyDescent="0.25">
      <c r="B16" s="74" t="s">
        <v>15</v>
      </c>
      <c r="D16" s="56" t="s">
        <v>44</v>
      </c>
      <c r="E16" s="56"/>
      <c r="F16" s="56"/>
      <c r="G16" s="56"/>
      <c r="H16" s="57"/>
    </row>
    <row r="17" spans="2:8" ht="18" customHeight="1" x14ac:dyDescent="0.25">
      <c r="B17" s="74" t="s">
        <v>16</v>
      </c>
      <c r="D17" s="56" t="s">
        <v>44</v>
      </c>
      <c r="E17" s="56"/>
      <c r="F17" s="56"/>
      <c r="G17" s="56"/>
      <c r="H17" s="57"/>
    </row>
    <row r="18" spans="2:8" ht="18" customHeight="1" x14ac:dyDescent="0.25">
      <c r="B18" s="74" t="s">
        <v>17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18</v>
      </c>
      <c r="D19" s="56" t="s">
        <v>44</v>
      </c>
      <c r="E19" s="56"/>
      <c r="F19" s="56"/>
      <c r="G19" s="56"/>
      <c r="H19" s="57"/>
    </row>
    <row r="20" spans="2:8" ht="18" customHeight="1" x14ac:dyDescent="0.25">
      <c r="B20" s="74" t="s">
        <v>19</v>
      </c>
      <c r="D20" s="56" t="s">
        <v>44</v>
      </c>
      <c r="E20" s="56"/>
      <c r="F20" s="56"/>
      <c r="G20" s="56"/>
      <c r="H20" s="57"/>
    </row>
    <row r="21" spans="2:8" ht="18" customHeight="1" x14ac:dyDescent="0.25">
      <c r="B21" s="75" t="s">
        <v>20</v>
      </c>
      <c r="C21" s="71"/>
      <c r="D21" s="58" t="s">
        <v>44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1200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4800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2400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2400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101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61</v>
      </c>
      <c r="D29" s="7">
        <f>SUM(D7:D17, D20:D23, D26:D27)</f>
        <v>47100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98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97</v>
      </c>
      <c r="D34" s="7">
        <f>(D29/12*Inputs!$C$2+D4)*$C$32</f>
        <v>146300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94</v>
      </c>
    </row>
    <row r="38" spans="2:21" x14ac:dyDescent="0.25">
      <c r="C38" s="7">
        <f>SUM(Outputs_Timeline!S:S)</f>
        <v>146300</v>
      </c>
    </row>
    <row r="39" spans="2:21" x14ac:dyDescent="0.25">
      <c r="C39" s="53">
        <f>SUM(D34:H34)</f>
        <v>146300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2"/>
  <sheetViews>
    <sheetView tabSelected="1" workbookViewId="0">
      <pane xSplit="3" ySplit="2" topLeftCell="D6" activePane="bottomRight" state="frozen"/>
      <selection pane="topRight" activeCell="D1" sqref="D1"/>
      <selection pane="bottomLeft" activeCell="A3" sqref="A3"/>
      <selection pane="bottomRight" activeCell="G32" sqref="G32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103</v>
      </c>
      <c r="I2" s="9" t="s">
        <v>102</v>
      </c>
      <c r="J2" s="9"/>
      <c r="K2" s="9" t="s">
        <v>62</v>
      </c>
      <c r="L2" s="9" t="s">
        <v>63</v>
      </c>
      <c r="M2" s="9" t="s">
        <v>103</v>
      </c>
      <c r="N2" s="9" t="s">
        <v>102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5000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7200</v>
      </c>
      <c r="L8" s="16">
        <f>G8*$D8</f>
        <v>10800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1620</v>
      </c>
      <c r="L9" s="16">
        <f t="shared" ref="L9:L17" si="4">G9*$D9</f>
        <v>6480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120</v>
      </c>
      <c r="L10" s="18">
        <f t="shared" si="4"/>
        <v>1080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2160</v>
      </c>
      <c r="L11" s="18">
        <f t="shared" si="4"/>
        <v>2160</v>
      </c>
      <c r="M11" s="18">
        <f t="shared" si="2"/>
        <v>0</v>
      </c>
      <c r="N11" s="18">
        <f t="shared" si="2"/>
        <v>480</v>
      </c>
    </row>
    <row r="12" spans="2:14" x14ac:dyDescent="0.25">
      <c r="C12" s="17" t="s">
        <v>33</v>
      </c>
      <c r="D12" s="18">
        <f>SUM(Calcs!D13:H13)</f>
        <v>2400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2160</v>
      </c>
      <c r="L12" s="18">
        <f t="shared" si="4"/>
        <v>240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2400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240</v>
      </c>
      <c r="L13" s="18">
        <f t="shared" si="4"/>
        <v>2160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>I14*$D14</f>
        <v>0</v>
      </c>
    </row>
    <row r="15" spans="2:14" x14ac:dyDescent="0.25">
      <c r="C15" s="17" t="s">
        <v>101</v>
      </c>
      <c r="D15" s="18">
        <f>SUM(Calcs!D16:H16)</f>
        <v>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0</v>
      </c>
      <c r="L26" s="18">
        <f t="shared" si="6"/>
        <v>0</v>
      </c>
      <c r="M26" s="18">
        <f t="shared" si="11"/>
        <v>0</v>
      </c>
      <c r="N26" s="18">
        <f t="shared" si="11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0</v>
      </c>
      <c r="L27" s="18">
        <f t="shared" si="6"/>
        <v>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0</v>
      </c>
      <c r="L29" s="18">
        <f t="shared" si="6"/>
        <v>0</v>
      </c>
      <c r="M29" s="18">
        <f t="shared" si="11"/>
        <v>0</v>
      </c>
      <c r="N29" s="18">
        <f t="shared" si="11"/>
        <v>0</v>
      </c>
    </row>
    <row r="30" spans="2:14" x14ac:dyDescent="0.25">
      <c r="C30" s="17" t="s">
        <v>101</v>
      </c>
      <c r="D30" s="18">
        <f>SUM(Calcs!D29:H29)</f>
        <v>0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0</v>
      </c>
      <c r="L30" s="18">
        <f t="shared" si="6"/>
        <v>0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17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9180</v>
      </c>
      <c r="L36" s="18">
        <f t="shared" si="12"/>
        <v>1020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0.48152866242038217</v>
      </c>
      <c r="G49" s="3">
        <f>IFERROR(SUM(L8:L48)/SUM($K8:$N48), 0)</f>
        <v>0.50828025477707006</v>
      </c>
      <c r="H49" s="3">
        <f>IFERROR(SUM(M8:M48)/SUM($K8:$N48), 0)</f>
        <v>0</v>
      </c>
      <c r="I49" s="3">
        <f>1-F49-G49-H49</f>
        <v>1.0191082802547768E-2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K50" s="9"/>
      <c r="L50" s="9"/>
      <c r="M50" s="9"/>
    </row>
    <row r="51" spans="2:14" x14ac:dyDescent="0.25">
      <c r="B51" s="6" t="s">
        <v>61</v>
      </c>
      <c r="D51" s="1">
        <f>SUM(Outputs_External!D29:'Outputs_External'!H29)</f>
        <v>47100</v>
      </c>
      <c r="K51" s="12">
        <f>SUM(K48:K49, K36:K39, K8:K18,K23:K33,K42:K45)</f>
        <v>22680</v>
      </c>
      <c r="L51" s="12">
        <f t="shared" ref="L51" si="18">SUM(L48:L49, L36:L39, L8:L18,L23:L33,L42:L45)</f>
        <v>23940</v>
      </c>
      <c r="M51" s="12">
        <f>SUM(M48:M49, M36:M39, M8:M18,M23:M33,M42:M45)</f>
        <v>0</v>
      </c>
      <c r="N51" s="12">
        <f>SUM(N48:N49, N36:N39, N8:N18,N23:N33,N42:N45)</f>
        <v>480</v>
      </c>
    </row>
    <row r="52" spans="2:14" x14ac:dyDescent="0.25">
      <c r="C52" s="21" t="s">
        <v>80</v>
      </c>
      <c r="D52" s="23">
        <f>SUM(K51:N51)</f>
        <v>47100</v>
      </c>
      <c r="K52" s="12"/>
      <c r="L52" s="12"/>
      <c r="M52" s="12"/>
    </row>
    <row r="53" spans="2:14" x14ac:dyDescent="0.25">
      <c r="K53" s="9"/>
      <c r="L53" s="9"/>
      <c r="M53" s="9"/>
    </row>
    <row r="54" spans="2:14" x14ac:dyDescent="0.25">
      <c r="B54" s="6" t="s">
        <v>94</v>
      </c>
      <c r="D54" s="1">
        <f>SUM(Outputs_Timeline!S:S)</f>
        <v>146300</v>
      </c>
      <c r="K54" s="12">
        <f>SUM(Outputs_Timeline!T:T)</f>
        <v>70540</v>
      </c>
      <c r="L54" s="12">
        <f>SUM(Outputs_Timeline!U:U)</f>
        <v>74320</v>
      </c>
      <c r="M54" s="12">
        <f>SUM(Outputs_Timeline!V:V)</f>
        <v>0</v>
      </c>
      <c r="N54" s="12">
        <f>SUM(Outputs_Timeline!W:W)</f>
        <v>1440</v>
      </c>
    </row>
    <row r="55" spans="2:14" x14ac:dyDescent="0.25">
      <c r="D55" s="1"/>
      <c r="K55" s="54">
        <f>IFERROR(K54/$D$54, 0)</f>
        <v>0.48215994531784007</v>
      </c>
      <c r="L55" s="54">
        <f>IFERROR(L54/$D$54, 0)</f>
        <v>0.50799726589200278</v>
      </c>
      <c r="M55" s="54">
        <f>IFERROR(M54/$D$54, 0)</f>
        <v>0</v>
      </c>
      <c r="N55" s="54">
        <f>IFERROR(N54/$D$54, 0)</f>
        <v>9.8427887901572104E-3</v>
      </c>
    </row>
    <row r="57" spans="2:14" x14ac:dyDescent="0.25">
      <c r="K57" s="9"/>
      <c r="L57" s="9"/>
      <c r="M57" s="9"/>
    </row>
    <row r="58" spans="2:14" x14ac:dyDescent="0.25">
      <c r="B58" s="27" t="s">
        <v>75</v>
      </c>
      <c r="C58" s="21"/>
      <c r="D58" s="21"/>
      <c r="E58" s="21"/>
      <c r="F58" s="21"/>
      <c r="G58" s="21"/>
      <c r="H58" s="21"/>
      <c r="I58" s="21"/>
      <c r="J58" s="21"/>
      <c r="K58" s="22"/>
      <c r="L58" s="22"/>
      <c r="M58" s="22"/>
    </row>
    <row r="59" spans="2:14" x14ac:dyDescent="0.25">
      <c r="B59" s="27"/>
      <c r="C59" s="21" t="s">
        <v>17</v>
      </c>
      <c r="D59" s="23">
        <f>SUM(Calcs!D61:H61)+SUM(Calcs!D67:H67)</f>
        <v>10200</v>
      </c>
      <c r="E59" s="21"/>
      <c r="F59" s="24">
        <f>F36</f>
        <v>0.9</v>
      </c>
      <c r="G59" s="24">
        <f>G36</f>
        <v>0.1</v>
      </c>
      <c r="H59" s="24">
        <f>H36</f>
        <v>0</v>
      </c>
      <c r="I59" s="24">
        <f>I36</f>
        <v>0</v>
      </c>
      <c r="J59" s="21"/>
      <c r="K59" s="25">
        <f t="shared" ref="K59:N62" si="19">F59*$D59</f>
        <v>9180</v>
      </c>
      <c r="L59" s="25">
        <f t="shared" si="19"/>
        <v>1020</v>
      </c>
      <c r="M59" s="25">
        <f t="shared" si="19"/>
        <v>0</v>
      </c>
      <c r="N59" s="25">
        <f t="shared" si="19"/>
        <v>0</v>
      </c>
    </row>
    <row r="60" spans="2:14" x14ac:dyDescent="0.25">
      <c r="B60" s="27"/>
      <c r="C60" s="21" t="s">
        <v>18</v>
      </c>
      <c r="D60" s="23">
        <f>SUM(Calcs!D62:H62)+SUM(Calcs!D68:H68)</f>
        <v>0</v>
      </c>
      <c r="E60" s="21"/>
      <c r="F60" s="24">
        <f>IFERROR(SUM(K$37,K$10:K$15,K$43,K$25:K$30)/SUM($K$37:$M$37,$K$10:$M$15,$K$43:$M$43,$K$25:$M$30),0)</f>
        <v>0.45348837209302323</v>
      </c>
      <c r="G60" s="24">
        <f t="shared" ref="G60" si="20">IFERROR(SUM(L$37,L$10:L$15,L$43,L$25:L$30)/SUM($K$37:$M$37,$K$10:$M$15,$K$43:$M$43,$K$25:$M$30),0)</f>
        <v>0.54651162790697672</v>
      </c>
      <c r="H60" s="24">
        <f>IFERROR(SUM(M$37,M$10:M$15,M$43,M$25:M$30)/SUM($K$37:$N$37,$K$10:$N$15,$K$43:$N$43,$K$25:$N$30),0)</f>
        <v>0</v>
      </c>
      <c r="I60" s="24">
        <f>IFERROR(SUM(N$37,N$10:N$15,N$43,N$25:N$30)/SUM($K$37:$N$37,$K$10:$N$15,$K$43:$N$43,$K$25:$N$30),0)</f>
        <v>4.4444444444444446E-2</v>
      </c>
      <c r="J60" s="21"/>
      <c r="K60" s="25">
        <f t="shared" si="19"/>
        <v>0</v>
      </c>
      <c r="L60" s="25">
        <f t="shared" si="19"/>
        <v>0</v>
      </c>
      <c r="M60" s="25">
        <f t="shared" si="19"/>
        <v>0</v>
      </c>
      <c r="N60" s="25">
        <f t="shared" si="19"/>
        <v>0</v>
      </c>
    </row>
    <row r="61" spans="2:14" x14ac:dyDescent="0.25">
      <c r="B61" s="27"/>
      <c r="C61" s="21" t="s">
        <v>19</v>
      </c>
      <c r="D61" s="23">
        <f>SUM(Calcs!D63:H63)+SUM(Calcs!D69:H69)</f>
        <v>0</v>
      </c>
      <c r="E61" s="21"/>
      <c r="F61" s="24">
        <f>IFERROR(SUM(K38,K16:K18,K44,K31:K33)/SUM($K$38:$M$38,$K$16:$M$18,$K$44:$M$44,$K$31:$M$33),0)</f>
        <v>0</v>
      </c>
      <c r="G61" s="24">
        <f>IFERROR(SUM(L38,L16:L18,L44,L31:L33)/SUM($K$38:$M$38,$K$16:$M$18,$K$44:$M$44,$K$31:$M$33),0)</f>
        <v>0</v>
      </c>
      <c r="H61" s="24">
        <f>IFERROR(SUM(M38,M16:M18,M44,M31:M33)/SUM($K$38:$N$38,$K$16:$N$18,$K$44:$N$44,$K$31:$N$33),0)</f>
        <v>0</v>
      </c>
      <c r="I61" s="24">
        <f>IFERROR(SUM(N38,N16:N18,N44,N31:N33)/SUM($K$38:$N$38,$K$16:$N$18,$K$44:$N$44,$K$31:$N$33),0)</f>
        <v>0</v>
      </c>
      <c r="J61" s="21"/>
      <c r="K61" s="25">
        <f t="shared" si="19"/>
        <v>0</v>
      </c>
      <c r="L61" s="25">
        <f t="shared" si="19"/>
        <v>0</v>
      </c>
      <c r="M61" s="25">
        <f t="shared" si="19"/>
        <v>0</v>
      </c>
      <c r="N61" s="25">
        <f t="shared" si="19"/>
        <v>0</v>
      </c>
    </row>
    <row r="62" spans="2:14" x14ac:dyDescent="0.25">
      <c r="B62" s="27"/>
      <c r="C62" s="21" t="s">
        <v>20</v>
      </c>
      <c r="D62" s="23">
        <f>SUM(Calcs!D64:H64)+SUM(Calcs!D70:H70)</f>
        <v>0</v>
      </c>
      <c r="E62" s="21"/>
      <c r="F62" s="24">
        <f>F39</f>
        <v>0.1</v>
      </c>
      <c r="G62" s="24">
        <f>G39</f>
        <v>0.9</v>
      </c>
      <c r="H62" s="24">
        <f>H39</f>
        <v>0</v>
      </c>
      <c r="I62" s="24">
        <f>I39</f>
        <v>0</v>
      </c>
      <c r="J62" s="21"/>
      <c r="K62" s="25">
        <f t="shared" si="19"/>
        <v>0</v>
      </c>
      <c r="L62" s="25">
        <f t="shared" si="19"/>
        <v>0</v>
      </c>
      <c r="M62" s="25">
        <f t="shared" si="19"/>
        <v>0</v>
      </c>
      <c r="N62" s="25">
        <f t="shared" si="19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5" sqref="V5:W9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86</v>
      </c>
      <c r="I1" s="65"/>
      <c r="J1" s="65"/>
      <c r="K1" s="65"/>
      <c r="M1" s="65" t="s">
        <v>91</v>
      </c>
      <c r="N1" s="65"/>
      <c r="O1" s="65"/>
      <c r="P1" s="65"/>
      <c r="Q1" s="65"/>
      <c r="S1" s="65" t="s">
        <v>93</v>
      </c>
      <c r="T1" s="65"/>
      <c r="U1" s="65"/>
      <c r="V1" s="65"/>
    </row>
    <row r="2" spans="2:23" x14ac:dyDescent="0.25">
      <c r="B2" s="63" t="s">
        <v>85</v>
      </c>
      <c r="C2" s="63"/>
      <c r="D2" s="63" t="s">
        <v>90</v>
      </c>
      <c r="E2" s="63" t="s">
        <v>95</v>
      </c>
      <c r="F2" s="63" t="s">
        <v>92</v>
      </c>
      <c r="G2" s="63"/>
      <c r="H2" s="66" t="s">
        <v>87</v>
      </c>
      <c r="I2" s="66" t="s">
        <v>88</v>
      </c>
      <c r="J2" s="66" t="s">
        <v>63</v>
      </c>
      <c r="K2" s="66" t="s">
        <v>89</v>
      </c>
      <c r="M2" s="66" t="s">
        <v>87</v>
      </c>
      <c r="N2" s="66" t="s">
        <v>88</v>
      </c>
      <c r="O2" s="66" t="s">
        <v>63</v>
      </c>
      <c r="P2" s="66" t="s">
        <v>103</v>
      </c>
      <c r="Q2" s="66" t="s">
        <v>102</v>
      </c>
      <c r="S2" s="66" t="s">
        <v>87</v>
      </c>
      <c r="T2" s="66" t="s">
        <v>88</v>
      </c>
      <c r="U2" s="66" t="s">
        <v>63</v>
      </c>
      <c r="V2" s="66" t="s">
        <v>103</v>
      </c>
      <c r="W2" s="66" t="s">
        <v>102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$F3*Outputs_Internal!$D$51/12</f>
        <v>0</v>
      </c>
      <c r="N3" s="67">
        <f>$F3*Outputs_Internal!K$51/12</f>
        <v>0</v>
      </c>
      <c r="O3" s="67">
        <f>$F3*Outputs_Internal!L$51/12</f>
        <v>0</v>
      </c>
      <c r="P3" s="67">
        <f>$F3*Outputs_Internal!M$51/12</f>
        <v>0</v>
      </c>
      <c r="Q3" s="67">
        <f>$F3*Outputs_Internal!N$51/12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$F4*Outputs_Internal!$D$51/12</f>
        <v>0</v>
      </c>
      <c r="N4" s="67">
        <f>$F4*Outputs_Internal!K$51/12</f>
        <v>0</v>
      </c>
      <c r="O4" s="67">
        <f>$F4*Outputs_Internal!L$51/12</f>
        <v>0</v>
      </c>
      <c r="P4" s="67">
        <f>$F4*Outputs_Internal!M$51/12</f>
        <v>0</v>
      </c>
      <c r="Q4" s="67">
        <f>$F4*Outputs_Internal!N$51/12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$F5*Outputs_Internal!$D$51/12</f>
        <v>0</v>
      </c>
      <c r="N5" s="67">
        <f>$F5*Outputs_Internal!K$51/12</f>
        <v>0</v>
      </c>
      <c r="O5" s="67">
        <f>$F5*Outputs_Internal!L$51/12</f>
        <v>0</v>
      </c>
      <c r="P5" s="67">
        <f>$F5*Outputs_Internal!M$51/12</f>
        <v>0</v>
      </c>
      <c r="Q5" s="67">
        <f>$F5*Outputs_Internal!N$51/12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$F6*Outputs_Internal!$D$51/12</f>
        <v>0</v>
      </c>
      <c r="N6" s="67">
        <f>$F6*Outputs_Internal!K$51/12</f>
        <v>0</v>
      </c>
      <c r="O6" s="67">
        <f>$F6*Outputs_Internal!L$51/12</f>
        <v>0</v>
      </c>
      <c r="P6" s="67">
        <f>$F6*Outputs_Internal!M$51/12</f>
        <v>0</v>
      </c>
      <c r="Q6" s="67">
        <f>$F6*Outputs_Internal!N$51/12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$F7*Outputs_Internal!$D$51/12</f>
        <v>0</v>
      </c>
      <c r="N7" s="67">
        <f>$F7*Outputs_Internal!K$51/12</f>
        <v>0</v>
      </c>
      <c r="O7" s="67">
        <f>$F7*Outputs_Internal!L$51/12</f>
        <v>0</v>
      </c>
      <c r="P7" s="67">
        <f>$F7*Outputs_Internal!M$51/12</f>
        <v>0</v>
      </c>
      <c r="Q7" s="67">
        <f>$F7*Outputs_Internal!N$51/12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$F8*Outputs_Internal!$D$51/12</f>
        <v>0</v>
      </c>
      <c r="N8" s="67">
        <f>$F8*Outputs_Internal!K$51/12</f>
        <v>0</v>
      </c>
      <c r="O8" s="67">
        <f>$F8*Outputs_Internal!L$51/12</f>
        <v>0</v>
      </c>
      <c r="P8" s="67">
        <f>$F8*Outputs_Internal!M$51/12</f>
        <v>0</v>
      </c>
      <c r="Q8" s="67">
        <f>$F8*Outputs_Internal!N$51/12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5000</v>
      </c>
      <c r="I9" s="67">
        <f>IF($B9=Inputs!$C$1,SUM(Outputs_Internal!K$4, Outputs_Internal!K$5),0)*$D9</f>
        <v>2500</v>
      </c>
      <c r="J9" s="67">
        <f>IF($B9=Inputs!$C$1,SUM(Outputs_Internal!L$4, Outputs_Internal!L$5),0)*$D9</f>
        <v>2500</v>
      </c>
      <c r="K9" s="67">
        <f>IF($B9=Inputs!$C$1,SUM(Outputs_Internal!M$4, Outputs_Internal!$M$5),0)*$D9</f>
        <v>0</v>
      </c>
      <c r="M9" s="67">
        <f>$F9*Outputs_Internal!$D$51/12</f>
        <v>3925</v>
      </c>
      <c r="N9" s="67">
        <f>$F9*Outputs_Internal!K$51/12</f>
        <v>1890</v>
      </c>
      <c r="O9" s="67">
        <f>$F9*Outputs_Internal!L$51/12</f>
        <v>1995</v>
      </c>
      <c r="P9" s="67">
        <f>$F9*Outputs_Internal!M$51/12</f>
        <v>0</v>
      </c>
      <c r="Q9" s="67">
        <f>$F9*Outputs_Internal!N$51/12</f>
        <v>40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$F10*Outputs_Internal!$D$51/12</f>
        <v>3925</v>
      </c>
      <c r="N10" s="67">
        <f>$F10*Outputs_Internal!K$51/12</f>
        <v>1890</v>
      </c>
      <c r="O10" s="67">
        <f>$F10*Outputs_Internal!L$51/12</f>
        <v>1995</v>
      </c>
      <c r="P10" s="67">
        <f>$F10*Outputs_Internal!M$51/12</f>
        <v>0</v>
      </c>
      <c r="Q10" s="67">
        <f>$F10*Outputs_Internal!N$51/12</f>
        <v>40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$F11*Outputs_Internal!$D$51/12</f>
        <v>3925</v>
      </c>
      <c r="N11" s="67">
        <f>$F11*Outputs_Internal!K$51/12</f>
        <v>1890</v>
      </c>
      <c r="O11" s="67">
        <f>$F11*Outputs_Internal!L$51/12</f>
        <v>1995</v>
      </c>
      <c r="P11" s="67">
        <f>$F11*Outputs_Internal!M$51/12</f>
        <v>0</v>
      </c>
      <c r="Q11" s="67">
        <f>$F11*Outputs_Internal!N$51/12</f>
        <v>40</v>
      </c>
      <c r="S11" s="67">
        <f t="shared" si="1"/>
        <v>16775</v>
      </c>
      <c r="T11" s="67">
        <f t="shared" si="2"/>
        <v>8170</v>
      </c>
      <c r="U11" s="67">
        <f>IF(MOD(MONTH($B11),3)=0,SUM(J9:J11,O9:O11),0)</f>
        <v>8485</v>
      </c>
      <c r="V11" s="67">
        <f t="shared" si="4"/>
        <v>0</v>
      </c>
      <c r="W11" s="67">
        <f t="shared" si="5"/>
        <v>120</v>
      </c>
    </row>
    <row r="12" spans="2:23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$F12*Outputs_Internal!$D$51/12</f>
        <v>3925</v>
      </c>
      <c r="N12" s="67">
        <f>$F12*Outputs_Internal!K$51/12</f>
        <v>1890</v>
      </c>
      <c r="O12" s="67">
        <f>$F12*Outputs_Internal!L$51/12</f>
        <v>1995</v>
      </c>
      <c r="P12" s="67">
        <f>$F12*Outputs_Internal!M$51/12</f>
        <v>0</v>
      </c>
      <c r="Q12" s="67">
        <f>$F12*Outputs_Internal!N$51/12</f>
        <v>40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$F13*Outputs_Internal!$D$51/12</f>
        <v>3925</v>
      </c>
      <c r="N13" s="67">
        <f>$F13*Outputs_Internal!K$51/12</f>
        <v>1890</v>
      </c>
      <c r="O13" s="67">
        <f>$F13*Outputs_Internal!L$51/12</f>
        <v>1995</v>
      </c>
      <c r="P13" s="67">
        <f>$F13*Outputs_Internal!M$51/12</f>
        <v>0</v>
      </c>
      <c r="Q13" s="67">
        <f>$F13*Outputs_Internal!N$51/12</f>
        <v>40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$F14*Outputs_Internal!$D$51/12</f>
        <v>3925</v>
      </c>
      <c r="N14" s="67">
        <f>$F14*Outputs_Internal!K$51/12</f>
        <v>1890</v>
      </c>
      <c r="O14" s="67">
        <f>$F14*Outputs_Internal!L$51/12</f>
        <v>1995</v>
      </c>
      <c r="P14" s="67">
        <f>$F14*Outputs_Internal!M$51/12</f>
        <v>0</v>
      </c>
      <c r="Q14" s="67">
        <f>$F14*Outputs_Internal!N$51/12</f>
        <v>40</v>
      </c>
      <c r="S14" s="67">
        <f t="shared" si="1"/>
        <v>11775</v>
      </c>
      <c r="T14" s="67">
        <f t="shared" si="2"/>
        <v>5670</v>
      </c>
      <c r="U14" s="67">
        <f t="shared" si="3"/>
        <v>5985</v>
      </c>
      <c r="V14" s="67">
        <f t="shared" si="4"/>
        <v>0</v>
      </c>
      <c r="W14" s="67">
        <f t="shared" si="5"/>
        <v>120</v>
      </c>
    </row>
    <row r="15" spans="2:23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$F15*Outputs_Internal!$D$51/12</f>
        <v>3925</v>
      </c>
      <c r="N15" s="67">
        <f>$F15*Outputs_Internal!K$51/12</f>
        <v>1890</v>
      </c>
      <c r="O15" s="67">
        <f>$F15*Outputs_Internal!L$51/12</f>
        <v>1995</v>
      </c>
      <c r="P15" s="67">
        <f>$F15*Outputs_Internal!M$51/12</f>
        <v>0</v>
      </c>
      <c r="Q15" s="67">
        <f>$F15*Outputs_Internal!N$51/12</f>
        <v>40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$F16*Outputs_Internal!$D$51/12</f>
        <v>3925</v>
      </c>
      <c r="N16" s="67">
        <f>$F16*Outputs_Internal!K$51/12</f>
        <v>1890</v>
      </c>
      <c r="O16" s="67">
        <f>$F16*Outputs_Internal!L$51/12</f>
        <v>1995</v>
      </c>
      <c r="P16" s="67">
        <f>$F16*Outputs_Internal!M$51/12</f>
        <v>0</v>
      </c>
      <c r="Q16" s="67">
        <f>$F16*Outputs_Internal!N$51/12</f>
        <v>40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$F17*Outputs_Internal!$D$51/12</f>
        <v>3925</v>
      </c>
      <c r="N17" s="67">
        <f>$F17*Outputs_Internal!K$51/12</f>
        <v>1890</v>
      </c>
      <c r="O17" s="67">
        <f>$F17*Outputs_Internal!L$51/12</f>
        <v>1995</v>
      </c>
      <c r="P17" s="67">
        <f>$F17*Outputs_Internal!M$51/12</f>
        <v>0</v>
      </c>
      <c r="Q17" s="67">
        <f>$F17*Outputs_Internal!N$51/12</f>
        <v>40</v>
      </c>
      <c r="S17" s="67">
        <f t="shared" si="1"/>
        <v>11775</v>
      </c>
      <c r="T17" s="67">
        <f t="shared" si="2"/>
        <v>5670</v>
      </c>
      <c r="U17" s="67">
        <f t="shared" si="3"/>
        <v>5985</v>
      </c>
      <c r="V17" s="67">
        <f t="shared" si="4"/>
        <v>0</v>
      </c>
      <c r="W17" s="67">
        <f t="shared" si="5"/>
        <v>120</v>
      </c>
    </row>
    <row r="18" spans="2:23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$F18*Outputs_Internal!$D$51/12</f>
        <v>3925</v>
      </c>
      <c r="N18" s="67">
        <f>$F18*Outputs_Internal!K$51/12</f>
        <v>1890</v>
      </c>
      <c r="O18" s="67">
        <f>$F18*Outputs_Internal!L$51/12</f>
        <v>1995</v>
      </c>
      <c r="P18" s="67">
        <f>$F18*Outputs_Internal!M$51/12</f>
        <v>0</v>
      </c>
      <c r="Q18" s="67">
        <f>$F18*Outputs_Internal!N$51/12</f>
        <v>40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$F19*Outputs_Internal!$D$51/12</f>
        <v>3925</v>
      </c>
      <c r="N19" s="67">
        <f>$F19*Outputs_Internal!K$51/12</f>
        <v>1890</v>
      </c>
      <c r="O19" s="67">
        <f>$F19*Outputs_Internal!L$51/12</f>
        <v>1995</v>
      </c>
      <c r="P19" s="67">
        <f>$F19*Outputs_Internal!M$51/12</f>
        <v>0</v>
      </c>
      <c r="Q19" s="67">
        <f>$F19*Outputs_Internal!N$51/12</f>
        <v>40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$F20*Outputs_Internal!$D$51/12</f>
        <v>3925</v>
      </c>
      <c r="N20" s="67">
        <f>$F20*Outputs_Internal!K$51/12</f>
        <v>1890</v>
      </c>
      <c r="O20" s="67">
        <f>$F20*Outputs_Internal!L$51/12</f>
        <v>1995</v>
      </c>
      <c r="P20" s="67">
        <f>$F20*Outputs_Internal!M$51/12</f>
        <v>0</v>
      </c>
      <c r="Q20" s="67">
        <f>$F20*Outputs_Internal!N$51/12</f>
        <v>40</v>
      </c>
      <c r="S20" s="67">
        <f t="shared" si="1"/>
        <v>11775</v>
      </c>
      <c r="T20" s="67">
        <f t="shared" si="2"/>
        <v>5670</v>
      </c>
      <c r="U20" s="67">
        <f t="shared" si="3"/>
        <v>5985</v>
      </c>
      <c r="V20" s="67">
        <f t="shared" si="4"/>
        <v>0</v>
      </c>
      <c r="W20" s="67">
        <f t="shared" si="5"/>
        <v>120</v>
      </c>
    </row>
    <row r="21" spans="2:23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$F21*Outputs_Internal!$D$51/12</f>
        <v>3925</v>
      </c>
      <c r="N21" s="67">
        <f>$F21*Outputs_Internal!K$51/12</f>
        <v>1890</v>
      </c>
      <c r="O21" s="67">
        <f>$F21*Outputs_Internal!L$51/12</f>
        <v>1995</v>
      </c>
      <c r="P21" s="67">
        <f>$F21*Outputs_Internal!M$51/12</f>
        <v>0</v>
      </c>
      <c r="Q21" s="67">
        <f>$F21*Outputs_Internal!N$51/12</f>
        <v>40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$F22*Outputs_Internal!$D$51/12</f>
        <v>3925</v>
      </c>
      <c r="N22" s="67">
        <f>$F22*Outputs_Internal!K$51/12</f>
        <v>1890</v>
      </c>
      <c r="O22" s="67">
        <f>$F22*Outputs_Internal!L$51/12</f>
        <v>1995</v>
      </c>
      <c r="P22" s="67">
        <f>$F22*Outputs_Internal!M$51/12</f>
        <v>0</v>
      </c>
      <c r="Q22" s="67">
        <f>$F22*Outputs_Internal!N$51/12</f>
        <v>40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$F23*Outputs_Internal!$D$51/12</f>
        <v>3925</v>
      </c>
      <c r="N23" s="67">
        <f>$F23*Outputs_Internal!K$51/12</f>
        <v>1890</v>
      </c>
      <c r="O23" s="67">
        <f>$F23*Outputs_Internal!L$51/12</f>
        <v>1995</v>
      </c>
      <c r="P23" s="67">
        <f>$F23*Outputs_Internal!M$51/12</f>
        <v>0</v>
      </c>
      <c r="Q23" s="67">
        <f>$F23*Outputs_Internal!N$51/12</f>
        <v>40</v>
      </c>
      <c r="S23" s="67">
        <f t="shared" si="1"/>
        <v>11775</v>
      </c>
      <c r="T23" s="67">
        <f t="shared" si="2"/>
        <v>5670</v>
      </c>
      <c r="U23" s="67">
        <f t="shared" si="3"/>
        <v>5985</v>
      </c>
      <c r="V23" s="67">
        <f t="shared" si="4"/>
        <v>0</v>
      </c>
      <c r="W23" s="67">
        <f t="shared" si="5"/>
        <v>120</v>
      </c>
    </row>
    <row r="24" spans="2:23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$F24*Outputs_Internal!$D$51/12</f>
        <v>3925</v>
      </c>
      <c r="N24" s="67">
        <f>$F24*Outputs_Internal!K$51/12</f>
        <v>1890</v>
      </c>
      <c r="O24" s="67">
        <f>$F24*Outputs_Internal!L$51/12</f>
        <v>1995</v>
      </c>
      <c r="P24" s="67">
        <f>$F24*Outputs_Internal!M$51/12</f>
        <v>0</v>
      </c>
      <c r="Q24" s="67">
        <f>$F24*Outputs_Internal!N$51/12</f>
        <v>40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$F25*Outputs_Internal!$D$51/12</f>
        <v>3925</v>
      </c>
      <c r="N25" s="67">
        <f>$F25*Outputs_Internal!K$51/12</f>
        <v>1890</v>
      </c>
      <c r="O25" s="67">
        <f>$F25*Outputs_Internal!L$51/12</f>
        <v>1995</v>
      </c>
      <c r="P25" s="67">
        <f>$F25*Outputs_Internal!M$51/12</f>
        <v>0</v>
      </c>
      <c r="Q25" s="67">
        <f>$F25*Outputs_Internal!N$51/12</f>
        <v>40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$F26*Outputs_Internal!$D$51/12</f>
        <v>3925</v>
      </c>
      <c r="N26" s="67">
        <f>$F26*Outputs_Internal!K$51/12</f>
        <v>1890</v>
      </c>
      <c r="O26" s="67">
        <f>$F26*Outputs_Internal!L$51/12</f>
        <v>1995</v>
      </c>
      <c r="P26" s="67">
        <f>$F26*Outputs_Internal!M$51/12</f>
        <v>0</v>
      </c>
      <c r="Q26" s="67">
        <f>$F26*Outputs_Internal!N$51/12</f>
        <v>40</v>
      </c>
      <c r="S26" s="67">
        <f t="shared" si="1"/>
        <v>11775</v>
      </c>
      <c r="T26" s="67">
        <f t="shared" si="2"/>
        <v>5670</v>
      </c>
      <c r="U26" s="67">
        <f t="shared" si="3"/>
        <v>5985</v>
      </c>
      <c r="V26" s="67">
        <f t="shared" si="4"/>
        <v>0</v>
      </c>
      <c r="W26" s="67">
        <f t="shared" si="5"/>
        <v>120</v>
      </c>
    </row>
    <row r="27" spans="2:23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$F27*Outputs_Internal!$D$51/12</f>
        <v>3925</v>
      </c>
      <c r="N27" s="67">
        <f>$F27*Outputs_Internal!K$51/12</f>
        <v>1890</v>
      </c>
      <c r="O27" s="67">
        <f>$F27*Outputs_Internal!L$51/12</f>
        <v>1995</v>
      </c>
      <c r="P27" s="67">
        <f>$F27*Outputs_Internal!M$51/12</f>
        <v>0</v>
      </c>
      <c r="Q27" s="67">
        <f>$F27*Outputs_Internal!N$51/12</f>
        <v>40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$F28*Outputs_Internal!$D$51/12</f>
        <v>3925</v>
      </c>
      <c r="N28" s="67">
        <f>$F28*Outputs_Internal!K$51/12</f>
        <v>1890</v>
      </c>
      <c r="O28" s="67">
        <f>$F28*Outputs_Internal!L$51/12</f>
        <v>1995</v>
      </c>
      <c r="P28" s="67">
        <f>$F28*Outputs_Internal!M$51/12</f>
        <v>0</v>
      </c>
      <c r="Q28" s="67">
        <f>$F28*Outputs_Internal!N$51/12</f>
        <v>40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$F29*Outputs_Internal!$D$51/12</f>
        <v>3925</v>
      </c>
      <c r="N29" s="67">
        <f>$F29*Outputs_Internal!K$51/12</f>
        <v>1890</v>
      </c>
      <c r="O29" s="67">
        <f>$F29*Outputs_Internal!L$51/12</f>
        <v>1995</v>
      </c>
      <c r="P29" s="67">
        <f>$F29*Outputs_Internal!M$51/12</f>
        <v>0</v>
      </c>
      <c r="Q29" s="67">
        <f>$F29*Outputs_Internal!N$51/12</f>
        <v>40</v>
      </c>
      <c r="S29" s="67">
        <f t="shared" si="1"/>
        <v>11775</v>
      </c>
      <c r="T29" s="67">
        <f t="shared" si="2"/>
        <v>5670</v>
      </c>
      <c r="U29" s="67">
        <f t="shared" si="3"/>
        <v>5985</v>
      </c>
      <c r="V29" s="67">
        <f t="shared" si="4"/>
        <v>0</v>
      </c>
      <c r="W29" s="67">
        <f t="shared" si="5"/>
        <v>120</v>
      </c>
    </row>
    <row r="30" spans="2:23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$F30*Outputs_Internal!$D$51/12</f>
        <v>3925</v>
      </c>
      <c r="N30" s="67">
        <f>$F30*Outputs_Internal!K$51/12</f>
        <v>1890</v>
      </c>
      <c r="O30" s="67">
        <f>$F30*Outputs_Internal!L$51/12</f>
        <v>1995</v>
      </c>
      <c r="P30" s="67">
        <f>$F30*Outputs_Internal!M$51/12</f>
        <v>0</v>
      </c>
      <c r="Q30" s="67">
        <f>$F30*Outputs_Internal!N$51/12</f>
        <v>40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$F31*Outputs_Internal!$D$51/12</f>
        <v>3925</v>
      </c>
      <c r="N31" s="67">
        <f>$F31*Outputs_Internal!K$51/12</f>
        <v>1890</v>
      </c>
      <c r="O31" s="67">
        <f>$F31*Outputs_Internal!L$51/12</f>
        <v>1995</v>
      </c>
      <c r="P31" s="67">
        <f>$F31*Outputs_Internal!M$51/12</f>
        <v>0</v>
      </c>
      <c r="Q31" s="67">
        <f>$F31*Outputs_Internal!N$51/12</f>
        <v>40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$F32*Outputs_Internal!$D$51/12</f>
        <v>3925</v>
      </c>
      <c r="N32" s="67">
        <f>$F32*Outputs_Internal!K$51/12</f>
        <v>1890</v>
      </c>
      <c r="O32" s="67">
        <f>$F32*Outputs_Internal!L$51/12</f>
        <v>1995</v>
      </c>
      <c r="P32" s="67">
        <f>$F32*Outputs_Internal!M$51/12</f>
        <v>0</v>
      </c>
      <c r="Q32" s="67">
        <f>$F32*Outputs_Internal!N$51/12</f>
        <v>40</v>
      </c>
      <c r="S32" s="67">
        <f t="shared" si="1"/>
        <v>11775</v>
      </c>
      <c r="T32" s="67">
        <f t="shared" si="2"/>
        <v>5670</v>
      </c>
      <c r="U32" s="67">
        <f t="shared" si="3"/>
        <v>5985</v>
      </c>
      <c r="V32" s="67">
        <f t="shared" si="4"/>
        <v>0</v>
      </c>
      <c r="W32" s="67">
        <f t="shared" si="5"/>
        <v>120</v>
      </c>
    </row>
    <row r="33" spans="2:23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$F33*Outputs_Internal!$D$51/12</f>
        <v>3925</v>
      </c>
      <c r="N33" s="67">
        <f>$F33*Outputs_Internal!K$51/12</f>
        <v>1890</v>
      </c>
      <c r="O33" s="67">
        <f>$F33*Outputs_Internal!L$51/12</f>
        <v>1995</v>
      </c>
      <c r="P33" s="67">
        <f>$F33*Outputs_Internal!M$51/12</f>
        <v>0</v>
      </c>
      <c r="Q33" s="67">
        <f>$F33*Outputs_Internal!N$51/12</f>
        <v>40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$F34*Outputs_Internal!$D$51/12</f>
        <v>3925</v>
      </c>
      <c r="N34" s="67">
        <f>$F34*Outputs_Internal!K$51/12</f>
        <v>1890</v>
      </c>
      <c r="O34" s="67">
        <f>$F34*Outputs_Internal!L$51/12</f>
        <v>1995</v>
      </c>
      <c r="P34" s="67">
        <f>$F34*Outputs_Internal!M$51/12</f>
        <v>0</v>
      </c>
      <c r="Q34" s="67">
        <f>$F34*Outputs_Internal!N$51/12</f>
        <v>40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$F35*Outputs_Internal!$D$51/12</f>
        <v>3925</v>
      </c>
      <c r="N35" s="67">
        <f>$F35*Outputs_Internal!K$51/12</f>
        <v>1890</v>
      </c>
      <c r="O35" s="67">
        <f>$F35*Outputs_Internal!L$51/12</f>
        <v>1995</v>
      </c>
      <c r="P35" s="67">
        <f>$F35*Outputs_Internal!M$51/12</f>
        <v>0</v>
      </c>
      <c r="Q35" s="67">
        <f>$F35*Outputs_Internal!N$51/12</f>
        <v>40</v>
      </c>
      <c r="S35" s="67">
        <f t="shared" si="1"/>
        <v>11775</v>
      </c>
      <c r="T35" s="67">
        <f t="shared" si="2"/>
        <v>5670</v>
      </c>
      <c r="U35" s="67">
        <f t="shared" si="3"/>
        <v>5985</v>
      </c>
      <c r="V35" s="67">
        <f t="shared" si="4"/>
        <v>0</v>
      </c>
      <c r="W35" s="67">
        <f t="shared" si="5"/>
        <v>120</v>
      </c>
    </row>
    <row r="36" spans="2:23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$F36*Outputs_Internal!$D$51/12</f>
        <v>3925</v>
      </c>
      <c r="N36" s="67">
        <f>$F36*Outputs_Internal!K$51/12</f>
        <v>1890</v>
      </c>
      <c r="O36" s="67">
        <f>$F36*Outputs_Internal!L$51/12</f>
        <v>1995</v>
      </c>
      <c r="P36" s="67">
        <f>$F36*Outputs_Internal!M$51/12</f>
        <v>0</v>
      </c>
      <c r="Q36" s="67">
        <f>$F36*Outputs_Internal!N$51/12</f>
        <v>40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$F37*Outputs_Internal!$D$51/12</f>
        <v>3925</v>
      </c>
      <c r="N37" s="67">
        <f>$F37*Outputs_Internal!K$51/12</f>
        <v>1890</v>
      </c>
      <c r="O37" s="67">
        <f>$F37*Outputs_Internal!L$51/12</f>
        <v>1995</v>
      </c>
      <c r="P37" s="67">
        <f>$F37*Outputs_Internal!M$51/12</f>
        <v>0</v>
      </c>
      <c r="Q37" s="67">
        <f>$F37*Outputs_Internal!N$51/12</f>
        <v>40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$F38*Outputs_Internal!$D$51/12</f>
        <v>3925</v>
      </c>
      <c r="N38" s="67">
        <f>$F38*Outputs_Internal!K$51/12</f>
        <v>1890</v>
      </c>
      <c r="O38" s="67">
        <f>$F38*Outputs_Internal!L$51/12</f>
        <v>1995</v>
      </c>
      <c r="P38" s="67">
        <f>$F38*Outputs_Internal!M$51/12</f>
        <v>0</v>
      </c>
      <c r="Q38" s="67">
        <f>$F38*Outputs_Internal!N$51/12</f>
        <v>40</v>
      </c>
      <c r="S38" s="67">
        <f t="shared" si="1"/>
        <v>11775</v>
      </c>
      <c r="T38" s="67">
        <f t="shared" si="2"/>
        <v>5670</v>
      </c>
      <c r="U38" s="67">
        <f t="shared" si="3"/>
        <v>5985</v>
      </c>
      <c r="V38" s="67">
        <f t="shared" si="4"/>
        <v>0</v>
      </c>
      <c r="W38" s="67">
        <f t="shared" si="5"/>
        <v>120</v>
      </c>
    </row>
    <row r="39" spans="2:23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$F39*Outputs_Internal!$D$51/12</f>
        <v>3925</v>
      </c>
      <c r="N39" s="67">
        <f>$F39*Outputs_Internal!K$51/12</f>
        <v>1890</v>
      </c>
      <c r="O39" s="67">
        <f>$F39*Outputs_Internal!L$51/12</f>
        <v>1995</v>
      </c>
      <c r="P39" s="67">
        <f>$F39*Outputs_Internal!M$51/12</f>
        <v>0</v>
      </c>
      <c r="Q39" s="67">
        <f>$F39*Outputs_Internal!N$51/12</f>
        <v>40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$F40*Outputs_Internal!$D$51/12</f>
        <v>3925</v>
      </c>
      <c r="N40" s="67">
        <f>$F40*Outputs_Internal!K$51/12</f>
        <v>1890</v>
      </c>
      <c r="O40" s="67">
        <f>$F40*Outputs_Internal!L$51/12</f>
        <v>1995</v>
      </c>
      <c r="P40" s="67">
        <f>$F40*Outputs_Internal!M$51/12</f>
        <v>0</v>
      </c>
      <c r="Q40" s="67">
        <f>$F40*Outputs_Internal!N$51/12</f>
        <v>40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$F41*Outputs_Internal!$D$51/12</f>
        <v>3925</v>
      </c>
      <c r="N41" s="67">
        <f>$F41*Outputs_Internal!K$51/12</f>
        <v>1890</v>
      </c>
      <c r="O41" s="67">
        <f>$F41*Outputs_Internal!L$51/12</f>
        <v>1995</v>
      </c>
      <c r="P41" s="67">
        <f>$F41*Outputs_Internal!M$51/12</f>
        <v>0</v>
      </c>
      <c r="Q41" s="67">
        <f>$F41*Outputs_Internal!N$51/12</f>
        <v>40</v>
      </c>
      <c r="S41" s="67">
        <f t="shared" si="1"/>
        <v>11775</v>
      </c>
      <c r="T41" s="67">
        <f t="shared" si="2"/>
        <v>5670</v>
      </c>
      <c r="U41" s="67">
        <f t="shared" si="3"/>
        <v>5985</v>
      </c>
      <c r="V41" s="67">
        <f t="shared" si="4"/>
        <v>0</v>
      </c>
      <c r="W41" s="67">
        <f t="shared" si="5"/>
        <v>120</v>
      </c>
    </row>
    <row r="42" spans="2:23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$F42*Outputs_Internal!$D$51/12</f>
        <v>3925</v>
      </c>
      <c r="N42" s="67">
        <f>$F42*Outputs_Internal!K$51/12</f>
        <v>1890</v>
      </c>
      <c r="O42" s="67">
        <f>$F42*Outputs_Internal!L$51/12</f>
        <v>1995</v>
      </c>
      <c r="P42" s="67">
        <f>$F42*Outputs_Internal!M$51/12</f>
        <v>0</v>
      </c>
      <c r="Q42" s="67">
        <f>$F42*Outputs_Internal!N$51/12</f>
        <v>40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$F43*Outputs_Internal!$D$51/12</f>
        <v>3925</v>
      </c>
      <c r="N43" s="67">
        <f>$F43*Outputs_Internal!K$51/12</f>
        <v>1890</v>
      </c>
      <c r="O43" s="67">
        <f>$F43*Outputs_Internal!L$51/12</f>
        <v>1995</v>
      </c>
      <c r="P43" s="67">
        <f>$F43*Outputs_Internal!M$51/12</f>
        <v>0</v>
      </c>
      <c r="Q43" s="67">
        <f>$F43*Outputs_Internal!N$51/12</f>
        <v>40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$F44*Outputs_Internal!$D$51/12</f>
        <v>3925</v>
      </c>
      <c r="N44" s="67">
        <f>$F44*Outputs_Internal!K$51/12</f>
        <v>1890</v>
      </c>
      <c r="O44" s="67">
        <f>$F44*Outputs_Internal!L$51/12</f>
        <v>1995</v>
      </c>
      <c r="P44" s="67">
        <f>$F44*Outputs_Internal!M$51/12</f>
        <v>0</v>
      </c>
      <c r="Q44" s="67">
        <f>$F44*Outputs_Internal!N$51/12</f>
        <v>40</v>
      </c>
      <c r="S44" s="67">
        <f>IF(MOD(MONTH($B44),3)=0,SUM(H42:H44,M42:M44),0)</f>
        <v>11775</v>
      </c>
      <c r="T44" s="67">
        <f t="shared" si="2"/>
        <v>5670</v>
      </c>
      <c r="U44" s="67">
        <f t="shared" si="3"/>
        <v>5985</v>
      </c>
      <c r="V44" s="67">
        <f t="shared" si="4"/>
        <v>0</v>
      </c>
      <c r="W44" s="67">
        <f t="shared" si="5"/>
        <v>120</v>
      </c>
    </row>
    <row r="45" spans="2:23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$F45*Outputs_Internal!$D$51/12</f>
        <v>0</v>
      </c>
      <c r="N45" s="67">
        <f>$F45*Outputs_Internal!K$51/12</f>
        <v>0</v>
      </c>
      <c r="O45" s="67">
        <f>$F45*Outputs_Internal!L$51/12</f>
        <v>0</v>
      </c>
      <c r="P45" s="67">
        <f>$F45*Outputs_Internal!M$51/12</f>
        <v>0</v>
      </c>
      <c r="Q45" s="67">
        <f>$F45*Outputs_Internal!N$51/12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$F46*Outputs_Internal!$D$51/12</f>
        <v>0</v>
      </c>
      <c r="N46" s="67">
        <f>$F46*Outputs_Internal!K$51/12</f>
        <v>0</v>
      </c>
      <c r="O46" s="67">
        <f>$F46*Outputs_Internal!L$51/12</f>
        <v>0</v>
      </c>
      <c r="P46" s="67">
        <f>$F46*Outputs_Internal!M$51/12</f>
        <v>0</v>
      </c>
      <c r="Q46" s="67">
        <f>$F46*Outputs_Internal!N$51/12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$F47*Outputs_Internal!$D$51/12</f>
        <v>0</v>
      </c>
      <c r="N47" s="67">
        <f>$F47*Outputs_Internal!K$51/12</f>
        <v>0</v>
      </c>
      <c r="O47" s="67">
        <f>$F47*Outputs_Internal!L$51/12</f>
        <v>0</v>
      </c>
      <c r="P47" s="67">
        <f>$F47*Outputs_Internal!M$51/12</f>
        <v>0</v>
      </c>
      <c r="Q47" s="67">
        <f>$F47*Outputs_Internal!N$51/12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$F48*Outputs_Internal!$D$51/12</f>
        <v>0</v>
      </c>
      <c r="N48" s="67">
        <f>$F48*Outputs_Internal!K$51/12</f>
        <v>0</v>
      </c>
      <c r="O48" s="67">
        <f>$F48*Outputs_Internal!L$51/12</f>
        <v>0</v>
      </c>
      <c r="P48" s="67">
        <f>$F48*Outputs_Internal!M$51/12</f>
        <v>0</v>
      </c>
      <c r="Q48" s="67">
        <f>$F48*Outputs_Internal!N$51/12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$F49*Outputs_Internal!$D$51/12</f>
        <v>0</v>
      </c>
      <c r="N49" s="67">
        <f>$F49*Outputs_Internal!K$51/12</f>
        <v>0</v>
      </c>
      <c r="O49" s="67">
        <f>$F49*Outputs_Internal!L$51/12</f>
        <v>0</v>
      </c>
      <c r="P49" s="67">
        <f>$F49*Outputs_Internal!M$51/12</f>
        <v>0</v>
      </c>
      <c r="Q49" s="67">
        <f>$F49*Outputs_Internal!N$51/12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$F50*Outputs_Internal!$D$51/12</f>
        <v>0</v>
      </c>
      <c r="N50" s="67">
        <f>$F50*Outputs_Internal!K$51/12</f>
        <v>0</v>
      </c>
      <c r="O50" s="67">
        <f>$F50*Outputs_Internal!L$51/12</f>
        <v>0</v>
      </c>
      <c r="P50" s="67">
        <f>$F50*Outputs_Internal!M$51/12</f>
        <v>0</v>
      </c>
      <c r="Q50" s="67">
        <f>$F50*Outputs_Internal!N$51/12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$F51*Outputs_Internal!$D$51/12</f>
        <v>0</v>
      </c>
      <c r="N51" s="67">
        <f>$F51*Outputs_Internal!K$51/12</f>
        <v>0</v>
      </c>
      <c r="O51" s="67">
        <f>$F51*Outputs_Internal!L$51/12</f>
        <v>0</v>
      </c>
      <c r="P51" s="67">
        <f>$F51*Outputs_Internal!M$51/12</f>
        <v>0</v>
      </c>
      <c r="Q51" s="67">
        <f>$F51*Outputs_Internal!N$51/12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$F52*Outputs_Internal!$D$51/12</f>
        <v>0</v>
      </c>
      <c r="N52" s="67">
        <f>$F52*Outputs_Internal!K$51/12</f>
        <v>0</v>
      </c>
      <c r="O52" s="67">
        <f>$F52*Outputs_Internal!L$51/12</f>
        <v>0</v>
      </c>
      <c r="P52" s="67">
        <f>$F52*Outputs_Internal!M$51/12</f>
        <v>0</v>
      </c>
      <c r="Q52" s="67">
        <f>$F52*Outputs_Internal!N$51/12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$F53*Outputs_Internal!$D$51/12</f>
        <v>0</v>
      </c>
      <c r="N53" s="67">
        <f>$F53*Outputs_Internal!K$51/12</f>
        <v>0</v>
      </c>
      <c r="O53" s="67">
        <f>$F53*Outputs_Internal!L$51/12</f>
        <v>0</v>
      </c>
      <c r="P53" s="67">
        <f>$F53*Outputs_Internal!M$51/12</f>
        <v>0</v>
      </c>
      <c r="Q53" s="67">
        <f>$F53*Outputs_Internal!N$51/12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$F54*Outputs_Internal!$D$51/12</f>
        <v>0</v>
      </c>
      <c r="N54" s="67">
        <f>$F54*Outputs_Internal!K$51/12</f>
        <v>0</v>
      </c>
      <c r="O54" s="67">
        <f>$F54*Outputs_Internal!L$51/12</f>
        <v>0</v>
      </c>
      <c r="P54" s="67">
        <f>$F54*Outputs_Internal!M$51/12</f>
        <v>0</v>
      </c>
      <c r="Q54" s="67">
        <f>$F54*Outputs_Internal!N$51/12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$F55*Outputs_Internal!$D$51/12</f>
        <v>0</v>
      </c>
      <c r="N55" s="67">
        <f>$F55*Outputs_Internal!K$51/12</f>
        <v>0</v>
      </c>
      <c r="O55" s="67">
        <f>$F55*Outputs_Internal!L$51/12</f>
        <v>0</v>
      </c>
      <c r="P55" s="67">
        <f>$F55*Outputs_Internal!M$51/12</f>
        <v>0</v>
      </c>
      <c r="Q55" s="67">
        <f>$F55*Outputs_Internal!N$51/12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$F56*Outputs_Internal!$D$51/12</f>
        <v>0</v>
      </c>
      <c r="N56" s="67">
        <f>$F56*Outputs_Internal!K$51/12</f>
        <v>0</v>
      </c>
      <c r="O56" s="67">
        <f>$F56*Outputs_Internal!L$51/12</f>
        <v>0</v>
      </c>
      <c r="P56" s="67">
        <f>$F56*Outputs_Internal!M$51/12</f>
        <v>0</v>
      </c>
      <c r="Q56" s="67">
        <f>$F56*Outputs_Internal!N$51/12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$F57*Outputs_Internal!$D$51/12</f>
        <v>0</v>
      </c>
      <c r="N57" s="67">
        <f>$F57*Outputs_Internal!K$51/12</f>
        <v>0</v>
      </c>
      <c r="O57" s="67">
        <f>$F57*Outputs_Internal!L$51/12</f>
        <v>0</v>
      </c>
      <c r="P57" s="67">
        <f>$F57*Outputs_Internal!M$51/12</f>
        <v>0</v>
      </c>
      <c r="Q57" s="67">
        <f>$F57*Outputs_Internal!N$51/12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$F58*Outputs_Internal!$D$51/12</f>
        <v>0</v>
      </c>
      <c r="N58" s="67">
        <f>$F58*Outputs_Internal!K$51/12</f>
        <v>0</v>
      </c>
      <c r="O58" s="67">
        <f>$F58*Outputs_Internal!L$51/12</f>
        <v>0</v>
      </c>
      <c r="P58" s="67">
        <f>$F58*Outputs_Internal!M$51/12</f>
        <v>0</v>
      </c>
      <c r="Q58" s="67">
        <f>$F58*Outputs_Internal!N$51/12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$F59*Outputs_Internal!$D$51/12</f>
        <v>0</v>
      </c>
      <c r="N59" s="67">
        <f>$F59*Outputs_Internal!K$51/12</f>
        <v>0</v>
      </c>
      <c r="O59" s="67">
        <f>$F59*Outputs_Internal!L$51/12</f>
        <v>0</v>
      </c>
      <c r="P59" s="67">
        <f>$F59*Outputs_Internal!M$51/12</f>
        <v>0</v>
      </c>
      <c r="Q59" s="67">
        <f>$F59*Outputs_Internal!N$51/12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$F60*Outputs_Internal!$D$51/12</f>
        <v>0</v>
      </c>
      <c r="N60" s="67">
        <f>$F60*Outputs_Internal!K$51/12</f>
        <v>0</v>
      </c>
      <c r="O60" s="67">
        <f>$F60*Outputs_Internal!L$51/12</f>
        <v>0</v>
      </c>
      <c r="P60" s="67">
        <f>$F60*Outputs_Internal!M$51/12</f>
        <v>0</v>
      </c>
      <c r="Q60" s="67">
        <f>$F60*Outputs_Internal!N$51/12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$F61*Outputs_Internal!$D$51/12</f>
        <v>0</v>
      </c>
      <c r="N61" s="67">
        <f>$F61*Outputs_Internal!K$51/12</f>
        <v>0</v>
      </c>
      <c r="O61" s="67">
        <f>$F61*Outputs_Internal!L$51/12</f>
        <v>0</v>
      </c>
      <c r="P61" s="67">
        <f>$F61*Outputs_Internal!M$51/12</f>
        <v>0</v>
      </c>
      <c r="Q61" s="67">
        <f>$F61*Outputs_Internal!N$51/12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$F62*Outputs_Internal!$D$51/12</f>
        <v>0</v>
      </c>
      <c r="N62" s="67">
        <f>$F62*Outputs_Internal!K$51/12</f>
        <v>0</v>
      </c>
      <c r="O62" s="67">
        <f>$F62*Outputs_Internal!L$51/12</f>
        <v>0</v>
      </c>
      <c r="P62" s="67">
        <f>$F62*Outputs_Internal!M$51/12</f>
        <v>0</v>
      </c>
      <c r="Q62" s="67">
        <f>$F62*Outputs_Internal!N$51/12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$F63*Outputs_Internal!$D$51/12</f>
        <v>0</v>
      </c>
      <c r="N63" s="67">
        <f>$F63*Outputs_Internal!K$51/12</f>
        <v>0</v>
      </c>
      <c r="O63" s="67">
        <f>$F63*Outputs_Internal!L$51/12</f>
        <v>0</v>
      </c>
      <c r="P63" s="67">
        <f>$F63*Outputs_Internal!M$51/12</f>
        <v>0</v>
      </c>
      <c r="Q63" s="67">
        <f>$F63*Outputs_Internal!N$51/12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$F64*Outputs_Internal!$D$51/12</f>
        <v>0</v>
      </c>
      <c r="N64" s="67">
        <f>$F64*Outputs_Internal!K$51/12</f>
        <v>0</v>
      </c>
      <c r="O64" s="67">
        <f>$F64*Outputs_Internal!L$51/12</f>
        <v>0</v>
      </c>
      <c r="P64" s="67">
        <f>$F64*Outputs_Internal!M$51/12</f>
        <v>0</v>
      </c>
      <c r="Q64" s="67">
        <f>$F64*Outputs_Internal!N$51/12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$F65*Outputs_Internal!$D$51/12</f>
        <v>0</v>
      </c>
      <c r="N65" s="67">
        <f>$F65*Outputs_Internal!K$51/12</f>
        <v>0</v>
      </c>
      <c r="O65" s="67">
        <f>$F65*Outputs_Internal!L$51/12</f>
        <v>0</v>
      </c>
      <c r="P65" s="67">
        <f>$F65*Outputs_Internal!M$51/12</f>
        <v>0</v>
      </c>
      <c r="Q65" s="67">
        <f>$F65*Outputs_Internal!N$51/12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$F66*Outputs_Internal!$D$51/12</f>
        <v>0</v>
      </c>
      <c r="N66" s="67">
        <f>$F66*Outputs_Internal!K$51/12</f>
        <v>0</v>
      </c>
      <c r="O66" s="67">
        <f>$F66*Outputs_Internal!L$51/12</f>
        <v>0</v>
      </c>
      <c r="P66" s="67">
        <f>$F66*Outputs_Internal!M$51/12</f>
        <v>0</v>
      </c>
      <c r="Q66" s="67">
        <f>$F66*Outputs_Internal!N$51/12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$F67*Outputs_Internal!$D$51/12</f>
        <v>0</v>
      </c>
      <c r="N67" s="67">
        <f>$F67*Outputs_Internal!K$51/12</f>
        <v>0</v>
      </c>
      <c r="O67" s="67">
        <f>$F67*Outputs_Internal!L$51/12</f>
        <v>0</v>
      </c>
      <c r="P67" s="67">
        <f>$F67*Outputs_Internal!M$51/12</f>
        <v>0</v>
      </c>
      <c r="Q67" s="67">
        <f>$F67*Outputs_Internal!N$51/12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$F68*Outputs_Internal!$D$51/12</f>
        <v>0</v>
      </c>
      <c r="N68" s="67">
        <f>$F68*Outputs_Internal!K$51/12</f>
        <v>0</v>
      </c>
      <c r="O68" s="67">
        <f>$F68*Outputs_Internal!L$51/12</f>
        <v>0</v>
      </c>
      <c r="P68" s="67">
        <f>$F68*Outputs_Internal!M$51/12</f>
        <v>0</v>
      </c>
      <c r="Q68" s="67">
        <f>$F68*Outputs_Internal!N$51/12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$F69*Outputs_Internal!$D$51/12</f>
        <v>0</v>
      </c>
      <c r="N69" s="67">
        <f>$F69*Outputs_Internal!K$51/12</f>
        <v>0</v>
      </c>
      <c r="O69" s="67">
        <f>$F69*Outputs_Internal!L$51/12</f>
        <v>0</v>
      </c>
      <c r="P69" s="67">
        <f>$F69*Outputs_Internal!M$51/12</f>
        <v>0</v>
      </c>
      <c r="Q69" s="67">
        <f>$F69*Outputs_Internal!N$51/12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$F70*Outputs_Internal!$D$51/12</f>
        <v>0</v>
      </c>
      <c r="N70" s="67">
        <f>$F70*Outputs_Internal!K$51/12</f>
        <v>0</v>
      </c>
      <c r="O70" s="67">
        <f>$F70*Outputs_Internal!L$51/12</f>
        <v>0</v>
      </c>
      <c r="P70" s="67">
        <f>$F70*Outputs_Internal!M$51/12</f>
        <v>0</v>
      </c>
      <c r="Q70" s="67">
        <f>$F70*Outputs_Internal!N$51/12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$F71*Outputs_Internal!$D$51/12</f>
        <v>0</v>
      </c>
      <c r="N71" s="67">
        <f>$F71*Outputs_Internal!K$51/12</f>
        <v>0</v>
      </c>
      <c r="O71" s="67">
        <f>$F71*Outputs_Internal!L$51/12</f>
        <v>0</v>
      </c>
      <c r="P71" s="67">
        <f>$F71*Outputs_Internal!M$51/12</f>
        <v>0</v>
      </c>
      <c r="Q71" s="67">
        <f>$F71*Outputs_Internal!N$51/12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$F72*Outputs_Internal!$D$51/12</f>
        <v>0</v>
      </c>
      <c r="N72" s="67">
        <f>$F72*Outputs_Internal!K$51/12</f>
        <v>0</v>
      </c>
      <c r="O72" s="67">
        <f>$F72*Outputs_Internal!L$51/12</f>
        <v>0</v>
      </c>
      <c r="P72" s="67">
        <f>$F72*Outputs_Internal!M$51/12</f>
        <v>0</v>
      </c>
      <c r="Q72" s="67">
        <f>$F72*Outputs_Internal!N$51/12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$F73*Outputs_Internal!$D$51/12</f>
        <v>0</v>
      </c>
      <c r="N73" s="67">
        <f>$F73*Outputs_Internal!K$51/12</f>
        <v>0</v>
      </c>
      <c r="O73" s="67">
        <f>$F73*Outputs_Internal!L$51/12</f>
        <v>0</v>
      </c>
      <c r="P73" s="67">
        <f>$F73*Outputs_Internal!M$51/12</f>
        <v>0</v>
      </c>
      <c r="Q73" s="67">
        <f>$F73*Outputs_Internal!N$51/12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$F74*Outputs_Internal!$D$51/12</f>
        <v>0</v>
      </c>
      <c r="N74" s="67">
        <f>$F74*Outputs_Internal!K$51/12</f>
        <v>0</v>
      </c>
      <c r="O74" s="67">
        <f>$F74*Outputs_Internal!L$51/12</f>
        <v>0</v>
      </c>
      <c r="P74" s="67">
        <f>$F74*Outputs_Internal!M$51/12</f>
        <v>0</v>
      </c>
      <c r="Q74" s="67">
        <f>$F74*Outputs_Internal!N$51/12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$F75*Outputs_Internal!$D$51/12</f>
        <v>0</v>
      </c>
      <c r="N75" s="67">
        <f>$F75*Outputs_Internal!K$51/12</f>
        <v>0</v>
      </c>
      <c r="O75" s="67">
        <f>$F75*Outputs_Internal!L$51/12</f>
        <v>0</v>
      </c>
      <c r="P75" s="67">
        <f>$F75*Outputs_Internal!M$51/12</f>
        <v>0</v>
      </c>
      <c r="Q75" s="67">
        <f>$F75*Outputs_Internal!N$51/12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$F76*Outputs_Internal!$D$51/12</f>
        <v>0</v>
      </c>
      <c r="N76" s="67">
        <f>$F76*Outputs_Internal!K$51/12</f>
        <v>0</v>
      </c>
      <c r="O76" s="67">
        <f>$F76*Outputs_Internal!L$51/12</f>
        <v>0</v>
      </c>
      <c r="P76" s="67">
        <f>$F76*Outputs_Internal!M$51/12</f>
        <v>0</v>
      </c>
      <c r="Q76" s="67">
        <f>$F76*Outputs_Internal!N$51/12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$F77*Outputs_Internal!$D$51/12</f>
        <v>0</v>
      </c>
      <c r="N77" s="67">
        <f>$F77*Outputs_Internal!K$51/12</f>
        <v>0</v>
      </c>
      <c r="O77" s="67">
        <f>$F77*Outputs_Internal!L$51/12</f>
        <v>0</v>
      </c>
      <c r="P77" s="67">
        <f>$F77*Outputs_Internal!M$51/12</f>
        <v>0</v>
      </c>
      <c r="Q77" s="67">
        <f>$F77*Outputs_Internal!N$51/12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$F78*Outputs_Internal!$D$51/12</f>
        <v>0</v>
      </c>
      <c r="N78" s="67">
        <f>$F78*Outputs_Internal!K$51/12</f>
        <v>0</v>
      </c>
      <c r="O78" s="67">
        <f>$F78*Outputs_Internal!L$51/12</f>
        <v>0</v>
      </c>
      <c r="P78" s="67">
        <f>$F78*Outputs_Internal!M$51/12</f>
        <v>0</v>
      </c>
      <c r="Q78" s="67">
        <f>$F78*Outputs_Internal!N$51/12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$F79*Outputs_Internal!$D$51/12</f>
        <v>0</v>
      </c>
      <c r="N79" s="67">
        <f>$F79*Outputs_Internal!K$51/12</f>
        <v>0</v>
      </c>
      <c r="O79" s="67">
        <f>$F79*Outputs_Internal!L$51/12</f>
        <v>0</v>
      </c>
      <c r="P79" s="67">
        <f>$F79*Outputs_Internal!M$51/12</f>
        <v>0</v>
      </c>
      <c r="Q79" s="67">
        <f>$F79*Outputs_Internal!N$51/12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$F80*Outputs_Internal!$D$51/12</f>
        <v>0</v>
      </c>
      <c r="N80" s="67">
        <f>$F80*Outputs_Internal!K$51/12</f>
        <v>0</v>
      </c>
      <c r="O80" s="67">
        <f>$F80*Outputs_Internal!L$51/12</f>
        <v>0</v>
      </c>
      <c r="P80" s="67">
        <f>$F80*Outputs_Internal!M$51/12</f>
        <v>0</v>
      </c>
      <c r="Q80" s="67">
        <f>$F80*Outputs_Internal!N$51/12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$F81*Outputs_Internal!$D$51/12</f>
        <v>0</v>
      </c>
      <c r="N81" s="67">
        <f>$F81*Outputs_Internal!K$51/12</f>
        <v>0</v>
      </c>
      <c r="O81" s="67">
        <f>$F81*Outputs_Internal!L$51/12</f>
        <v>0</v>
      </c>
      <c r="P81" s="67">
        <f>$F81*Outputs_Internal!M$51/12</f>
        <v>0</v>
      </c>
      <c r="Q81" s="67">
        <f>$F81*Outputs_Internal!N$51/12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$F82*Outputs_Internal!$D$51/12</f>
        <v>0</v>
      </c>
      <c r="N82" s="67">
        <f>$F82*Outputs_Internal!K$51/12</f>
        <v>0</v>
      </c>
      <c r="O82" s="67">
        <f>$F82*Outputs_Internal!L$51/12</f>
        <v>0</v>
      </c>
      <c r="P82" s="67">
        <f>$F82*Outputs_Internal!M$51/12</f>
        <v>0</v>
      </c>
      <c r="Q82" s="67">
        <f>$F82*Outputs_Internal!N$51/12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$F83*Outputs_Internal!$D$51/12</f>
        <v>0</v>
      </c>
      <c r="N83" s="67">
        <f>$F83*Outputs_Internal!K$51/12</f>
        <v>0</v>
      </c>
      <c r="O83" s="67">
        <f>$F83*Outputs_Internal!L$51/12</f>
        <v>0</v>
      </c>
      <c r="P83" s="67">
        <f>$F83*Outputs_Internal!M$51/12</f>
        <v>0</v>
      </c>
      <c r="Q83" s="67">
        <f>$F83*Outputs_Internal!N$51/12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$F84*Outputs_Internal!$D$51/12</f>
        <v>0</v>
      </c>
      <c r="N84" s="67">
        <f>$F84*Outputs_Internal!K$51/12</f>
        <v>0</v>
      </c>
      <c r="O84" s="67">
        <f>$F84*Outputs_Internal!L$51/12</f>
        <v>0</v>
      </c>
      <c r="P84" s="67">
        <f>$F84*Outputs_Internal!M$51/12</f>
        <v>0</v>
      </c>
      <c r="Q84" s="67">
        <f>$F84*Outputs_Internal!N$51/12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$F85*Outputs_Internal!$D$51/12</f>
        <v>0</v>
      </c>
      <c r="N85" s="67">
        <f>$F85*Outputs_Internal!K$51/12</f>
        <v>0</v>
      </c>
      <c r="O85" s="67">
        <f>$F85*Outputs_Internal!L$51/12</f>
        <v>0</v>
      </c>
      <c r="P85" s="67">
        <f>$F85*Outputs_Internal!M$51/12</f>
        <v>0</v>
      </c>
      <c r="Q85" s="67">
        <f>$F85*Outputs_Internal!N$51/12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$F86*Outputs_Internal!$D$51/12</f>
        <v>0</v>
      </c>
      <c r="N86" s="67">
        <f>$F86*Outputs_Internal!K$51/12</f>
        <v>0</v>
      </c>
      <c r="O86" s="67">
        <f>$F86*Outputs_Internal!L$51/12</f>
        <v>0</v>
      </c>
      <c r="P86" s="67">
        <f>$F86*Outputs_Internal!M$51/12</f>
        <v>0</v>
      </c>
      <c r="Q86" s="67">
        <f>$F86*Outputs_Internal!N$51/12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$F87*Outputs_Internal!$D$51/12</f>
        <v>0</v>
      </c>
      <c r="N87" s="67">
        <f>$F87*Outputs_Internal!K$51/12</f>
        <v>0</v>
      </c>
      <c r="O87" s="67">
        <f>$F87*Outputs_Internal!L$51/12</f>
        <v>0</v>
      </c>
      <c r="P87" s="67">
        <f>$F87*Outputs_Internal!M$51/12</f>
        <v>0</v>
      </c>
      <c r="Q87" s="67">
        <f>$F87*Outputs_Internal!N$51/12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$F88*Outputs_Internal!$D$51/12</f>
        <v>0</v>
      </c>
      <c r="N88" s="67">
        <f>$F88*Outputs_Internal!K$51/12</f>
        <v>0</v>
      </c>
      <c r="O88" s="67">
        <f>$F88*Outputs_Internal!L$51/12</f>
        <v>0</v>
      </c>
      <c r="P88" s="67">
        <f>$F88*Outputs_Internal!M$51/12</f>
        <v>0</v>
      </c>
      <c r="Q88" s="67">
        <f>$F88*Outputs_Internal!N$51/12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$F89*Outputs_Internal!$D$51/12</f>
        <v>0</v>
      </c>
      <c r="N89" s="67">
        <f>$F89*Outputs_Internal!K$51/12</f>
        <v>0</v>
      </c>
      <c r="O89" s="67">
        <f>$F89*Outputs_Internal!L$51/12</f>
        <v>0</v>
      </c>
      <c r="P89" s="67">
        <f>$F89*Outputs_Internal!M$51/12</f>
        <v>0</v>
      </c>
      <c r="Q89" s="67">
        <f>$F89*Outputs_Internal!N$51/12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$F90*Outputs_Internal!$D$51/12</f>
        <v>0</v>
      </c>
      <c r="N90" s="67">
        <f>$F90*Outputs_Internal!K$51/12</f>
        <v>0</v>
      </c>
      <c r="O90" s="67">
        <f>$F90*Outputs_Internal!L$51/12</f>
        <v>0</v>
      </c>
      <c r="P90" s="67">
        <f>$F90*Outputs_Internal!M$51/12</f>
        <v>0</v>
      </c>
      <c r="Q90" s="67">
        <f>$F90*Outputs_Internal!N$51/12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$F91*Outputs_Internal!$D$51/12</f>
        <v>0</v>
      </c>
      <c r="N91" s="67">
        <f>$F91*Outputs_Internal!K$51/12</f>
        <v>0</v>
      </c>
      <c r="O91" s="67">
        <f>$F91*Outputs_Internal!L$51/12</f>
        <v>0</v>
      </c>
      <c r="P91" s="67">
        <f>$F91*Outputs_Internal!M$51/12</f>
        <v>0</v>
      </c>
      <c r="Q91" s="67">
        <f>$F91*Outputs_Internal!N$51/12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$F92*Outputs_Internal!$D$51/12</f>
        <v>0</v>
      </c>
      <c r="N92" s="67">
        <f>$F92*Outputs_Internal!K$51/12</f>
        <v>0</v>
      </c>
      <c r="O92" s="67">
        <f>$F92*Outputs_Internal!L$51/12</f>
        <v>0</v>
      </c>
      <c r="P92" s="67">
        <f>$F92*Outputs_Internal!M$51/12</f>
        <v>0</v>
      </c>
      <c r="Q92" s="67">
        <f>$F92*Outputs_Internal!N$51/12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$F93*Outputs_Internal!$D$51/12</f>
        <v>0</v>
      </c>
      <c r="N93" s="67">
        <f>$F93*Outputs_Internal!K$51/12</f>
        <v>0</v>
      </c>
      <c r="O93" s="67">
        <f>$F93*Outputs_Internal!L$51/12</f>
        <v>0</v>
      </c>
      <c r="P93" s="67">
        <f>$F93*Outputs_Internal!M$51/12</f>
        <v>0</v>
      </c>
      <c r="Q93" s="67">
        <f>$F93*Outputs_Internal!N$51/12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$F94*Outputs_Internal!$D$51/12</f>
        <v>0</v>
      </c>
      <c r="N94" s="67">
        <f>$F94*Outputs_Internal!K$51/12</f>
        <v>0</v>
      </c>
      <c r="O94" s="67">
        <f>$F94*Outputs_Internal!L$51/12</f>
        <v>0</v>
      </c>
      <c r="P94" s="67">
        <f>$F94*Outputs_Internal!M$51/12</f>
        <v>0</v>
      </c>
      <c r="Q94" s="67">
        <f>$F94*Outputs_Internal!N$51/12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51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101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101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101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101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47100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56</v>
      </c>
      <c r="D92" s="7">
        <f>SUM(D88, D90)</f>
        <v>47100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65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53</v>
      </c>
    </row>
    <row r="101" spans="2:8" s="21" customFormat="1" x14ac:dyDescent="0.25">
      <c r="B101" s="27"/>
      <c r="D101" s="21" t="s">
        <v>41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42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54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55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18000</v>
      </c>
      <c r="D6" s="43">
        <v>33000</v>
      </c>
      <c r="E6" s="39">
        <v>0.4</v>
      </c>
      <c r="H6" t="s">
        <v>38</v>
      </c>
      <c r="I6" s="3">
        <v>0.45</v>
      </c>
    </row>
    <row r="7" spans="2:9" x14ac:dyDescent="0.25">
      <c r="B7" s="15" t="s">
        <v>31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1200</v>
      </c>
      <c r="D10" s="41">
        <v>0.05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83</v>
      </c>
      <c r="I14" s="61">
        <v>1.2500000000000001E-2</v>
      </c>
    </row>
    <row r="15" spans="2:9" x14ac:dyDescent="0.25">
      <c r="B15" s="17" t="s">
        <v>101</v>
      </c>
      <c r="C15" s="45">
        <v>4800</v>
      </c>
      <c r="D15" s="41">
        <v>7.0000000000000007E-2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15</v>
      </c>
      <c r="C17" s="46">
        <v>6000</v>
      </c>
      <c r="D17" s="42">
        <v>0.1</v>
      </c>
    </row>
    <row r="18" spans="2:4" x14ac:dyDescent="0.25">
      <c r="B18" s="19" t="s">
        <v>34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17</v>
      </c>
      <c r="C20" s="45">
        <v>10200</v>
      </c>
      <c r="D20" s="41">
        <v>0</v>
      </c>
    </row>
    <row r="21" spans="2:4" x14ac:dyDescent="0.25">
      <c r="B21" s="17" t="s">
        <v>18</v>
      </c>
      <c r="C21" s="45">
        <v>39600</v>
      </c>
      <c r="D21" s="41">
        <v>0.4</v>
      </c>
    </row>
    <row r="22" spans="2:4" x14ac:dyDescent="0.25">
      <c r="B22" s="19" t="s">
        <v>19</v>
      </c>
      <c r="C22" s="46">
        <v>42000</v>
      </c>
      <c r="D22" s="42">
        <v>0.42</v>
      </c>
    </row>
    <row r="23" spans="2:4" x14ac:dyDescent="0.25">
      <c r="B23" s="19" t="s">
        <v>20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2018-02-15T19:13:47Z</dcterms:modified>
</cp:coreProperties>
</file>