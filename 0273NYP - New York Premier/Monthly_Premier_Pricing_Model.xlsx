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0" i="7" l="1"/>
  <c r="D92" i="1"/>
  <c r="D28" i="5" s="1"/>
  <c r="D30" i="5" s="1"/>
  <c r="D50" i="7" l="1"/>
  <c r="H26" i="7"/>
  <c r="G26" i="7"/>
  <c r="I26" i="7" s="1"/>
  <c r="M50" i="7" l="1"/>
  <c r="M52" i="7" s="1"/>
  <c r="K50" i="7"/>
  <c r="K52" i="7" s="1"/>
  <c r="N50" i="7"/>
  <c r="N52" i="7" s="1"/>
  <c r="L50" i="7"/>
  <c r="L52" i="7" s="1"/>
  <c r="F26" i="7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D6" i="8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2" i="1"/>
  <c r="G62" i="1"/>
  <c r="F62" i="1"/>
  <c r="F74" i="1" s="1"/>
  <c r="E62" i="1"/>
  <c r="D62" i="1"/>
  <c r="D74" i="1" s="1"/>
  <c r="D63" i="1"/>
  <c r="E63" i="1"/>
  <c r="F63" i="1"/>
  <c r="G63" i="1"/>
  <c r="H63" i="1"/>
  <c r="L18" i="7" l="1"/>
  <c r="N18" i="7"/>
  <c r="I7" i="8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60" i="7"/>
  <c r="O67" i="1"/>
  <c r="N67" i="1"/>
  <c r="M67" i="1"/>
  <c r="K67" i="1"/>
  <c r="D8" i="7"/>
  <c r="N8" i="7" s="1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60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D62" i="7" l="1"/>
  <c r="K36" i="7"/>
  <c r="M36" i="7"/>
  <c r="N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H80" i="1"/>
  <c r="E81" i="1"/>
  <c r="E80" i="1"/>
  <c r="D61" i="7"/>
  <c r="D63" i="7"/>
  <c r="N63" i="7" s="1"/>
  <c r="D80" i="1"/>
  <c r="D82" i="1"/>
  <c r="D45" i="7" s="1"/>
  <c r="N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23" i="7" l="1"/>
  <c r="M23" i="7"/>
  <c r="N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85" i="1"/>
  <c r="M18" i="7"/>
  <c r="K18" i="7"/>
  <c r="D86" i="1"/>
  <c r="E86" i="1"/>
  <c r="E85" i="1"/>
  <c r="F86" i="1"/>
  <c r="F85" i="1"/>
  <c r="G86" i="1"/>
  <c r="G85" i="1"/>
  <c r="H86" i="1"/>
  <c r="H85" i="1"/>
  <c r="K43" i="7" l="1"/>
  <c r="N43" i="7"/>
  <c r="I12" i="8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97" i="1"/>
  <c r="D99" i="1" s="1"/>
  <c r="F97" i="1"/>
  <c r="F99" i="1" s="1"/>
  <c r="G97" i="1"/>
  <c r="H97" i="1"/>
  <c r="E97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9" i="1"/>
  <c r="H99" i="1"/>
  <c r="G99" i="1"/>
  <c r="H49" i="7" l="1"/>
  <c r="F49" i="7"/>
  <c r="G49" i="7"/>
  <c r="I15" i="8"/>
  <c r="J15" i="8"/>
  <c r="H15" i="8"/>
  <c r="K15" i="8"/>
  <c r="E15" i="8"/>
  <c r="F14" i="8"/>
  <c r="F52" i="8"/>
  <c r="D16" i="8"/>
  <c r="F100" i="1"/>
  <c r="G100" i="1"/>
  <c r="H100" i="1"/>
  <c r="E100" i="1"/>
  <c r="D100" i="1"/>
  <c r="I49" i="7" l="1"/>
  <c r="I16" i="8"/>
  <c r="J16" i="8"/>
  <c r="K16" i="8"/>
  <c r="H16" i="8"/>
  <c r="E16" i="8"/>
  <c r="F15" i="8"/>
  <c r="F53" i="8"/>
  <c r="D17" i="8"/>
  <c r="E103" i="1"/>
  <c r="E106" i="1"/>
  <c r="H90" i="1" s="1"/>
  <c r="E104" i="1"/>
  <c r="E105" i="1"/>
  <c r="J17" i="8" l="1"/>
  <c r="K17" i="8"/>
  <c r="I17" i="8"/>
  <c r="H17" i="8"/>
  <c r="E17" i="8"/>
  <c r="F16" i="8"/>
  <c r="F54" i="8"/>
  <c r="D18" i="8"/>
  <c r="E90" i="1"/>
  <c r="E27" i="5" s="1"/>
  <c r="E30" i="5" s="1"/>
  <c r="E35" i="5" s="1"/>
  <c r="F90" i="1"/>
  <c r="F27" i="5" s="1"/>
  <c r="F30" i="5" s="1"/>
  <c r="F35" i="5" s="1"/>
  <c r="D90" i="1"/>
  <c r="D27" i="5" s="1"/>
  <c r="D35" i="5" s="1"/>
  <c r="G90" i="1"/>
  <c r="H27" i="5"/>
  <c r="H30" i="5" s="1"/>
  <c r="H35" i="5" s="1"/>
  <c r="H94" i="1"/>
  <c r="K18" i="8" l="1"/>
  <c r="I18" i="8"/>
  <c r="H18" i="8"/>
  <c r="J18" i="8"/>
  <c r="E18" i="8"/>
  <c r="F17" i="8"/>
  <c r="F55" i="8"/>
  <c r="D19" i="8"/>
  <c r="E94" i="1"/>
  <c r="F94" i="1"/>
  <c r="D94" i="1"/>
  <c r="G27" i="5"/>
  <c r="D49" i="7" s="1"/>
  <c r="N49" i="7" s="1"/>
  <c r="G94" i="1"/>
  <c r="Q3" i="8" l="1"/>
  <c r="Q32" i="8"/>
  <c r="Q56" i="8"/>
  <c r="Q54" i="8"/>
  <c r="Q42" i="8"/>
  <c r="Q19" i="8"/>
  <c r="Q82" i="8"/>
  <c r="Q17" i="8"/>
  <c r="Q28" i="8"/>
  <c r="Q52" i="8"/>
  <c r="Q77" i="8"/>
  <c r="Q34" i="8"/>
  <c r="Q78" i="8"/>
  <c r="Q15" i="8"/>
  <c r="Q44" i="8"/>
  <c r="Q24" i="8"/>
  <c r="Q37" i="8"/>
  <c r="Q83" i="8"/>
  <c r="Q57" i="8"/>
  <c r="Q46" i="8"/>
  <c r="Q38" i="8"/>
  <c r="Q92" i="8"/>
  <c r="Q70" i="8"/>
  <c r="Q4" i="8"/>
  <c r="Q76" i="8"/>
  <c r="Q14" i="8"/>
  <c r="Q69" i="8"/>
  <c r="Q62" i="8"/>
  <c r="Q39" i="8"/>
  <c r="Q59" i="8"/>
  <c r="Q30" i="8"/>
  <c r="Q16" i="8"/>
  <c r="Q73" i="8"/>
  <c r="Q49" i="8"/>
  <c r="Q22" i="8"/>
  <c r="Q66" i="8"/>
  <c r="Q67" i="8"/>
  <c r="Q48" i="8"/>
  <c r="Q88" i="8"/>
  <c r="Q58" i="8"/>
  <c r="Q63" i="8"/>
  <c r="Q45" i="8"/>
  <c r="Q35" i="8"/>
  <c r="Q47" i="8"/>
  <c r="Q84" i="8"/>
  <c r="Q31" i="8"/>
  <c r="Q8" i="8"/>
  <c r="Q36" i="8"/>
  <c r="W38" i="8" s="1"/>
  <c r="Q61" i="8"/>
  <c r="Q86" i="8"/>
  <c r="Q50" i="8"/>
  <c r="Q23" i="8"/>
  <c r="Q5" i="8"/>
  <c r="Q26" i="8"/>
  <c r="Q20" i="8"/>
  <c r="Q72" i="8"/>
  <c r="Q21" i="8"/>
  <c r="Q85" i="8"/>
  <c r="Q94" i="8"/>
  <c r="Q11" i="8"/>
  <c r="Q80" i="8"/>
  <c r="Q29" i="8"/>
  <c r="Q90" i="8"/>
  <c r="Q75" i="8"/>
  <c r="W77" i="8" s="1"/>
  <c r="Q89" i="8"/>
  <c r="Q51" i="8"/>
  <c r="Q79" i="8"/>
  <c r="Q25" i="8"/>
  <c r="Q91" i="8"/>
  <c r="Q64" i="8"/>
  <c r="Q9" i="8"/>
  <c r="Q33" i="8"/>
  <c r="W35" i="8" s="1"/>
  <c r="Q6" i="8"/>
  <c r="Q43" i="8"/>
  <c r="Q7" i="8"/>
  <c r="Q40" i="8"/>
  <c r="Q27" i="8"/>
  <c r="Q41" i="8"/>
  <c r="Q13" i="8"/>
  <c r="Q93" i="8"/>
  <c r="Q74" i="8"/>
  <c r="Q71" i="8"/>
  <c r="Q60" i="8"/>
  <c r="Q68" i="8"/>
  <c r="Q18" i="8"/>
  <c r="Q10" i="8"/>
  <c r="Q12" i="8"/>
  <c r="W14" i="8" s="1"/>
  <c r="Q81" i="8"/>
  <c r="W83" i="8" s="1"/>
  <c r="Q65" i="8"/>
  <c r="Q55" i="8"/>
  <c r="Q53" i="8"/>
  <c r="Q87" i="8"/>
  <c r="W89" i="8" s="1"/>
  <c r="I19" i="8"/>
  <c r="J19" i="8"/>
  <c r="H19" i="8"/>
  <c r="K19" i="8"/>
  <c r="E19" i="8"/>
  <c r="F18" i="8"/>
  <c r="F56" i="8"/>
  <c r="D20" i="8"/>
  <c r="K49" i="7"/>
  <c r="L49" i="7"/>
  <c r="M49" i="7"/>
  <c r="G30" i="5"/>
  <c r="G35" i="5" s="1"/>
  <c r="C40" i="5" s="1"/>
  <c r="W20" i="8" l="1"/>
  <c r="W29" i="8"/>
  <c r="W8" i="8"/>
  <c r="W62" i="8"/>
  <c r="W11" i="8"/>
  <c r="W23" i="8"/>
  <c r="W5" i="8"/>
  <c r="W74" i="8"/>
  <c r="W68" i="8"/>
  <c r="W26" i="8"/>
  <c r="W56" i="8"/>
  <c r="W92" i="8"/>
  <c r="W32" i="8"/>
  <c r="W71" i="8"/>
  <c r="W59" i="8"/>
  <c r="D53" i="7"/>
  <c r="W53" i="8"/>
  <c r="W47" i="8"/>
  <c r="W50" i="8"/>
  <c r="W17" i="8"/>
  <c r="W86" i="8"/>
  <c r="W65" i="8"/>
  <c r="W41" i="8"/>
  <c r="W80" i="8"/>
  <c r="W44" i="8"/>
  <c r="P3" i="8"/>
  <c r="I20" i="8"/>
  <c r="J20" i="8"/>
  <c r="K20" i="8"/>
  <c r="H20" i="8"/>
  <c r="D21" i="8"/>
  <c r="E20" i="8"/>
  <c r="F19" i="8"/>
  <c r="P19" i="8" s="1"/>
  <c r="D52" i="7"/>
  <c r="M9" i="8" s="1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V5" i="8" s="1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" i="8"/>
  <c r="M93" i="8"/>
  <c r="M10" i="8"/>
  <c r="M8" i="8"/>
  <c r="M14" i="8"/>
  <c r="M78" i="8"/>
  <c r="M94" i="8"/>
  <c r="M3" i="8"/>
  <c r="M47" i="8"/>
  <c r="M87" i="8"/>
  <c r="M12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84" i="8"/>
  <c r="M55" i="8"/>
  <c r="M88" i="8" l="1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S17" i="8" s="1"/>
  <c r="N55" i="7"/>
  <c r="E21" i="8"/>
  <c r="F20" i="8"/>
  <c r="O19" i="8"/>
  <c r="J21" i="8"/>
  <c r="K21" i="8"/>
  <c r="I21" i="8"/>
  <c r="H21" i="8"/>
  <c r="U11" i="8"/>
  <c r="F58" i="8"/>
  <c r="U14" i="8"/>
  <c r="S11" i="8"/>
  <c r="T11" i="8"/>
  <c r="T17" i="8"/>
  <c r="U17" i="8"/>
  <c r="U8" i="8"/>
  <c r="V11" i="8"/>
  <c r="S5" i="8"/>
  <c r="V17" i="8"/>
  <c r="T14" i="8"/>
  <c r="S14" i="8"/>
  <c r="S8" i="8"/>
  <c r="T5" i="8"/>
  <c r="T8" i="8"/>
  <c r="U5" i="8"/>
  <c r="V8" i="8"/>
  <c r="V14" i="8"/>
  <c r="D22" i="8"/>
  <c r="P20" i="8" l="1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H50" i="8"/>
  <c r="S50" i="8" s="1"/>
  <c r="I50" i="8"/>
  <c r="J50" i="8"/>
  <c r="U50" i="8" s="1"/>
  <c r="D51" i="8"/>
  <c r="V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I59" i="8"/>
  <c r="J59" i="8"/>
  <c r="K59" i="8"/>
  <c r="V59" i="8" s="1"/>
  <c r="D60" i="8"/>
  <c r="S59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U62" i="8" s="1"/>
  <c r="D63" i="8"/>
  <c r="V62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H65" i="8"/>
  <c r="S65" i="8" s="1"/>
  <c r="D66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S68" i="8" s="1"/>
  <c r="D69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J80" i="8"/>
  <c r="K80" i="8"/>
  <c r="V80" i="8" s="1"/>
  <c r="H80" i="8"/>
  <c r="S80" i="8" s="1"/>
  <c r="D81" i="8"/>
  <c r="T80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<sst xmlns="http://schemas.openxmlformats.org/spreadsheetml/2006/main" count="284" uniqueCount="106">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</sst>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81</v>
      </c>
      <c r="C1" s="76">
        <v>43101</v>
      </c>
    </row>
    <row r="2" spans="2:12" x14ac:dyDescent="0.25">
      <c r="B2" s="72" t="s">
        <v>95</v>
      </c>
      <c r="C2" s="77">
        <v>36</v>
      </c>
    </row>
    <row r="3" spans="2:12" x14ac:dyDescent="0.25">
      <c r="B3" s="73"/>
      <c r="C3" s="78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103</v>
      </c>
      <c r="D5" s="56" t="s">
        <v>43</v>
      </c>
      <c r="E5" s="56"/>
      <c r="F5" s="56"/>
      <c r="G5" s="56"/>
      <c r="H5" s="57"/>
      <c r="L5" t="s">
        <v>43</v>
      </c>
    </row>
    <row r="6" spans="2:12" ht="18" customHeight="1" x14ac:dyDescent="0.25">
      <c r="B6" s="74" t="s">
        <v>7</v>
      </c>
      <c r="D6" s="56" t="s">
        <v>43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8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9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10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32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11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12</v>
      </c>
      <c r="D13" s="56" t="s">
        <v>43</v>
      </c>
      <c r="E13" s="56"/>
      <c r="F13" s="56"/>
      <c r="G13" s="56"/>
      <c r="H13" s="57"/>
    </row>
    <row r="14" spans="2:12" ht="18" customHeight="1" x14ac:dyDescent="0.25">
      <c r="B14" s="74" t="s">
        <v>100</v>
      </c>
      <c r="D14" s="56" t="s">
        <v>43</v>
      </c>
      <c r="E14" s="56"/>
      <c r="F14" s="56"/>
      <c r="G14" s="56"/>
      <c r="H14" s="57"/>
    </row>
    <row r="15" spans="2:12" ht="18" customHeight="1" x14ac:dyDescent="0.25">
      <c r="B15" s="74" t="s">
        <v>13</v>
      </c>
      <c r="D15" s="56" t="s">
        <v>43</v>
      </c>
      <c r="E15" s="56"/>
      <c r="F15" s="56"/>
      <c r="G15" s="56"/>
      <c r="H15" s="57"/>
    </row>
    <row r="16" spans="2:12" ht="18" customHeight="1" x14ac:dyDescent="0.25">
      <c r="B16" s="74" t="s">
        <v>14</v>
      </c>
      <c r="D16" s="56" t="s">
        <v>43</v>
      </c>
      <c r="E16" s="56"/>
      <c r="F16" s="56"/>
      <c r="G16" s="56"/>
      <c r="H16" s="57"/>
    </row>
    <row r="17" spans="2:8" ht="18" customHeight="1" x14ac:dyDescent="0.25">
      <c r="B17" s="74" t="s">
        <v>15</v>
      </c>
      <c r="D17" s="56" t="s">
        <v>43</v>
      </c>
      <c r="E17" s="56"/>
      <c r="F17" s="56"/>
      <c r="G17" s="56"/>
      <c r="H17" s="57"/>
    </row>
    <row r="18" spans="2:8" ht="18" customHeight="1" x14ac:dyDescent="0.25">
      <c r="B18" s="74" t="s">
        <v>16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17</v>
      </c>
      <c r="D19" s="56" t="s">
        <v>43</v>
      </c>
      <c r="E19" s="56"/>
      <c r="F19" s="56"/>
      <c r="G19" s="56"/>
      <c r="H19" s="57"/>
    </row>
    <row r="20" spans="2:8" ht="18" customHeight="1" x14ac:dyDescent="0.25">
      <c r="B20" s="74" t="s">
        <v>18</v>
      </c>
      <c r="D20" s="56" t="s">
        <v>43</v>
      </c>
      <c r="E20" s="56"/>
      <c r="F20" s="56"/>
      <c r="G20" s="56"/>
      <c r="H20" s="57"/>
    </row>
    <row r="21" spans="2:8" ht="18" customHeight="1" x14ac:dyDescent="0.25">
      <c r="B21" s="75" t="s">
        <v>19</v>
      </c>
      <c r="C21" s="71"/>
      <c r="D21" s="58" t="s">
        <v>43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56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31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32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100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33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57</v>
      </c>
    </row>
    <row r="20" spans="2:21" x14ac:dyDescent="0.25">
      <c r="C20" t="s">
        <v>16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58</v>
      </c>
    </row>
    <row r="26" spans="2:21" x14ac:dyDescent="0.25">
      <c r="C26" t="s">
        <v>59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52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105</v>
      </c>
      <c r="D28" s="1">
        <f>Calcs!D92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60</v>
      </c>
      <c r="D30" s="7">
        <f>SUM(D7:D17, D20:D23, D26:D28)</f>
        <v>47100</v>
      </c>
      <c r="E30" s="7">
        <f t="shared" ref="E30:H30" si="0">SUM(E7:E17, E20:E23, E26:E27)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97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96</v>
      </c>
      <c r="D35" s="7">
        <f>(D30/12*Inputs!$C$2+D4)*$C$33</f>
        <v>146300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93</v>
      </c>
    </row>
    <row r="39" spans="2:21" x14ac:dyDescent="0.25">
      <c r="C39" s="7">
        <f>SUM(Outputs_Timeline!S:S)</f>
        <v>146300</v>
      </c>
    </row>
    <row r="40" spans="2:21" x14ac:dyDescent="0.25">
      <c r="C40" s="53">
        <f>SUM(D35:H35)</f>
        <v>146300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G58" sqref="G58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80</v>
      </c>
      <c r="G1" s="51"/>
      <c r="H1" s="51"/>
      <c r="I1" s="51"/>
    </row>
    <row r="2" spans="2:14" x14ac:dyDescent="0.25">
      <c r="D2" s="9" t="s">
        <v>65</v>
      </c>
      <c r="F2" s="9" t="s">
        <v>61</v>
      </c>
      <c r="G2" s="9" t="s">
        <v>62</v>
      </c>
      <c r="H2" s="9" t="s">
        <v>102</v>
      </c>
      <c r="I2" s="9" t="s">
        <v>101</v>
      </c>
      <c r="J2" s="9"/>
      <c r="K2" s="9" t="s">
        <v>61</v>
      </c>
      <c r="L2" s="9" t="s">
        <v>62</v>
      </c>
      <c r="M2" s="9" t="s">
        <v>102</v>
      </c>
      <c r="N2" s="9" t="s">
        <v>101</v>
      </c>
    </row>
    <row r="3" spans="2:14" x14ac:dyDescent="0.25">
      <c r="B3" s="6" t="s">
        <v>0</v>
      </c>
    </row>
    <row r="4" spans="2:14" x14ac:dyDescent="0.25">
      <c r="C4" t="s">
        <v>98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99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75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31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32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>I14*$D14</f>
        <v>0</v>
      </c>
    </row>
    <row r="15" spans="2:14" x14ac:dyDescent="0.25">
      <c r="C15" s="17" t="s">
        <v>100</v>
      </c>
      <c r="D15" s="18">
        <f>SUM(Calcs!D16:H16)</f>
        <v>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33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77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76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31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10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32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11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12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100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13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14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33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68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16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78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16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17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58</v>
      </c>
      <c r="K47" s="9"/>
      <c r="L47" s="9"/>
      <c r="M47" s="9"/>
    </row>
    <row r="48" spans="2:14" x14ac:dyDescent="0.25">
      <c r="C48" t="s">
        <v>59</v>
      </c>
      <c r="D48" s="1">
        <f>SUM(Outputs_External!D26:'Outputs_External'!H26)</f>
        <v>0</v>
      </c>
      <c r="F48" s="8">
        <f>IFERROR(SUM(K60:K63)/SUM($K$60:$M$63), 0)</f>
        <v>0.9</v>
      </c>
      <c r="G48" s="8">
        <f>IFERROR(SUM(L60:L63)/SUM($K$60:$M$63), 0)</f>
        <v>0.1</v>
      </c>
      <c r="H48" s="8">
        <f>IFERROR(SUM(M60:M63)/SUM($K$60:$M$63), 0)</f>
        <v>0</v>
      </c>
      <c r="I48" s="8">
        <f>IFERROR(SUM(N60:N63)/SUM($K$60:$M$63),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52</v>
      </c>
      <c r="D49" s="1">
        <f>SUM(Outputs_External!D27:'Outputs_External'!H27)</f>
        <v>0</v>
      </c>
      <c r="F49" s="3">
        <f>IFERROR(SUM(K8:K48)/SUM($K8:$N48), 0)</f>
        <v>0.48152866242038217</v>
      </c>
      <c r="G49" s="3">
        <f>IFERROR(SUM(L8:L48)/SUM($K8:$N48), 0)</f>
        <v>0.50828025477707006</v>
      </c>
      <c r="H49" s="3">
        <f>IFERROR(SUM(M8:M48)/SUM($K8:$N48), 0)</f>
        <v>0</v>
      </c>
      <c r="I49" s="3">
        <f>1-F49-G49-H49</f>
        <v>1.0191082802547768E-2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105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18">$D$50*G50</f>
        <v>0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60</v>
      </c>
      <c r="D52" s="1">
        <f>SUM(Outputs_External!D30:'Outputs_External'!H30)</f>
        <v>47100</v>
      </c>
      <c r="K52" s="12">
        <f>SUM(K48:K50, K36:K39, K8:K18,K23:K33,K42:K45)</f>
        <v>22680</v>
      </c>
      <c r="L52" s="12">
        <f t="shared" ref="L52:N52" si="19">SUM(L48:L50, L36:L39, L8:L18,L23:L33,L42:L45)</f>
        <v>23940</v>
      </c>
      <c r="M52" s="12">
        <f t="shared" si="19"/>
        <v>0</v>
      </c>
      <c r="N52" s="12">
        <f t="shared" si="19"/>
        <v>480</v>
      </c>
    </row>
    <row r="53" spans="2:14" x14ac:dyDescent="0.25">
      <c r="C53" s="21" t="s">
        <v>79</v>
      </c>
      <c r="D53" s="23">
        <f>SUM(K52:N52)</f>
        <v>47100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93</v>
      </c>
      <c r="D55" s="1">
        <f>SUM(Outputs_Timeline!S:S)</f>
        <v>146300</v>
      </c>
      <c r="K55" s="12">
        <f>SUM(Outputs_Timeline!T:T)</f>
        <v>70540</v>
      </c>
      <c r="L55" s="12">
        <f>SUM(Outputs_Timeline!U:U)</f>
        <v>74320</v>
      </c>
      <c r="M55" s="12">
        <f>SUM(Outputs_Timeline!V:V)</f>
        <v>0</v>
      </c>
      <c r="N55" s="12">
        <f>SUM(Outputs_Timeline!W:W)</f>
        <v>1440</v>
      </c>
    </row>
    <row r="56" spans="2:14" x14ac:dyDescent="0.25">
      <c r="D56" s="1"/>
      <c r="K56" s="54">
        <f>IFERROR(K55/$D$55, 0)</f>
        <v>0.48215994531784007</v>
      </c>
      <c r="L56" s="54">
        <f>IFERROR(L55/$D$55, 0)</f>
        <v>0.50799726589200278</v>
      </c>
      <c r="M56" s="54">
        <f>IFERROR(M55/$D$55, 0)</f>
        <v>0</v>
      </c>
      <c r="N56" s="54">
        <f>IFERROR(N55/$D$55, 0)</f>
        <v>9.8427887901572104E-3</v>
      </c>
    </row>
    <row r="58" spans="2:14" x14ac:dyDescent="0.25">
      <c r="K58" s="9"/>
      <c r="L58" s="9"/>
      <c r="M58" s="9"/>
    </row>
    <row r="59" spans="2:14" x14ac:dyDescent="0.25">
      <c r="B59" s="27" t="s">
        <v>74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SUM(Calcs!D61:H61)+SUM(Calcs!D67:H67)</f>
        <v>10200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9180</v>
      </c>
      <c r="L60" s="25">
        <f t="shared" si="20"/>
        <v>1020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17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0.45348837209302323</v>
      </c>
      <c r="G61" s="24">
        <f t="shared" ref="G61" si="21">IFERROR(SUM(L$37,L$10:L$15,L$43,L$25:L$30)/SUM($K$37:$M$37,$K$10:$M$15,$K$43:$M$43,$K$25:$M$30),0)</f>
        <v>0.54651162790697672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4.4444444444444446E-2</v>
      </c>
      <c r="J61" s="21"/>
      <c r="K61" s="25">
        <f t="shared" si="20"/>
        <v>0</v>
      </c>
      <c r="L61" s="25">
        <f t="shared" si="20"/>
        <v>0</v>
      </c>
      <c r="M61" s="25">
        <f t="shared" si="20"/>
        <v>0</v>
      </c>
      <c r="N61" s="25">
        <f t="shared" si="20"/>
        <v>0</v>
      </c>
    </row>
    <row r="62" spans="2:14" x14ac:dyDescent="0.25">
      <c r="B62" s="27"/>
      <c r="C62" s="21" t="s">
        <v>18</v>
      </c>
      <c r="D62" s="23">
        <f>SUM(Calcs!D63:H63)+SUM(Calcs!D69:H69)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0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19</v>
      </c>
      <c r="D63" s="23">
        <f>SUM(Calcs!D64:H64)+SUM(Calcs!D70:H70)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85</v>
      </c>
      <c r="I1" s="65"/>
      <c r="J1" s="65"/>
      <c r="K1" s="65"/>
      <c r="M1" s="65" t="s">
        <v>90</v>
      </c>
      <c r="N1" s="65"/>
      <c r="O1" s="65"/>
      <c r="P1" s="65"/>
      <c r="Q1" s="65"/>
      <c r="S1" s="65" t="s">
        <v>92</v>
      </c>
      <c r="T1" s="65"/>
      <c r="U1" s="65"/>
      <c r="V1" s="65"/>
    </row>
    <row r="2" spans="2:23" x14ac:dyDescent="0.25">
      <c r="B2" s="63" t="s">
        <v>84</v>
      </c>
      <c r="C2" s="63"/>
      <c r="D2" s="63" t="s">
        <v>89</v>
      </c>
      <c r="E2" s="63" t="s">
        <v>94</v>
      </c>
      <c r="F2" s="63" t="s">
        <v>91</v>
      </c>
      <c r="G2" s="63"/>
      <c r="H2" s="66" t="s">
        <v>86</v>
      </c>
      <c r="I2" s="66" t="s">
        <v>87</v>
      </c>
      <c r="J2" s="66" t="s">
        <v>62</v>
      </c>
      <c r="K2" s="66" t="s">
        <v>88</v>
      </c>
      <c r="M2" s="66" t="s">
        <v>86</v>
      </c>
      <c r="N2" s="66" t="s">
        <v>87</v>
      </c>
      <c r="O2" s="66" t="s">
        <v>62</v>
      </c>
      <c r="P2" s="66" t="s">
        <v>102</v>
      </c>
      <c r="Q2" s="66" t="s">
        <v>101</v>
      </c>
      <c r="S2" s="66" t="s">
        <v>86</v>
      </c>
      <c r="T2" s="66" t="s">
        <v>87</v>
      </c>
      <c r="U2" s="66" t="s">
        <v>62</v>
      </c>
      <c r="V2" s="66" t="s">
        <v>102</v>
      </c>
      <c r="W2" s="66" t="s">
        <v>101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IF($B9=Inputs!$C$1,SUM(Outputs_Internal!K$4, Outputs_Internal!K$5),0)*$D9</f>
        <v>2500</v>
      </c>
      <c r="J9" s="67">
        <f>IF($B9=Inputs!$C$1,SUM(Outputs_Internal!L$4, Outputs_Internal!L$5),0)*$D9</f>
        <v>2500</v>
      </c>
      <c r="K9" s="67">
        <f>IF($B9=Inputs!$C$1,SUM(Outputs_Internal!M$4, Outputs_Internal!$M$5),0)*$D9</f>
        <v>0</v>
      </c>
      <c r="M9" s="67">
        <f>$F9*Outputs_Internal!$D$52/12</f>
        <v>3925</v>
      </c>
      <c r="N9" s="67">
        <f>$F9*Outputs_Internal!K$52/12</f>
        <v>1890</v>
      </c>
      <c r="O9" s="67">
        <f>$F9*Outputs_Internal!L$52/12</f>
        <v>1995</v>
      </c>
      <c r="P9" s="67">
        <f>$F9*Outputs_Internal!M$52/12</f>
        <v>0</v>
      </c>
      <c r="Q9" s="67">
        <f>$F9*Outputs_Internal!N$52/12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3925</v>
      </c>
      <c r="N10" s="67">
        <f>$F10*Outputs_Internal!K$52/12</f>
        <v>1890</v>
      </c>
      <c r="O10" s="67">
        <f>$F10*Outputs_Internal!L$52/12</f>
        <v>1995</v>
      </c>
      <c r="P10" s="67">
        <f>$F10*Outputs_Internal!M$52/12</f>
        <v>0</v>
      </c>
      <c r="Q10" s="67">
        <f>$F10*Outputs_Internal!N$52/12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3925</v>
      </c>
      <c r="N11" s="67">
        <f>$F11*Outputs_Internal!K$52/12</f>
        <v>1890</v>
      </c>
      <c r="O11" s="67">
        <f>$F11*Outputs_Internal!L$52/12</f>
        <v>1995</v>
      </c>
      <c r="P11" s="67">
        <f>$F11*Outputs_Internal!M$52/12</f>
        <v>0</v>
      </c>
      <c r="Q11" s="67">
        <f>$F11*Outputs_Internal!N$52/12</f>
        <v>40</v>
      </c>
      <c r="S11" s="67">
        <f t="shared" si="1"/>
        <v>16775</v>
      </c>
      <c r="T11" s="67">
        <f t="shared" si="2"/>
        <v>8170</v>
      </c>
      <c r="U11" s="67">
        <f>IF(MOD(MONTH($B11),3)=0,SUM(J9:J11,O9:O11),0)</f>
        <v>8485</v>
      </c>
      <c r="V11" s="67">
        <f t="shared" si="4"/>
        <v>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3925</v>
      </c>
      <c r="N12" s="67">
        <f>$F12*Outputs_Internal!K$52/12</f>
        <v>1890</v>
      </c>
      <c r="O12" s="67">
        <f>$F12*Outputs_Internal!L$52/12</f>
        <v>1995</v>
      </c>
      <c r="P12" s="67">
        <f>$F12*Outputs_Internal!M$52/12</f>
        <v>0</v>
      </c>
      <c r="Q12" s="67">
        <f>$F12*Outputs_Internal!N$52/12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3925</v>
      </c>
      <c r="N13" s="67">
        <f>$F13*Outputs_Internal!K$52/12</f>
        <v>1890</v>
      </c>
      <c r="O13" s="67">
        <f>$F13*Outputs_Internal!L$52/12</f>
        <v>1995</v>
      </c>
      <c r="P13" s="67">
        <f>$F13*Outputs_Internal!M$52/12</f>
        <v>0</v>
      </c>
      <c r="Q13" s="67">
        <f>$F13*Outputs_Internal!N$52/12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3925</v>
      </c>
      <c r="N14" s="67">
        <f>$F14*Outputs_Internal!K$52/12</f>
        <v>1890</v>
      </c>
      <c r="O14" s="67">
        <f>$F14*Outputs_Internal!L$52/12</f>
        <v>1995</v>
      </c>
      <c r="P14" s="67">
        <f>$F14*Outputs_Internal!M$52/12</f>
        <v>0</v>
      </c>
      <c r="Q14" s="67">
        <f>$F14*Outputs_Internal!N$52/12</f>
        <v>40</v>
      </c>
      <c r="S14" s="67">
        <f t="shared" si="1"/>
        <v>11775</v>
      </c>
      <c r="T14" s="67">
        <f t="shared" si="2"/>
        <v>5670</v>
      </c>
      <c r="U14" s="67">
        <f t="shared" si="3"/>
        <v>5985</v>
      </c>
      <c r="V14" s="67">
        <f t="shared" si="4"/>
        <v>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3925</v>
      </c>
      <c r="N15" s="67">
        <f>$F15*Outputs_Internal!K$52/12</f>
        <v>1890</v>
      </c>
      <c r="O15" s="67">
        <f>$F15*Outputs_Internal!L$52/12</f>
        <v>1995</v>
      </c>
      <c r="P15" s="67">
        <f>$F15*Outputs_Internal!M$52/12</f>
        <v>0</v>
      </c>
      <c r="Q15" s="67">
        <f>$F15*Outputs_Internal!N$52/12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3925</v>
      </c>
      <c r="N16" s="67">
        <f>$F16*Outputs_Internal!K$52/12</f>
        <v>1890</v>
      </c>
      <c r="O16" s="67">
        <f>$F16*Outputs_Internal!L$52/12</f>
        <v>1995</v>
      </c>
      <c r="P16" s="67">
        <f>$F16*Outputs_Internal!M$52/12</f>
        <v>0</v>
      </c>
      <c r="Q16" s="67">
        <f>$F16*Outputs_Internal!N$52/12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3925</v>
      </c>
      <c r="N17" s="67">
        <f>$F17*Outputs_Internal!K$52/12</f>
        <v>1890</v>
      </c>
      <c r="O17" s="67">
        <f>$F17*Outputs_Internal!L$52/12</f>
        <v>1995</v>
      </c>
      <c r="P17" s="67">
        <f>$F17*Outputs_Internal!M$52/12</f>
        <v>0</v>
      </c>
      <c r="Q17" s="67">
        <f>$F17*Outputs_Internal!N$52/12</f>
        <v>40</v>
      </c>
      <c r="S17" s="67">
        <f t="shared" si="1"/>
        <v>11775</v>
      </c>
      <c r="T17" s="67">
        <f t="shared" si="2"/>
        <v>5670</v>
      </c>
      <c r="U17" s="67">
        <f t="shared" si="3"/>
        <v>5985</v>
      </c>
      <c r="V17" s="67">
        <f t="shared" si="4"/>
        <v>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3925</v>
      </c>
      <c r="N18" s="67">
        <f>$F18*Outputs_Internal!K$52/12</f>
        <v>1890</v>
      </c>
      <c r="O18" s="67">
        <f>$F18*Outputs_Internal!L$52/12</f>
        <v>1995</v>
      </c>
      <c r="P18" s="67">
        <f>$F18*Outputs_Internal!M$52/12</f>
        <v>0</v>
      </c>
      <c r="Q18" s="67">
        <f>$F18*Outputs_Internal!N$52/12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3925</v>
      </c>
      <c r="N19" s="67">
        <f>$F19*Outputs_Internal!K$52/12</f>
        <v>1890</v>
      </c>
      <c r="O19" s="67">
        <f>$F19*Outputs_Internal!L$52/12</f>
        <v>1995</v>
      </c>
      <c r="P19" s="67">
        <f>$F19*Outputs_Internal!M$52/12</f>
        <v>0</v>
      </c>
      <c r="Q19" s="67">
        <f>$F19*Outputs_Internal!N$52/12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3925</v>
      </c>
      <c r="N20" s="67">
        <f>$F20*Outputs_Internal!K$52/12</f>
        <v>1890</v>
      </c>
      <c r="O20" s="67">
        <f>$F20*Outputs_Internal!L$52/12</f>
        <v>1995</v>
      </c>
      <c r="P20" s="67">
        <f>$F20*Outputs_Internal!M$52/12</f>
        <v>0</v>
      </c>
      <c r="Q20" s="67">
        <f>$F20*Outputs_Internal!N$52/12</f>
        <v>40</v>
      </c>
      <c r="S20" s="67">
        <f t="shared" si="1"/>
        <v>11775</v>
      </c>
      <c r="T20" s="67">
        <f t="shared" si="2"/>
        <v>5670</v>
      </c>
      <c r="U20" s="67">
        <f t="shared" si="3"/>
        <v>5985</v>
      </c>
      <c r="V20" s="67">
        <f t="shared" si="4"/>
        <v>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3925</v>
      </c>
      <c r="N21" s="67">
        <f>$F21*Outputs_Internal!K$52/12</f>
        <v>1890</v>
      </c>
      <c r="O21" s="67">
        <f>$F21*Outputs_Internal!L$52/12</f>
        <v>1995</v>
      </c>
      <c r="P21" s="67">
        <f>$F21*Outputs_Internal!M$52/12</f>
        <v>0</v>
      </c>
      <c r="Q21" s="67">
        <f>$F21*Outputs_Internal!N$52/12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3925</v>
      </c>
      <c r="N22" s="67">
        <f>$F22*Outputs_Internal!K$52/12</f>
        <v>1890</v>
      </c>
      <c r="O22" s="67">
        <f>$F22*Outputs_Internal!L$52/12</f>
        <v>1995</v>
      </c>
      <c r="P22" s="67">
        <f>$F22*Outputs_Internal!M$52/12</f>
        <v>0</v>
      </c>
      <c r="Q22" s="67">
        <f>$F22*Outputs_Internal!N$52/12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3925</v>
      </c>
      <c r="N23" s="67">
        <f>$F23*Outputs_Internal!K$52/12</f>
        <v>1890</v>
      </c>
      <c r="O23" s="67">
        <f>$F23*Outputs_Internal!L$52/12</f>
        <v>1995</v>
      </c>
      <c r="P23" s="67">
        <f>$F23*Outputs_Internal!M$52/12</f>
        <v>0</v>
      </c>
      <c r="Q23" s="67">
        <f>$F23*Outputs_Internal!N$52/12</f>
        <v>40</v>
      </c>
      <c r="S23" s="67">
        <f t="shared" si="1"/>
        <v>11775</v>
      </c>
      <c r="T23" s="67">
        <f t="shared" si="2"/>
        <v>5670</v>
      </c>
      <c r="U23" s="67">
        <f t="shared" si="3"/>
        <v>5985</v>
      </c>
      <c r="V23" s="67">
        <f t="shared" si="4"/>
        <v>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3925</v>
      </c>
      <c r="N24" s="67">
        <f>$F24*Outputs_Internal!K$52/12</f>
        <v>1890</v>
      </c>
      <c r="O24" s="67">
        <f>$F24*Outputs_Internal!L$52/12</f>
        <v>1995</v>
      </c>
      <c r="P24" s="67">
        <f>$F24*Outputs_Internal!M$52/12</f>
        <v>0</v>
      </c>
      <c r="Q24" s="67">
        <f>$F24*Outputs_Internal!N$52/12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3925</v>
      </c>
      <c r="N25" s="67">
        <f>$F25*Outputs_Internal!K$52/12</f>
        <v>1890</v>
      </c>
      <c r="O25" s="67">
        <f>$F25*Outputs_Internal!L$52/12</f>
        <v>1995</v>
      </c>
      <c r="P25" s="67">
        <f>$F25*Outputs_Internal!M$52/12</f>
        <v>0</v>
      </c>
      <c r="Q25" s="67">
        <f>$F25*Outputs_Internal!N$52/12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3925</v>
      </c>
      <c r="N26" s="67">
        <f>$F26*Outputs_Internal!K$52/12</f>
        <v>1890</v>
      </c>
      <c r="O26" s="67">
        <f>$F26*Outputs_Internal!L$52/12</f>
        <v>1995</v>
      </c>
      <c r="P26" s="67">
        <f>$F26*Outputs_Internal!M$52/12</f>
        <v>0</v>
      </c>
      <c r="Q26" s="67">
        <f>$F26*Outputs_Internal!N$52/12</f>
        <v>40</v>
      </c>
      <c r="S26" s="67">
        <f t="shared" si="1"/>
        <v>11775</v>
      </c>
      <c r="T26" s="67">
        <f t="shared" si="2"/>
        <v>5670</v>
      </c>
      <c r="U26" s="67">
        <f t="shared" si="3"/>
        <v>5985</v>
      </c>
      <c r="V26" s="67">
        <f t="shared" si="4"/>
        <v>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3925</v>
      </c>
      <c r="N27" s="67">
        <f>$F27*Outputs_Internal!K$52/12</f>
        <v>1890</v>
      </c>
      <c r="O27" s="67">
        <f>$F27*Outputs_Internal!L$52/12</f>
        <v>1995</v>
      </c>
      <c r="P27" s="67">
        <f>$F27*Outputs_Internal!M$52/12</f>
        <v>0</v>
      </c>
      <c r="Q27" s="67">
        <f>$F27*Outputs_Internal!N$52/12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3925</v>
      </c>
      <c r="N28" s="67">
        <f>$F28*Outputs_Internal!K$52/12</f>
        <v>1890</v>
      </c>
      <c r="O28" s="67">
        <f>$F28*Outputs_Internal!L$52/12</f>
        <v>1995</v>
      </c>
      <c r="P28" s="67">
        <f>$F28*Outputs_Internal!M$52/12</f>
        <v>0</v>
      </c>
      <c r="Q28" s="67">
        <f>$F28*Outputs_Internal!N$52/12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3925</v>
      </c>
      <c r="N29" s="67">
        <f>$F29*Outputs_Internal!K$52/12</f>
        <v>1890</v>
      </c>
      <c r="O29" s="67">
        <f>$F29*Outputs_Internal!L$52/12</f>
        <v>1995</v>
      </c>
      <c r="P29" s="67">
        <f>$F29*Outputs_Internal!M$52/12</f>
        <v>0</v>
      </c>
      <c r="Q29" s="67">
        <f>$F29*Outputs_Internal!N$52/12</f>
        <v>40</v>
      </c>
      <c r="S29" s="67">
        <f t="shared" si="1"/>
        <v>11775</v>
      </c>
      <c r="T29" s="67">
        <f t="shared" si="2"/>
        <v>5670</v>
      </c>
      <c r="U29" s="67">
        <f t="shared" si="3"/>
        <v>5985</v>
      </c>
      <c r="V29" s="67">
        <f t="shared" si="4"/>
        <v>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3925</v>
      </c>
      <c r="N30" s="67">
        <f>$F30*Outputs_Internal!K$52/12</f>
        <v>1890</v>
      </c>
      <c r="O30" s="67">
        <f>$F30*Outputs_Internal!L$52/12</f>
        <v>1995</v>
      </c>
      <c r="P30" s="67">
        <f>$F30*Outputs_Internal!M$52/12</f>
        <v>0</v>
      </c>
      <c r="Q30" s="67">
        <f>$F30*Outputs_Internal!N$52/12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3925</v>
      </c>
      <c r="N31" s="67">
        <f>$F31*Outputs_Internal!K$52/12</f>
        <v>1890</v>
      </c>
      <c r="O31" s="67">
        <f>$F31*Outputs_Internal!L$52/12</f>
        <v>1995</v>
      </c>
      <c r="P31" s="67">
        <f>$F31*Outputs_Internal!M$52/12</f>
        <v>0</v>
      </c>
      <c r="Q31" s="67">
        <f>$F31*Outputs_Internal!N$52/12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3925</v>
      </c>
      <c r="N32" s="67">
        <f>$F32*Outputs_Internal!K$52/12</f>
        <v>1890</v>
      </c>
      <c r="O32" s="67">
        <f>$F32*Outputs_Internal!L$52/12</f>
        <v>1995</v>
      </c>
      <c r="P32" s="67">
        <f>$F32*Outputs_Internal!M$52/12</f>
        <v>0</v>
      </c>
      <c r="Q32" s="67">
        <f>$F32*Outputs_Internal!N$52/12</f>
        <v>40</v>
      </c>
      <c r="S32" s="67">
        <f t="shared" si="1"/>
        <v>11775</v>
      </c>
      <c r="T32" s="67">
        <f t="shared" si="2"/>
        <v>5670</v>
      </c>
      <c r="U32" s="67">
        <f t="shared" si="3"/>
        <v>5985</v>
      </c>
      <c r="V32" s="67">
        <f t="shared" si="4"/>
        <v>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3925</v>
      </c>
      <c r="N33" s="67">
        <f>$F33*Outputs_Internal!K$52/12</f>
        <v>1890</v>
      </c>
      <c r="O33" s="67">
        <f>$F33*Outputs_Internal!L$52/12</f>
        <v>1995</v>
      </c>
      <c r="P33" s="67">
        <f>$F33*Outputs_Internal!M$52/12</f>
        <v>0</v>
      </c>
      <c r="Q33" s="67">
        <f>$F33*Outputs_Internal!N$52/12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3925</v>
      </c>
      <c r="N34" s="67">
        <f>$F34*Outputs_Internal!K$52/12</f>
        <v>1890</v>
      </c>
      <c r="O34" s="67">
        <f>$F34*Outputs_Internal!L$52/12</f>
        <v>1995</v>
      </c>
      <c r="P34" s="67">
        <f>$F34*Outputs_Internal!M$52/12</f>
        <v>0</v>
      </c>
      <c r="Q34" s="67">
        <f>$F34*Outputs_Internal!N$52/12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3925</v>
      </c>
      <c r="N35" s="67">
        <f>$F35*Outputs_Internal!K$52/12</f>
        <v>1890</v>
      </c>
      <c r="O35" s="67">
        <f>$F35*Outputs_Internal!L$52/12</f>
        <v>1995</v>
      </c>
      <c r="P35" s="67">
        <f>$F35*Outputs_Internal!M$52/12</f>
        <v>0</v>
      </c>
      <c r="Q35" s="67">
        <f>$F35*Outputs_Internal!N$52/12</f>
        <v>40</v>
      </c>
      <c r="S35" s="67">
        <f t="shared" si="1"/>
        <v>11775</v>
      </c>
      <c r="T35" s="67">
        <f t="shared" si="2"/>
        <v>5670</v>
      </c>
      <c r="U35" s="67">
        <f t="shared" si="3"/>
        <v>5985</v>
      </c>
      <c r="V35" s="67">
        <f t="shared" si="4"/>
        <v>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3925</v>
      </c>
      <c r="N36" s="67">
        <f>$F36*Outputs_Internal!K$52/12</f>
        <v>1890</v>
      </c>
      <c r="O36" s="67">
        <f>$F36*Outputs_Internal!L$52/12</f>
        <v>1995</v>
      </c>
      <c r="P36" s="67">
        <f>$F36*Outputs_Internal!M$52/12</f>
        <v>0</v>
      </c>
      <c r="Q36" s="67">
        <f>$F36*Outputs_Internal!N$52/12</f>
        <v>40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3925</v>
      </c>
      <c r="N37" s="67">
        <f>$F37*Outputs_Internal!K$52/12</f>
        <v>1890</v>
      </c>
      <c r="O37" s="67">
        <f>$F37*Outputs_Internal!L$52/12</f>
        <v>1995</v>
      </c>
      <c r="P37" s="67">
        <f>$F37*Outputs_Internal!M$52/12</f>
        <v>0</v>
      </c>
      <c r="Q37" s="67">
        <f>$F37*Outputs_Internal!N$52/12</f>
        <v>40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3925</v>
      </c>
      <c r="N38" s="67">
        <f>$F38*Outputs_Internal!K$52/12</f>
        <v>1890</v>
      </c>
      <c r="O38" s="67">
        <f>$F38*Outputs_Internal!L$52/12</f>
        <v>1995</v>
      </c>
      <c r="P38" s="67">
        <f>$F38*Outputs_Internal!M$52/12</f>
        <v>0</v>
      </c>
      <c r="Q38" s="67">
        <f>$F38*Outputs_Internal!N$52/12</f>
        <v>40</v>
      </c>
      <c r="S38" s="67">
        <f t="shared" si="1"/>
        <v>11775</v>
      </c>
      <c r="T38" s="67">
        <f t="shared" si="2"/>
        <v>5670</v>
      </c>
      <c r="U38" s="67">
        <f t="shared" si="3"/>
        <v>5985</v>
      </c>
      <c r="V38" s="67">
        <f t="shared" si="4"/>
        <v>0</v>
      </c>
      <c r="W38" s="67">
        <f t="shared" si="5"/>
        <v>120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3925</v>
      </c>
      <c r="N39" s="67">
        <f>$F39*Outputs_Internal!K$52/12</f>
        <v>1890</v>
      </c>
      <c r="O39" s="67">
        <f>$F39*Outputs_Internal!L$52/12</f>
        <v>1995</v>
      </c>
      <c r="P39" s="67">
        <f>$F39*Outputs_Internal!M$52/12</f>
        <v>0</v>
      </c>
      <c r="Q39" s="67">
        <f>$F39*Outputs_Internal!N$52/12</f>
        <v>40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3925</v>
      </c>
      <c r="N40" s="67">
        <f>$F40*Outputs_Internal!K$52/12</f>
        <v>1890</v>
      </c>
      <c r="O40" s="67">
        <f>$F40*Outputs_Internal!L$52/12</f>
        <v>1995</v>
      </c>
      <c r="P40" s="67">
        <f>$F40*Outputs_Internal!M$52/12</f>
        <v>0</v>
      </c>
      <c r="Q40" s="67">
        <f>$F40*Outputs_Internal!N$52/12</f>
        <v>40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3925</v>
      </c>
      <c r="N41" s="67">
        <f>$F41*Outputs_Internal!K$52/12</f>
        <v>1890</v>
      </c>
      <c r="O41" s="67">
        <f>$F41*Outputs_Internal!L$52/12</f>
        <v>1995</v>
      </c>
      <c r="P41" s="67">
        <f>$F41*Outputs_Internal!M$52/12</f>
        <v>0</v>
      </c>
      <c r="Q41" s="67">
        <f>$F41*Outputs_Internal!N$52/12</f>
        <v>40</v>
      </c>
      <c r="S41" s="67">
        <f t="shared" si="1"/>
        <v>11775</v>
      </c>
      <c r="T41" s="67">
        <f t="shared" si="2"/>
        <v>5670</v>
      </c>
      <c r="U41" s="67">
        <f t="shared" si="3"/>
        <v>5985</v>
      </c>
      <c r="V41" s="67">
        <f t="shared" si="4"/>
        <v>0</v>
      </c>
      <c r="W41" s="67">
        <f t="shared" si="5"/>
        <v>120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3925</v>
      </c>
      <c r="N42" s="67">
        <f>$F42*Outputs_Internal!K$52/12</f>
        <v>1890</v>
      </c>
      <c r="O42" s="67">
        <f>$F42*Outputs_Internal!L$52/12</f>
        <v>1995</v>
      </c>
      <c r="P42" s="67">
        <f>$F42*Outputs_Internal!M$52/12</f>
        <v>0</v>
      </c>
      <c r="Q42" s="67">
        <f>$F42*Outputs_Internal!N$52/12</f>
        <v>40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3925</v>
      </c>
      <c r="N43" s="67">
        <f>$F43*Outputs_Internal!K$52/12</f>
        <v>1890</v>
      </c>
      <c r="O43" s="67">
        <f>$F43*Outputs_Internal!L$52/12</f>
        <v>1995</v>
      </c>
      <c r="P43" s="67">
        <f>$F43*Outputs_Internal!M$52/12</f>
        <v>0</v>
      </c>
      <c r="Q43" s="67">
        <f>$F43*Outputs_Internal!N$52/12</f>
        <v>40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3925</v>
      </c>
      <c r="N44" s="67">
        <f>$F44*Outputs_Internal!K$52/12</f>
        <v>1890</v>
      </c>
      <c r="O44" s="67">
        <f>$F44*Outputs_Internal!L$52/12</f>
        <v>1995</v>
      </c>
      <c r="P44" s="67">
        <f>$F44*Outputs_Internal!M$52/12</f>
        <v>0</v>
      </c>
      <c r="Q44" s="67">
        <f>$F44*Outputs_Internal!N$52/12</f>
        <v>40</v>
      </c>
      <c r="S44" s="67">
        <f>IF(MOD(MONTH($B44),3)=0,SUM(H42:H44,M42:M44),0)</f>
        <v>11775</v>
      </c>
      <c r="T44" s="67">
        <f t="shared" si="2"/>
        <v>5670</v>
      </c>
      <c r="U44" s="67">
        <f t="shared" si="3"/>
        <v>5985</v>
      </c>
      <c r="V44" s="67">
        <f t="shared" si="4"/>
        <v>0</v>
      </c>
      <c r="W44" s="67">
        <f t="shared" si="5"/>
        <v>120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D93" sqref="D9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47</v>
      </c>
      <c r="L2" s="21" t="s">
        <v>48</v>
      </c>
      <c r="M2" s="21" t="s">
        <v>49</v>
      </c>
      <c r="N2" s="21" t="s">
        <v>50</v>
      </c>
      <c r="O2" s="21" t="s">
        <v>51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44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70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31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10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32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11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12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100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13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14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33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71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31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10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32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11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12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100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13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14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33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72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31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10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32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11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12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100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13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14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33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73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31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10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32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11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12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100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13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14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33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66</v>
      </c>
    </row>
    <row r="61" spans="2:15" x14ac:dyDescent="0.25">
      <c r="C61" s="17" t="s">
        <v>16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17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18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19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67</v>
      </c>
    </row>
    <row r="67" spans="2:15" x14ac:dyDescent="0.25">
      <c r="C67" s="28" t="s">
        <v>16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17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18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19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68</v>
      </c>
    </row>
    <row r="73" spans="2:15" x14ac:dyDescent="0.25">
      <c r="C73" s="17" t="s">
        <v>16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17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18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19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69</v>
      </c>
    </row>
    <row r="79" spans="2:15" x14ac:dyDescent="0.25">
      <c r="C79" s="28" t="s">
        <v>16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17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18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19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45</v>
      </c>
    </row>
    <row r="85" spans="2:8" x14ac:dyDescent="0.25">
      <c r="C85" t="s">
        <v>36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37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46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63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105</v>
      </c>
      <c r="D92" s="1">
        <f>IF(Inputs!$D$5 = "Y", Prices!$I$18, 0)*-1</f>
        <v>0</v>
      </c>
      <c r="E92" s="1">
        <v>0</v>
      </c>
      <c r="F92" s="1">
        <v>0</v>
      </c>
      <c r="G92" s="1">
        <v>0</v>
      </c>
      <c r="H92" s="1">
        <v>0</v>
      </c>
    </row>
    <row r="94" spans="2:8" x14ac:dyDescent="0.25">
      <c r="B94" s="6" t="s">
        <v>55</v>
      </c>
      <c r="D94" s="7">
        <f>SUM(D88, D90)</f>
        <v>47100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64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52</v>
      </c>
    </row>
    <row r="103" spans="2:8" s="21" customFormat="1" x14ac:dyDescent="0.25">
      <c r="B103" s="27"/>
      <c r="D103" s="21" t="s">
        <v>40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41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53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54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>
      <selection activeCell="H19" sqref="H1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26</v>
      </c>
    </row>
    <row r="3" spans="2:9" x14ac:dyDescent="0.25">
      <c r="B3" t="s">
        <v>25</v>
      </c>
      <c r="C3" s="1">
        <v>5000</v>
      </c>
      <c r="D3" s="1">
        <v>32750</v>
      </c>
      <c r="E3" s="1"/>
      <c r="H3" s="6" t="s">
        <v>34</v>
      </c>
    </row>
    <row r="4" spans="2:9" x14ac:dyDescent="0.25">
      <c r="B4" t="s">
        <v>28</v>
      </c>
      <c r="C4" s="1">
        <v>5000</v>
      </c>
      <c r="D4" s="1">
        <v>0</v>
      </c>
      <c r="E4" s="1"/>
      <c r="H4" t="s">
        <v>35</v>
      </c>
      <c r="I4" s="3">
        <v>0</v>
      </c>
    </row>
    <row r="5" spans="2:9" x14ac:dyDescent="0.25">
      <c r="E5" s="6" t="s">
        <v>27</v>
      </c>
      <c r="H5" t="s">
        <v>36</v>
      </c>
      <c r="I5" s="3">
        <v>0.3</v>
      </c>
    </row>
    <row r="6" spans="2:9" x14ac:dyDescent="0.25">
      <c r="B6" s="15" t="s">
        <v>29</v>
      </c>
      <c r="C6" s="43">
        <v>18000</v>
      </c>
      <c r="D6" s="43">
        <v>33000</v>
      </c>
      <c r="E6" s="39">
        <v>0.4</v>
      </c>
      <c r="H6" t="s">
        <v>37</v>
      </c>
      <c r="I6" s="3">
        <v>0.45</v>
      </c>
    </row>
    <row r="7" spans="2:9" x14ac:dyDescent="0.25">
      <c r="B7" s="15" t="s">
        <v>30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39</v>
      </c>
    </row>
    <row r="9" spans="2:9" x14ac:dyDescent="0.25">
      <c r="C9" s="47" t="s">
        <v>42</v>
      </c>
      <c r="D9" s="48" t="s">
        <v>27</v>
      </c>
      <c r="H9" t="s">
        <v>38</v>
      </c>
      <c r="I9" s="3">
        <v>0</v>
      </c>
    </row>
    <row r="10" spans="2:9" x14ac:dyDescent="0.25">
      <c r="B10" s="17" t="s">
        <v>31</v>
      </c>
      <c r="C10" s="45">
        <v>1200</v>
      </c>
      <c r="D10" s="41">
        <v>0.05</v>
      </c>
      <c r="H10" t="s">
        <v>40</v>
      </c>
      <c r="I10" s="3">
        <v>0.45</v>
      </c>
    </row>
    <row r="11" spans="2:9" x14ac:dyDescent="0.25">
      <c r="B11" s="17" t="s">
        <v>10</v>
      </c>
      <c r="C11" s="45">
        <v>4800</v>
      </c>
      <c r="D11" s="41">
        <v>7.0000000000000007E-2</v>
      </c>
      <c r="H11" t="s">
        <v>41</v>
      </c>
      <c r="I11" s="3">
        <v>0.5</v>
      </c>
    </row>
    <row r="12" spans="2:9" x14ac:dyDescent="0.25">
      <c r="B12" s="17" t="s">
        <v>32</v>
      </c>
      <c r="C12" s="45">
        <v>2400</v>
      </c>
      <c r="D12" s="41">
        <v>0.05</v>
      </c>
    </row>
    <row r="13" spans="2:9" x14ac:dyDescent="0.25">
      <c r="B13" s="17" t="s">
        <v>11</v>
      </c>
      <c r="C13" s="45">
        <v>2400</v>
      </c>
      <c r="D13" s="41">
        <v>0.05</v>
      </c>
      <c r="H13" s="4"/>
    </row>
    <row r="14" spans="2:9" x14ac:dyDescent="0.25">
      <c r="B14" s="17" t="s">
        <v>12</v>
      </c>
      <c r="C14" s="45">
        <v>7200</v>
      </c>
      <c r="D14" s="41">
        <v>7.0000000000000007E-2</v>
      </c>
      <c r="H14" s="62" t="s">
        <v>82</v>
      </c>
      <c r="I14" s="61">
        <v>1.2500000000000001E-2</v>
      </c>
    </row>
    <row r="15" spans="2:9" x14ac:dyDescent="0.25">
      <c r="B15" s="17" t="s">
        <v>100</v>
      </c>
      <c r="C15" s="45">
        <v>4800</v>
      </c>
      <c r="D15" s="41">
        <v>7.0000000000000007E-2</v>
      </c>
      <c r="H15" s="4" t="s">
        <v>83</v>
      </c>
      <c r="I15" s="55">
        <v>43466</v>
      </c>
    </row>
    <row r="16" spans="2:9" x14ac:dyDescent="0.25">
      <c r="B16" s="19" t="s">
        <v>13</v>
      </c>
      <c r="C16" s="46">
        <v>12000</v>
      </c>
      <c r="D16" s="42">
        <v>0.25</v>
      </c>
      <c r="H16" s="4"/>
      <c r="I16" s="3"/>
    </row>
    <row r="17" spans="2:9" x14ac:dyDescent="0.25">
      <c r="B17" s="19" t="s">
        <v>14</v>
      </c>
      <c r="C17" s="46">
        <v>6000</v>
      </c>
      <c r="D17" s="42">
        <v>0.1</v>
      </c>
    </row>
    <row r="18" spans="2:9" x14ac:dyDescent="0.25">
      <c r="B18" s="19" t="s">
        <v>33</v>
      </c>
      <c r="C18" s="46">
        <v>6000</v>
      </c>
      <c r="D18" s="42">
        <v>0</v>
      </c>
      <c r="H18" s="6" t="s">
        <v>104</v>
      </c>
      <c r="I18" s="1">
        <v>3525</v>
      </c>
    </row>
    <row r="19" spans="2:9" x14ac:dyDescent="0.25">
      <c r="C19" s="44"/>
      <c r="D19" s="40"/>
    </row>
    <row r="20" spans="2:9" x14ac:dyDescent="0.25">
      <c r="B20" s="17" t="s">
        <v>16</v>
      </c>
      <c r="C20" s="45">
        <v>10200</v>
      </c>
      <c r="D20" s="41">
        <v>0</v>
      </c>
    </row>
    <row r="21" spans="2:9" x14ac:dyDescent="0.25">
      <c r="B21" s="17" t="s">
        <v>17</v>
      </c>
      <c r="C21" s="45">
        <v>39600</v>
      </c>
      <c r="D21" s="41">
        <v>0.4</v>
      </c>
    </row>
    <row r="22" spans="2:9" x14ac:dyDescent="0.25">
      <c r="B22" s="19" t="s">
        <v>18</v>
      </c>
      <c r="C22" s="46">
        <v>42000</v>
      </c>
      <c r="D22" s="42">
        <v>0.42</v>
      </c>
    </row>
    <row r="23" spans="2:9" x14ac:dyDescent="0.25">
      <c r="B23" s="19" t="s">
        <v>19</v>
      </c>
      <c r="C23" s="46">
        <v>33600</v>
      </c>
      <c r="D23" s="42">
        <v>0.25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2018-03-01T21:40:16Z</dcterms:modified>
</cp:coreProperties>
</file>