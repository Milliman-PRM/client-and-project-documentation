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7" i="1" l="1"/>
  <c r="G47" i="1"/>
  <c r="F47" i="1"/>
  <c r="E47" i="1"/>
  <c r="D47" i="1"/>
  <c r="H21" i="1"/>
  <c r="G21" i="1"/>
  <c r="F21" i="1"/>
  <c r="E21" i="1"/>
  <c r="D21" i="1"/>
  <c r="D34" i="1" l="1"/>
  <c r="D20" i="1"/>
  <c r="E20" i="1"/>
  <c r="F20" i="1"/>
  <c r="G20" i="1"/>
  <c r="H20" i="1"/>
  <c r="H16" i="5" l="1"/>
  <c r="G16" i="5"/>
  <c r="E16" i="5"/>
  <c r="D16" i="5"/>
  <c r="D45" i="1" l="1"/>
  <c r="H32" i="1"/>
  <c r="G32" i="1"/>
  <c r="F32" i="1"/>
  <c r="E32" i="1"/>
  <c r="D32" i="1"/>
  <c r="H19" i="1"/>
  <c r="G19" i="1"/>
  <c r="F19" i="1"/>
  <c r="E19" i="1"/>
  <c r="D19" i="1"/>
  <c r="I32" i="7"/>
  <c r="H32" i="7"/>
  <c r="G32" i="7"/>
  <c r="F32" i="7" s="1"/>
  <c r="D17" i="7"/>
  <c r="N17" i="7" s="1"/>
  <c r="D16" i="7"/>
  <c r="H100" i="1"/>
  <c r="G100" i="1"/>
  <c r="E100" i="1"/>
  <c r="D100" i="1"/>
  <c r="H89" i="1"/>
  <c r="G89" i="1"/>
  <c r="E89" i="1"/>
  <c r="D89" i="1"/>
  <c r="H60" i="1"/>
  <c r="G60" i="1"/>
  <c r="F60" i="1"/>
  <c r="E60" i="1"/>
  <c r="D60" i="1"/>
  <c r="H34" i="1"/>
  <c r="G34" i="1"/>
  <c r="F34" i="1"/>
  <c r="D32" i="7" s="1"/>
  <c r="E34" i="1"/>
  <c r="D33" i="1"/>
  <c r="C19" i="3"/>
  <c r="D24" i="1"/>
  <c r="E16" i="3"/>
  <c r="F16" i="3" s="1"/>
  <c r="C16" i="3"/>
  <c r="E25" i="3"/>
  <c r="M32" i="7" l="1"/>
  <c r="N32" i="7"/>
  <c r="L32" i="7"/>
  <c r="K32" i="7"/>
  <c r="K17" i="7"/>
  <c r="L17" i="7"/>
  <c r="M17" i="7"/>
  <c r="G16" i="3"/>
  <c r="H16" i="3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D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G74" i="1"/>
  <c r="D74" i="1"/>
  <c r="E74" i="1"/>
  <c r="L30" i="3"/>
  <c r="AE3" i="8" l="1"/>
  <c r="D93" i="1"/>
  <c r="N3" i="8" l="1"/>
  <c r="S3" i="8" l="1"/>
  <c r="H50" i="1"/>
  <c r="G50" i="1"/>
  <c r="F50" i="1"/>
  <c r="F16" i="5" s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C17" i="3" l="1"/>
  <c r="C14" i="3"/>
  <c r="E26" i="3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C29" i="3"/>
  <c r="F74" i="1" s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3" i="1" s="1"/>
  <c r="F12" i="3"/>
  <c r="F28" i="3"/>
  <c r="E23" i="1"/>
  <c r="G26" i="3"/>
  <c r="H26" i="3" s="1"/>
  <c r="F26" i="3"/>
  <c r="E22" i="1"/>
  <c r="D22" i="1"/>
  <c r="H4" i="1"/>
  <c r="G4" i="1"/>
  <c r="F4" i="1"/>
  <c r="E4" i="1"/>
  <c r="D4" i="1"/>
  <c r="F21" i="3" l="1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D58" i="1" s="1"/>
  <c r="F10" i="1"/>
  <c r="G10" i="1"/>
  <c r="H10" i="1"/>
  <c r="D10" i="1"/>
  <c r="D83" i="1" s="1"/>
  <c r="D25" i="5" s="1"/>
  <c r="D62" i="1" l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N85" i="1" s="1"/>
  <c r="G82" i="1"/>
  <c r="N82" i="1" s="1"/>
  <c r="F82" i="1"/>
  <c r="M82" i="1" s="1"/>
  <c r="F85" i="1"/>
  <c r="M85" i="1" s="1"/>
  <c r="H85" i="1"/>
  <c r="O85" i="1" s="1"/>
  <c r="H82" i="1"/>
  <c r="H24" i="5" s="1"/>
  <c r="E85" i="1"/>
  <c r="L85" i="1" s="1"/>
  <c r="E82" i="1"/>
  <c r="E24" i="5" s="1"/>
  <c r="E27" i="1"/>
  <c r="D82" i="1"/>
  <c r="K82" i="1" s="1"/>
  <c r="D85" i="1"/>
  <c r="K85" i="1" s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79" i="1"/>
  <c r="E33" i="1"/>
  <c r="E53" i="1"/>
  <c r="E31" i="1"/>
  <c r="G79" i="1"/>
  <c r="G53" i="1"/>
  <c r="G30" i="1"/>
  <c r="G28" i="1"/>
  <c r="G31" i="1"/>
  <c r="G29" i="1"/>
  <c r="G81" i="1"/>
  <c r="G78" i="1"/>
  <c r="G33" i="1"/>
  <c r="G27" i="1"/>
  <c r="H79" i="1"/>
  <c r="H53" i="1"/>
  <c r="H30" i="1"/>
  <c r="H28" i="1"/>
  <c r="H81" i="1"/>
  <c r="H78" i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100" i="1" s="1"/>
  <c r="F27" i="1"/>
  <c r="D30" i="7"/>
  <c r="D27" i="1"/>
  <c r="D28" i="1"/>
  <c r="D53" i="1"/>
  <c r="D30" i="1"/>
  <c r="D29" i="1"/>
  <c r="D79" i="1"/>
  <c r="D81" i="1"/>
  <c r="D78" i="1"/>
  <c r="D31" i="1"/>
  <c r="G62" i="7"/>
  <c r="D122" i="1"/>
  <c r="D32" i="5" s="1"/>
  <c r="D77" i="7" l="1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82" i="7"/>
  <c r="D25" i="7"/>
  <c r="D33" i="7"/>
  <c r="D62" i="7"/>
  <c r="H27" i="7"/>
  <c r="G27" i="7"/>
  <c r="D55" i="7" l="1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O78" i="1" s="1"/>
  <c r="G67" i="1"/>
  <c r="N78" i="1" s="1"/>
  <c r="F67" i="1"/>
  <c r="E67" i="1"/>
  <c r="L78" i="1" s="1"/>
  <c r="D67" i="1"/>
  <c r="K78" i="1" s="1"/>
  <c r="D68" i="1"/>
  <c r="E68" i="1"/>
  <c r="E90" i="1" s="1"/>
  <c r="F68" i="1"/>
  <c r="M79" i="1" s="1"/>
  <c r="G68" i="1"/>
  <c r="N79" i="1" s="1"/>
  <c r="H68" i="1"/>
  <c r="O79" i="1" s="1"/>
  <c r="M78" i="1" l="1"/>
  <c r="F89" i="1"/>
  <c r="G6" i="8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L96" i="1" l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K95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M93" i="1" l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F112" i="1" l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AH10" i="8"/>
  <c r="AG10" i="8"/>
  <c r="AF10" i="8"/>
  <c r="AD10" i="8"/>
  <c r="N8" i="8"/>
  <c r="B11" i="8"/>
  <c r="G11" i="8" s="1"/>
  <c r="Z10" i="8"/>
  <c r="W10" i="8"/>
  <c r="X10" i="8"/>
  <c r="Y10" i="8"/>
  <c r="D10" i="8"/>
  <c r="D11" i="8" s="1"/>
  <c r="E10" i="8"/>
  <c r="D110" i="1"/>
  <c r="D118" i="1" s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F118" i="1" l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AD12" i="8"/>
  <c r="AH12" i="8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F60" i="7" l="1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W26" i="8" s="1"/>
  <c r="R25" i="8"/>
  <c r="P26" i="8"/>
  <c r="E28" i="8"/>
  <c r="F28" i="8" s="1"/>
  <c r="Z26" i="8"/>
  <c r="K27" i="8"/>
  <c r="I27" i="8"/>
  <c r="D28" i="8"/>
  <c r="J27" i="8"/>
  <c r="L27" i="8"/>
  <c r="U27" i="8"/>
  <c r="T27" i="8"/>
  <c r="E29" i="8"/>
  <c r="Q26" i="8" l="1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R38" i="8"/>
  <c r="P38" i="8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X38" i="8" l="1"/>
  <c r="Y38" i="8"/>
  <c r="W38" i="8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<sst xmlns="http://schemas.openxmlformats.org/spreadsheetml/2006/main" count="449" uniqueCount="156">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</sst>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9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43647</v>
      </c>
    </row>
    <row r="2" spans="2:12" x14ac:dyDescent="0.25">
      <c r="B2" s="67" t="s">
        <v>72</v>
      </c>
      <c r="C2" s="71">
        <v>36</v>
      </c>
    </row>
    <row r="3" spans="2:12" x14ac:dyDescent="0.25">
      <c r="B3" s="67" t="s">
        <v>122</v>
      </c>
      <c r="C3" s="55" t="s">
        <v>123</v>
      </c>
    </row>
    <row r="4" spans="2:12" x14ac:dyDescent="0.25">
      <c r="B4" s="67" t="s">
        <v>131</v>
      </c>
      <c r="C4" s="55" t="s">
        <v>40</v>
      </c>
    </row>
    <row r="5" spans="2:12" x14ac:dyDescent="0.25">
      <c r="B5" s="68"/>
      <c r="C5" s="72"/>
      <c r="D5" s="13" t="s">
        <v>105</v>
      </c>
      <c r="E5" s="13" t="s">
        <v>106</v>
      </c>
      <c r="F5" s="13" t="s">
        <v>107</v>
      </c>
      <c r="G5" s="13" t="s">
        <v>108</v>
      </c>
      <c r="H5" s="14" t="s">
        <v>109</v>
      </c>
    </row>
    <row r="6" spans="2:12" ht="18" customHeight="1" x14ac:dyDescent="0.25">
      <c r="B6" s="69" t="s">
        <v>5</v>
      </c>
      <c r="D6" s="55" t="s">
        <v>3</v>
      </c>
      <c r="E6" s="55" t="s">
        <v>3</v>
      </c>
      <c r="F6" s="55" t="s">
        <v>28</v>
      </c>
      <c r="G6" s="55"/>
      <c r="H6" s="56"/>
      <c r="L6" t="s">
        <v>3</v>
      </c>
    </row>
    <row r="7" spans="2:12" ht="18" customHeight="1" x14ac:dyDescent="0.25">
      <c r="B7" s="69" t="s">
        <v>80</v>
      </c>
      <c r="D7" s="55" t="s">
        <v>3</v>
      </c>
      <c r="E7" s="55" t="s">
        <v>28</v>
      </c>
      <c r="F7" s="55" t="s">
        <v>28</v>
      </c>
      <c r="G7" s="55"/>
      <c r="H7" s="56"/>
      <c r="L7" t="s">
        <v>28</v>
      </c>
    </row>
    <row r="8" spans="2:12" ht="18" customHeight="1" x14ac:dyDescent="0.25">
      <c r="B8" s="69" t="s">
        <v>6</v>
      </c>
      <c r="D8" s="55" t="s">
        <v>28</v>
      </c>
      <c r="E8" s="55" t="s">
        <v>28</v>
      </c>
      <c r="F8" s="55" t="s">
        <v>28</v>
      </c>
      <c r="G8" s="55"/>
      <c r="H8" s="56"/>
    </row>
    <row r="9" spans="2:12" ht="18" customHeight="1" x14ac:dyDescent="0.25">
      <c r="B9" s="69" t="s">
        <v>139</v>
      </c>
      <c r="D9" s="55" t="s">
        <v>28</v>
      </c>
      <c r="E9" s="55" t="s">
        <v>3</v>
      </c>
      <c r="F9" s="55" t="s">
        <v>3</v>
      </c>
      <c r="G9" s="55"/>
      <c r="H9" s="56"/>
    </row>
    <row r="10" spans="2:12" ht="18" customHeight="1" x14ac:dyDescent="0.25">
      <c r="B10" s="69" t="s">
        <v>4</v>
      </c>
      <c r="D10" s="55">
        <v>25000</v>
      </c>
      <c r="E10" s="55">
        <v>50000</v>
      </c>
      <c r="F10" s="55">
        <v>250000</v>
      </c>
      <c r="G10" s="55"/>
      <c r="H10" s="56"/>
      <c r="L10" t="s">
        <v>123</v>
      </c>
    </row>
    <row r="11" spans="2:12" ht="18" customHeight="1" x14ac:dyDescent="0.25">
      <c r="B11" s="69" t="s">
        <v>110</v>
      </c>
      <c r="D11" s="55">
        <v>1</v>
      </c>
      <c r="E11" s="55">
        <v>1</v>
      </c>
      <c r="F11" s="55">
        <v>1</v>
      </c>
      <c r="G11" s="55"/>
      <c r="H11" s="56"/>
      <c r="L11" t="s">
        <v>124</v>
      </c>
    </row>
    <row r="12" spans="2:12" ht="18" customHeight="1" x14ac:dyDescent="0.25">
      <c r="B12" s="69" t="s">
        <v>97</v>
      </c>
      <c r="D12" s="55" t="s">
        <v>28</v>
      </c>
      <c r="E12" s="55" t="s">
        <v>28</v>
      </c>
      <c r="F12" s="55" t="s">
        <v>3</v>
      </c>
      <c r="G12" s="55"/>
      <c r="H12" s="56"/>
    </row>
    <row r="13" spans="2:12" ht="18" customHeight="1" x14ac:dyDescent="0.25">
      <c r="B13" s="69" t="s">
        <v>7</v>
      </c>
      <c r="D13" s="55" t="s">
        <v>28</v>
      </c>
      <c r="E13" s="55" t="s">
        <v>28</v>
      </c>
      <c r="F13" s="55" t="s">
        <v>28</v>
      </c>
      <c r="G13" s="55"/>
      <c r="H13" s="56"/>
      <c r="L13" t="s">
        <v>40</v>
      </c>
    </row>
    <row r="14" spans="2:12" ht="18" customHeight="1" x14ac:dyDescent="0.25">
      <c r="B14" s="69" t="s">
        <v>8</v>
      </c>
      <c r="D14" s="55" t="s">
        <v>28</v>
      </c>
      <c r="E14" s="55" t="s">
        <v>28</v>
      </c>
      <c r="F14" s="55" t="s">
        <v>28</v>
      </c>
      <c r="G14" s="55"/>
      <c r="H14" s="56"/>
      <c r="L14" t="s">
        <v>41</v>
      </c>
    </row>
    <row r="15" spans="2:12" ht="18" customHeight="1" x14ac:dyDescent="0.25">
      <c r="B15" s="69" t="s">
        <v>21</v>
      </c>
      <c r="D15" s="55" t="s">
        <v>28</v>
      </c>
      <c r="E15" s="55" t="s">
        <v>28</v>
      </c>
      <c r="F15" s="55" t="s">
        <v>28</v>
      </c>
      <c r="G15" s="55"/>
      <c r="H15" s="56"/>
    </row>
    <row r="16" spans="2:12" ht="18" customHeight="1" x14ac:dyDescent="0.25">
      <c r="B16" s="69" t="s">
        <v>9</v>
      </c>
      <c r="D16" s="55" t="s">
        <v>28</v>
      </c>
      <c r="E16" s="55" t="s">
        <v>28</v>
      </c>
      <c r="F16" s="55" t="s">
        <v>28</v>
      </c>
      <c r="G16" s="55"/>
      <c r="H16" s="56"/>
      <c r="L16" t="s">
        <v>3</v>
      </c>
    </row>
    <row r="17" spans="2:12" ht="18" customHeight="1" x14ac:dyDescent="0.25">
      <c r="B17" s="69" t="s">
        <v>10</v>
      </c>
      <c r="D17" s="55" t="s">
        <v>28</v>
      </c>
      <c r="E17" s="55" t="s">
        <v>28</v>
      </c>
      <c r="F17" s="55" t="s">
        <v>28</v>
      </c>
      <c r="G17" s="55"/>
      <c r="H17" s="56"/>
      <c r="L17" t="s">
        <v>28</v>
      </c>
    </row>
    <row r="18" spans="2:12" ht="18" customHeight="1" x14ac:dyDescent="0.25">
      <c r="B18" s="69" t="s">
        <v>77</v>
      </c>
      <c r="D18" s="55" t="s">
        <v>28</v>
      </c>
      <c r="E18" s="55" t="s">
        <v>28</v>
      </c>
      <c r="F18" s="55" t="s">
        <v>28</v>
      </c>
      <c r="G18" s="55"/>
      <c r="H18" s="56"/>
      <c r="L18" t="s">
        <v>123</v>
      </c>
    </row>
    <row r="19" spans="2:12" ht="18" customHeight="1" x14ac:dyDescent="0.25">
      <c r="B19" s="69" t="s">
        <v>11</v>
      </c>
      <c r="D19" s="55" t="s">
        <v>28</v>
      </c>
      <c r="E19" s="55" t="s">
        <v>28</v>
      </c>
      <c r="F19" s="55" t="s">
        <v>28</v>
      </c>
      <c r="G19" s="55"/>
      <c r="H19" s="56"/>
    </row>
    <row r="20" spans="2:12" ht="18" customHeight="1" x14ac:dyDescent="0.25">
      <c r="B20" s="69" t="s">
        <v>153</v>
      </c>
      <c r="D20" s="55" t="s">
        <v>28</v>
      </c>
      <c r="E20" s="55" t="s">
        <v>28</v>
      </c>
      <c r="F20" s="55" t="s">
        <v>28</v>
      </c>
      <c r="G20" s="55"/>
      <c r="H20" s="56"/>
    </row>
    <row r="21" spans="2:12" ht="18" customHeight="1" x14ac:dyDescent="0.25">
      <c r="B21" s="69" t="s">
        <v>12</v>
      </c>
      <c r="D21" s="55" t="s">
        <v>28</v>
      </c>
      <c r="E21" s="55" t="s">
        <v>28</v>
      </c>
      <c r="F21" s="55" t="s">
        <v>3</v>
      </c>
      <c r="G21" s="55"/>
      <c r="H21" s="56"/>
    </row>
    <row r="22" spans="2:12" ht="18" customHeight="1" x14ac:dyDescent="0.25">
      <c r="B22" s="69" t="s">
        <v>13</v>
      </c>
      <c r="D22" s="55" t="s">
        <v>3</v>
      </c>
      <c r="E22" s="55" t="s">
        <v>28</v>
      </c>
      <c r="F22" s="55" t="s">
        <v>28</v>
      </c>
      <c r="G22" s="55"/>
      <c r="H22" s="56"/>
    </row>
    <row r="23" spans="2:12" ht="18" customHeight="1" x14ac:dyDescent="0.25">
      <c r="B23" s="69" t="s">
        <v>14</v>
      </c>
      <c r="D23" s="55" t="s">
        <v>28</v>
      </c>
      <c r="E23" s="55" t="s">
        <v>28</v>
      </c>
      <c r="F23" s="55" t="s">
        <v>28</v>
      </c>
      <c r="G23" s="55"/>
      <c r="H23" s="56"/>
    </row>
    <row r="24" spans="2:12" ht="18" customHeight="1" x14ac:dyDescent="0.25">
      <c r="B24" s="69" t="s">
        <v>15</v>
      </c>
      <c r="D24" s="55" t="s">
        <v>28</v>
      </c>
      <c r="E24" s="55" t="s">
        <v>3</v>
      </c>
      <c r="F24" s="55" t="s">
        <v>28</v>
      </c>
      <c r="G24" s="55"/>
      <c r="H24" s="56"/>
    </row>
    <row r="25" spans="2:12" ht="18" customHeight="1" x14ac:dyDescent="0.25">
      <c r="B25" s="69" t="s">
        <v>129</v>
      </c>
      <c r="D25" s="55" t="s">
        <v>28</v>
      </c>
      <c r="E25" s="55" t="s">
        <v>3</v>
      </c>
      <c r="F25" s="55" t="s">
        <v>28</v>
      </c>
      <c r="G25" s="55"/>
      <c r="H25" s="56"/>
    </row>
    <row r="26" spans="2:12" ht="18" customHeight="1" x14ac:dyDescent="0.25">
      <c r="B26" s="69" t="s">
        <v>16</v>
      </c>
      <c r="D26" s="55" t="s">
        <v>28</v>
      </c>
      <c r="E26" s="55" t="s">
        <v>28</v>
      </c>
      <c r="F26" s="55" t="s">
        <v>28</v>
      </c>
      <c r="G26" s="55"/>
      <c r="H26" s="56"/>
    </row>
    <row r="27" spans="2:12" ht="18" customHeight="1" x14ac:dyDescent="0.25">
      <c r="B27" s="69" t="s">
        <v>99</v>
      </c>
      <c r="D27" s="55" t="s">
        <v>28</v>
      </c>
      <c r="E27" s="55" t="s">
        <v>28</v>
      </c>
      <c r="F27" s="55" t="s">
        <v>28</v>
      </c>
      <c r="G27" s="55"/>
      <c r="H27" s="56"/>
    </row>
    <row r="28" spans="2:12" ht="18" customHeight="1" x14ac:dyDescent="0.25">
      <c r="B28" s="69" t="s">
        <v>150</v>
      </c>
      <c r="D28" s="55" t="s">
        <v>28</v>
      </c>
      <c r="E28" s="55" t="s">
        <v>3</v>
      </c>
      <c r="F28" s="55" t="s">
        <v>3</v>
      </c>
      <c r="G28" s="55"/>
      <c r="H28" s="56"/>
    </row>
    <row r="29" spans="2:12" ht="18" customHeight="1" x14ac:dyDescent="0.25">
      <c r="B29" s="92" t="s">
        <v>98</v>
      </c>
      <c r="C29" s="93"/>
      <c r="D29" s="94" t="s">
        <v>28</v>
      </c>
      <c r="E29" s="94" t="s">
        <v>28</v>
      </c>
      <c r="F29" s="94" t="s">
        <v>28</v>
      </c>
      <c r="G29" s="94"/>
      <c r="H29" s="95"/>
    </row>
  </sheetData>
  <dataValidations count="5">
    <dataValidation type="list" allowBlank="1" showInputMessage="1" showErrorMessage="1" sqref="D13:D28 D6:H9 E13:H26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E27:H28 D12:H12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5000</v>
      </c>
      <c r="F4" s="1">
        <f>MAX(Calcs!F4, 0)</f>
        <v>20000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SUM(Calcs!D40, Calcs!D53)</f>
        <v>18000</v>
      </c>
      <c r="E7" s="16">
        <f>SUM(Calcs!E40, Calcs!E53)</f>
        <v>18000</v>
      </c>
      <c r="F7" s="16">
        <f>SUM(Calcs!F40, Calcs!F53)</f>
        <v>69400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10570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SUM(Calcs!D66, Calcs!D77)</f>
        <v>10200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SUM(Calcs!D67, Calcs!D78)</f>
        <v>0</v>
      </c>
      <c r="E20" s="1">
        <f>SUM(Calcs!E67, Calcs!E78)</f>
        <v>0</v>
      </c>
      <c r="F20" s="1">
        <f>SUM(Calcs!F67, Calcs!F78)</f>
        <v>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SUM(Calcs!D68, Calcs!D79)</f>
        <v>0</v>
      </c>
      <c r="E21" s="1">
        <f>SUM(Calcs!E68, Calcs!E79)</f>
        <v>42000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SUM(Calcs!D69, Calcs!D80)</f>
        <v>0</v>
      </c>
      <c r="E22" s="1">
        <f>SUM(Calcs!E69, Calcs!E80)</f>
        <v>42000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SUM(Calcs!D70, Calcs!D81)</f>
        <v>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SUM(Calcs!D72, Calcs!D83)</f>
        <v>0</v>
      </c>
      <c r="E25" s="1">
        <f>SUM(Calcs!E72, Calcs!E83)</f>
        <v>33600</v>
      </c>
      <c r="F25" s="1">
        <f>SUM(Calcs!F72, Calcs!F83)</f>
        <v>56350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SUM(Calcs!D74, Calcs!D85)</f>
        <v>0</v>
      </c>
      <c r="E27" s="1">
        <f>SUM(Calcs!E74, Calcs!E85)</f>
        <v>0</v>
      </c>
      <c r="F27" s="1">
        <f>SUM(Calcs!F74, Calcs!F85)</f>
        <v>66120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SUM(Calcs!D110:D114)</f>
        <v>0</v>
      </c>
      <c r="E30" s="1">
        <f>SUM(Calcs!E110:E114)</f>
        <v>-27720</v>
      </c>
      <c r="F30" s="1">
        <f>SUM(Calcs!F110:F114)</f>
        <v>-16905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Calcs!D120</f>
        <v>-14100</v>
      </c>
      <c r="E31" s="1">
        <f>Calcs!E120</f>
        <v>-48546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Calcs!D122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10575</v>
      </c>
      <c r="E34" s="7">
        <f>SUM(E7:E16, E19:E27, E30:E31)</f>
        <v>59334</v>
      </c>
      <c r="F34" s="7">
        <f>SUM(F7:F16, F19:F27, F30:F31)</f>
        <v>185535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1.0125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IF(Inputs!D$9 = "Y", SUMIF(Outputs_Timeline!$B$3:$B$204,"&lt;" &amp; EDATE(Inputs!$C$1,12), Outputs_Timeline!AD$3:AD$204), 0)</f>
        <v>0</v>
      </c>
      <c r="E40" s="1">
        <f>IF(Inputs!E$9 = "Y", SUMIF(Outputs_Timeline!$B$3:$B$204,"&lt;" &amp; EDATE(Inputs!$C$1,12), Outputs_Timeline!AE$3:AE$204), 0)</f>
        <v>10250</v>
      </c>
      <c r="F40" s="1">
        <f>IF(Inputs!F$9 = "Y", SUMIF(Outputs_Timeline!$B$3:$B$204,"&lt;" &amp; EDATE(Inputs!$C$1,12), Outputs_Timeline!AF$3:AF$204), 0)</f>
        <v>40487.5</v>
      </c>
      <c r="G40" s="1">
        <f>IF(Inputs!G$9 = "Y", SUMIF(Outputs_Timeline!$B$3:$B$204,"&lt;" &amp; EDATE(Inputs!$C$1,12), Outputs_Timeline!AG$3:AG$204), 0)</f>
        <v>0</v>
      </c>
      <c r="H40" s="1">
        <f>IF(Inputs!H$9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IF(Inputs!D$9 = "Y", SUM(Outputs_Timeline!AD$3:AD$204), 0)</f>
        <v>0</v>
      </c>
      <c r="E41" s="1">
        <f>IF(Inputs!E$9 = "Y", SUM(Outputs_Timeline!AE$3:AE$204), 0)</f>
        <v>32313.125</v>
      </c>
      <c r="F41" s="1">
        <f>IF(Inputs!F$9 = "Y", SUM(Outputs_Timeline!AF$3:AF$204), 0)</f>
        <v>127636.84375</v>
      </c>
      <c r="G41" s="1">
        <f>IF(Inputs!G$9 = "Y", SUM(Outputs_Timeline!AG$3:AG$204), 0)</f>
        <v>0</v>
      </c>
      <c r="H41" s="1">
        <f>IF(Inputs!H$9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32121.5625</v>
      </c>
      <c r="E43" s="7">
        <f>(E34/12*Inputs!$C$2+E4)*$C$37+E41</f>
        <v>217602.65</v>
      </c>
      <c r="F43" s="7">
        <f>(F34/12*Inputs!$C$2+F4)*$C$37+F41</f>
        <v>711449.40625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961173.61874999979</v>
      </c>
    </row>
    <row r="48" spans="2:21" x14ac:dyDescent="0.25">
      <c r="C48" s="52">
        <f>SUM(D43:H43)</f>
        <v>961173.61875000002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SUMIF(Inputs!$D$6:$H$6,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SUMIF(Inputs!$D$6:$H$6, "N", Outputs_External!D4:'Outputs_External'!H4)</f>
        <v>20000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69000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(IF(Inputs!C4="New York",$H$7,-$H$7)+F10)*$D10</f>
        <v>32775</v>
      </c>
      <c r="L10" s="100">
        <f>(IF(Inputs!C4="New York",-$H$7,$H$7)+G10)*D10</f>
        <v>36225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0</v>
      </c>
      <c r="L11" s="18">
        <f t="shared" ref="L11:L19" si="4">G11*$D11</f>
        <v>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25">
      <c r="C13" s="17" t="s">
        <v>21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25">
      <c r="C17" s="17" t="s">
        <v>154</v>
      </c>
      <c r="D17" s="18">
        <f>SUM(Calcs!D21:H21)</f>
        <v>4200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420</v>
      </c>
      <c r="L17" s="18">
        <f t="shared" ref="L17" si="6">G17*$D17</f>
        <v>3780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25">
      <c r="C18" s="19" t="s">
        <v>11</v>
      </c>
      <c r="D18" s="20">
        <f>SUM(Calcs!D22:H22)</f>
        <v>12000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1200</v>
      </c>
      <c r="L18" s="20">
        <f t="shared" si="4"/>
        <v>10800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149</v>
      </c>
      <c r="D19" s="20">
        <f>SUM(Calcs!D23:H23)</f>
        <v>24000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2400</v>
      </c>
      <c r="L19" s="20">
        <f t="shared" si="4"/>
        <v>21600</v>
      </c>
      <c r="M19" s="20">
        <f t="shared" si="2"/>
        <v>0</v>
      </c>
      <c r="N19" s="20">
        <f t="shared" si="2"/>
        <v>0</v>
      </c>
    </row>
    <row r="20" spans="2:14" x14ac:dyDescent="0.25">
      <c r="C20" s="19" t="s">
        <v>22</v>
      </c>
      <c r="D20" s="20">
        <f>SUM(Calcs!D24:H24)</f>
        <v>1800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25">
      <c r="F23" s="11"/>
      <c r="G23" s="11"/>
      <c r="H23" s="11"/>
      <c r="I23" s="11"/>
      <c r="K23" s="9"/>
      <c r="L23" s="9"/>
      <c r="M23" s="9"/>
    </row>
    <row r="24" spans="2:14" x14ac:dyDescent="0.2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25">
      <c r="C25" s="15" t="s">
        <v>2</v>
      </c>
      <c r="D25" s="16">
        <f>SUM(Calcs!D27:H27)</f>
        <v>36400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(IF(Inputs!C4="New York",$H$7,-$H$7)+F25)*$D25</f>
        <v>14560.000000000004</v>
      </c>
      <c r="L25" s="16">
        <f>(IF(Inputs!C4="New York",-$H$7,$H$7)+G25)*$D25</f>
        <v>21840</v>
      </c>
      <c r="M25" s="16">
        <f>H25*$D25</f>
        <v>0</v>
      </c>
      <c r="N25" s="16">
        <f>I25*$D25</f>
        <v>0</v>
      </c>
    </row>
    <row r="26" spans="2:14" x14ac:dyDescent="0.25">
      <c r="C26" s="17" t="s">
        <v>20</v>
      </c>
      <c r="D26" s="18">
        <f>SUM(Calcs!D28:H28)</f>
        <v>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0</v>
      </c>
      <c r="L26" s="18">
        <f t="shared" ref="L26:L35" si="13">G26*$D26</f>
        <v>0</v>
      </c>
      <c r="M26" s="18">
        <f t="shared" ref="M26:N35" si="14">H26*$D26</f>
        <v>0</v>
      </c>
      <c r="N26" s="18">
        <f t="shared" si="14"/>
        <v>0</v>
      </c>
    </row>
    <row r="27" spans="2:14" x14ac:dyDescent="0.25">
      <c r="C27" s="17" t="s">
        <v>8</v>
      </c>
      <c r="D27" s="18">
        <f>SUM(Calcs!D29:H29)</f>
        <v>0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0</v>
      </c>
      <c r="L27" s="18">
        <f t="shared" si="13"/>
        <v>0</v>
      </c>
      <c r="M27" s="18">
        <f t="shared" si="14"/>
        <v>0</v>
      </c>
      <c r="N27" s="18">
        <f t="shared" si="14"/>
        <v>0</v>
      </c>
    </row>
    <row r="28" spans="2:14" x14ac:dyDescent="0.25">
      <c r="C28" s="17" t="s">
        <v>21</v>
      </c>
      <c r="D28" s="18">
        <f>SUM(Calcs!D30:H30)</f>
        <v>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0</v>
      </c>
      <c r="L28" s="18">
        <f t="shared" si="13"/>
        <v>0</v>
      </c>
      <c r="M28" s="18">
        <f t="shared" si="14"/>
        <v>0</v>
      </c>
      <c r="N28" s="18">
        <f t="shared" si="14"/>
        <v>0</v>
      </c>
    </row>
    <row r="29" spans="2:14" x14ac:dyDescent="0.25">
      <c r="C29" s="17" t="s">
        <v>9</v>
      </c>
      <c r="D29" s="18">
        <f>SUM(Calcs!D31:H31)</f>
        <v>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0</v>
      </c>
      <c r="L29" s="18">
        <f t="shared" si="13"/>
        <v>0</v>
      </c>
      <c r="M29" s="18">
        <f t="shared" si="14"/>
        <v>0</v>
      </c>
      <c r="N29" s="18">
        <f t="shared" si="14"/>
        <v>0</v>
      </c>
    </row>
    <row r="30" spans="2:14" x14ac:dyDescent="0.2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25">
      <c r="C31" s="17" t="s">
        <v>77</v>
      </c>
      <c r="D31" s="18">
        <f>SUM(Calcs!D33:H33)</f>
        <v>0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0</v>
      </c>
      <c r="L31" s="18">
        <f t="shared" si="13"/>
        <v>0</v>
      </c>
      <c r="M31" s="18">
        <f t="shared" si="14"/>
        <v>0</v>
      </c>
      <c r="N31" s="18">
        <f t="shared" si="14"/>
        <v>0</v>
      </c>
    </row>
    <row r="32" spans="2:14" x14ac:dyDescent="0.25">
      <c r="C32" s="17" t="s">
        <v>154</v>
      </c>
      <c r="D32" s="18">
        <f>SUM(Calcs!D34:H34)</f>
        <v>6370.0000000000009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159.25000000000017</v>
      </c>
      <c r="L32" s="18">
        <f t="shared" ref="L32" si="17">G32*$D32</f>
        <v>6210.7500000000009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2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25">
      <c r="C34" s="19" t="s">
        <v>149</v>
      </c>
      <c r="D34" s="20">
        <f>SUM(Calcs!D36:H36)</f>
        <v>22750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568.75000000000045</v>
      </c>
      <c r="L34" s="20">
        <f t="shared" si="13"/>
        <v>22181.25</v>
      </c>
      <c r="M34" s="20">
        <f t="shared" si="14"/>
        <v>0</v>
      </c>
      <c r="N34" s="20">
        <f t="shared" si="14"/>
        <v>0</v>
      </c>
    </row>
    <row r="35" spans="2:14" x14ac:dyDescent="0.2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25">
      <c r="F36" s="11"/>
      <c r="G36" s="11"/>
      <c r="H36" s="11"/>
      <c r="I36" s="11"/>
      <c r="K36" s="9"/>
      <c r="L36" s="9"/>
      <c r="M36" s="9"/>
    </row>
    <row r="37" spans="2:14" x14ac:dyDescent="0.2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25">
      <c r="C38" s="17" t="s">
        <v>13</v>
      </c>
      <c r="D38" s="18">
        <f>SUM(Calcs!D88:H88)</f>
        <v>10200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9180</v>
      </c>
      <c r="L38" s="18">
        <f t="shared" si="23"/>
        <v>1020</v>
      </c>
      <c r="M38" s="18">
        <f t="shared" si="23"/>
        <v>0</v>
      </c>
      <c r="N38" s="18">
        <f t="shared" si="23"/>
        <v>0</v>
      </c>
    </row>
    <row r="39" spans="2:14" x14ac:dyDescent="0.25">
      <c r="C39" s="17" t="s">
        <v>14</v>
      </c>
      <c r="D39" s="18">
        <f>SUM(Calcs!D89:H89)</f>
        <v>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0</v>
      </c>
      <c r="L39" s="18">
        <f t="shared" si="23"/>
        <v>0</v>
      </c>
      <c r="M39" s="18">
        <f t="shared" si="23"/>
        <v>0</v>
      </c>
      <c r="N39" s="18">
        <f t="shared" si="23"/>
        <v>0</v>
      </c>
    </row>
    <row r="40" spans="2:14" x14ac:dyDescent="0.25">
      <c r="C40" s="19" t="s">
        <v>15</v>
      </c>
      <c r="D40" s="20">
        <f>SUM(Calcs!D90:H90)</f>
        <v>16200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1620</v>
      </c>
      <c r="L40" s="20">
        <f t="shared" si="23"/>
        <v>14580</v>
      </c>
      <c r="M40" s="20">
        <f t="shared" si="23"/>
        <v>0</v>
      </c>
      <c r="N40" s="20">
        <f t="shared" si="23"/>
        <v>0</v>
      </c>
    </row>
    <row r="41" spans="2:14" x14ac:dyDescent="0.25">
      <c r="C41" s="19" t="s">
        <v>129</v>
      </c>
      <c r="D41" s="20">
        <f>SUM(Calcs!D91:H91)</f>
        <v>42000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4200</v>
      </c>
      <c r="L41" s="20">
        <f t="shared" ref="L41" si="26">G41*$D41</f>
        <v>37800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25">
      <c r="C42" s="19" t="s">
        <v>16</v>
      </c>
      <c r="D42" s="20">
        <f>SUM(Calcs!D92:H92)</f>
        <v>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0</v>
      </c>
      <c r="L42" s="20">
        <f t="shared" ref="L42" si="31">G42*$D42</f>
        <v>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2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25">
      <c r="C44" s="19" t="s">
        <v>150</v>
      </c>
      <c r="D44" s="20">
        <f>SUM(Calcs!D94:H94)</f>
        <v>55200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5520</v>
      </c>
      <c r="L44" s="20">
        <f t="shared" ref="L44" si="41">G44*$D44</f>
        <v>49680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2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25">
      <c r="C46" s="81" t="s">
        <v>97</v>
      </c>
      <c r="D46" s="84">
        <f>SUM(Calcs!D96:H96)</f>
        <v>11520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1152</v>
      </c>
      <c r="L46" s="84">
        <f t="shared" si="23"/>
        <v>10368</v>
      </c>
      <c r="M46" s="84">
        <f t="shared" si="23"/>
        <v>0</v>
      </c>
      <c r="N46" s="84">
        <f t="shared" si="23"/>
        <v>0</v>
      </c>
    </row>
    <row r="47" spans="2:14" x14ac:dyDescent="0.25">
      <c r="K47" s="9"/>
      <c r="L47" s="9"/>
      <c r="M47" s="9"/>
    </row>
    <row r="48" spans="2:14" x14ac:dyDescent="0.2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2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25">
      <c r="C50" s="17" t="s">
        <v>14</v>
      </c>
      <c r="D50" s="18">
        <f>SUM(Calcs!D100:H100)</f>
        <v>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0</v>
      </c>
      <c r="L50" s="18">
        <f t="shared" si="47"/>
        <v>0</v>
      </c>
      <c r="M50" s="18">
        <f t="shared" ref="M50:N53" si="48">H50*$D50</f>
        <v>0</v>
      </c>
      <c r="N50" s="18">
        <f t="shared" si="48"/>
        <v>0</v>
      </c>
    </row>
    <row r="51" spans="2:14" x14ac:dyDescent="0.2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2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2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2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2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2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25">
      <c r="C57" s="81" t="s">
        <v>97</v>
      </c>
      <c r="D57" s="84">
        <f>SUM(Calcs!D107:H107)</f>
        <v>54600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1365.0000000000011</v>
      </c>
      <c r="L57" s="84">
        <f t="shared" ref="L57" si="69">G57*$D57</f>
        <v>53235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25">
      <c r="K58" s="9"/>
      <c r="L58" s="9"/>
      <c r="M58" s="9"/>
    </row>
    <row r="59" spans="2:14" x14ac:dyDescent="0.25">
      <c r="B59" s="6" t="s">
        <v>37</v>
      </c>
      <c r="K59" s="9"/>
      <c r="L59" s="9"/>
      <c r="M59" s="9"/>
    </row>
    <row r="60" spans="2:14" x14ac:dyDescent="0.25">
      <c r="C60" t="s">
        <v>38</v>
      </c>
      <c r="D60" s="1">
        <f>SUM(Outputs_External!D30:'Outputs_External'!H30)</f>
        <v>-44625</v>
      </c>
      <c r="F60" s="8">
        <f>IFERROR(SUM(K74:K82)/SUM($K$74:$N$82), 0)</f>
        <v>0.10370425910508928</v>
      </c>
      <c r="G60" s="8">
        <f t="shared" ref="G60:I60" si="72">IFERROR(SUM(L74:L82)/SUM($K$74:$N$82), 0)</f>
        <v>0.89629574089491071</v>
      </c>
      <c r="H60" s="8">
        <f t="shared" si="72"/>
        <v>0</v>
      </c>
      <c r="I60" s="8">
        <f t="shared" si="72"/>
        <v>0</v>
      </c>
      <c r="K60" s="12">
        <f>F60*$D$60</f>
        <v>-4627.8025625646087</v>
      </c>
      <c r="L60" s="12">
        <f>G60*$D$60</f>
        <v>-39997.197437435389</v>
      </c>
      <c r="M60" s="12">
        <f>H60*$D$60</f>
        <v>0</v>
      </c>
      <c r="N60" s="12">
        <f>I60*$D$60</f>
        <v>0</v>
      </c>
    </row>
    <row r="61" spans="2:14" x14ac:dyDescent="0.25">
      <c r="C61" t="s">
        <v>115</v>
      </c>
      <c r="D61" s="1">
        <f>SUM(Outputs_External!D31:'Outputs_External'!H31)</f>
        <v>-62646</v>
      </c>
      <c r="F61" s="3">
        <f>IFERROR(SUM(K10:K60)/SUM($K10:$N60), 0)</f>
        <v>0.21974160856127789</v>
      </c>
      <c r="G61" s="3">
        <f>IFERROR(SUM(L10:L60)/SUM($K10:$N60), 0)</f>
        <v>0.78025839143872211</v>
      </c>
      <c r="H61" s="3">
        <f>IFERROR(SUM(M10:M60)/SUM($K10:$N60), 0)</f>
        <v>0</v>
      </c>
      <c r="I61" s="3">
        <f>1-F61-G61-H61</f>
        <v>0</v>
      </c>
      <c r="K61" s="12">
        <f>F61*$D$61</f>
        <v>-13765.932809929815</v>
      </c>
      <c r="L61" s="12">
        <f>G61*$D$61</f>
        <v>-48880.067190070185</v>
      </c>
      <c r="M61" s="12">
        <f>H61*$D$61</f>
        <v>0</v>
      </c>
      <c r="N61" s="12">
        <f>I61*$D$61</f>
        <v>0</v>
      </c>
    </row>
    <row r="62" spans="2:14" x14ac:dyDescent="0.25">
      <c r="C62" t="s">
        <v>82</v>
      </c>
      <c r="D62" s="1">
        <f>Outputs_External!D32</f>
        <v>-3525</v>
      </c>
      <c r="F62" s="3">
        <v>0.58085106382978724</v>
      </c>
      <c r="G62" s="3">
        <f>1-F62</f>
        <v>0.41914893617021276</v>
      </c>
      <c r="H62" s="3">
        <v>0</v>
      </c>
      <c r="I62" s="3">
        <v>0</v>
      </c>
      <c r="K62" s="12">
        <f>$D$62*F62</f>
        <v>-2047.5</v>
      </c>
      <c r="L62" s="12">
        <f t="shared" ref="L62:N62" si="73">$D$62*G62</f>
        <v>-1477.5</v>
      </c>
      <c r="M62" s="12">
        <f t="shared" si="73"/>
        <v>0</v>
      </c>
      <c r="N62" s="12">
        <f t="shared" si="73"/>
        <v>0</v>
      </c>
    </row>
    <row r="63" spans="2:14" x14ac:dyDescent="0.25">
      <c r="K63" s="9"/>
      <c r="L63" s="9"/>
      <c r="M63" s="9"/>
    </row>
    <row r="64" spans="2:14" x14ac:dyDescent="0.25">
      <c r="B64" s="6" t="s">
        <v>39</v>
      </c>
      <c r="D64" s="1">
        <f>SUM(Outputs_External!D34:'Outputs_External'!H34)</f>
        <v>255444</v>
      </c>
      <c r="K64" s="12">
        <f>SUM(K60:K62, K38:K46, K10:K20,K25:K35,K49:K57)</f>
        <v>54858.764627505574</v>
      </c>
      <c r="L64" s="12">
        <f>SUM(L60:L62, L38:L46, L10:L20,L25:L35,L49:L57)</f>
        <v>200585.23537249444</v>
      </c>
      <c r="M64" s="12">
        <f>SUM(M60:M62, M38:M46, M10:M20,M25:M35,M49:M57)</f>
        <v>0</v>
      </c>
      <c r="N64" s="12">
        <f>SUM(N60:N62, N38:N46, N10:N20,N25:N35,N49:N57)</f>
        <v>0</v>
      </c>
    </row>
    <row r="65" spans="2:14" x14ac:dyDescent="0.25">
      <c r="C65" s="21" t="s">
        <v>56</v>
      </c>
      <c r="D65" s="23">
        <f>SUM(K64:N64)</f>
        <v>255444</v>
      </c>
      <c r="K65" s="12"/>
      <c r="L65" s="12"/>
      <c r="M65" s="12"/>
    </row>
    <row r="66" spans="2:14" x14ac:dyDescent="0.25">
      <c r="C66" s="21"/>
      <c r="D66" s="23"/>
      <c r="K66" s="12"/>
      <c r="L66" s="12"/>
      <c r="M66" s="12"/>
    </row>
    <row r="67" spans="2:14" x14ac:dyDescent="0.25">
      <c r="B67" s="6" t="s">
        <v>147</v>
      </c>
      <c r="C67" s="21"/>
      <c r="D67" s="1">
        <f>SUM(Outputs_Timeline!N:N)</f>
        <v>159949.96875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15994.996875000001</v>
      </c>
      <c r="L67" s="12">
        <f>$D$67*G67</f>
        <v>15994.996875000001</v>
      </c>
      <c r="M67" s="12">
        <f>$D$67*H67</f>
        <v>0</v>
      </c>
      <c r="N67" s="12">
        <f>$D$67*I67</f>
        <v>127959.97500000001</v>
      </c>
    </row>
    <row r="68" spans="2:14" x14ac:dyDescent="0.25">
      <c r="K68" s="9"/>
      <c r="L68" s="9"/>
      <c r="M68" s="9"/>
    </row>
    <row r="69" spans="2:14" x14ac:dyDescent="0.25">
      <c r="B69" s="6" t="s">
        <v>70</v>
      </c>
      <c r="D69" s="7">
        <f>SUM(Outputs_Timeline!W:W)</f>
        <v>961173.61874999979</v>
      </c>
      <c r="K69" s="12">
        <f>SUM(Outputs_Timeline!X:X)</f>
        <v>187184.74443104817</v>
      </c>
      <c r="L69" s="12">
        <f>SUM(Outputs_Timeline!Y:Y)</f>
        <v>646028.89931895165</v>
      </c>
      <c r="M69" s="12">
        <f>SUM(Outputs_Timeline!Z:Z)</f>
        <v>0</v>
      </c>
      <c r="N69" s="12">
        <f>SUM(Outputs_Timeline!AA:AA)</f>
        <v>127959.97500000001</v>
      </c>
    </row>
    <row r="70" spans="2:14" x14ac:dyDescent="0.25">
      <c r="D70" s="1"/>
      <c r="K70" s="53">
        <f>IFERROR(K69/$D$69, 0)</f>
        <v>0.194746027959528</v>
      </c>
      <c r="L70" s="53">
        <f>IFERROR(L69/$D$69, 0)</f>
        <v>0.67212508408117577</v>
      </c>
      <c r="M70" s="53">
        <f>IFERROR(M69/$D$69, 0)</f>
        <v>0</v>
      </c>
      <c r="N70" s="53">
        <f>IFERROR(N69/$D$69, 0)</f>
        <v>0.1331288879592962</v>
      </c>
    </row>
    <row r="72" spans="2:14" x14ac:dyDescent="0.25">
      <c r="K72" s="9"/>
      <c r="L72" s="9"/>
      <c r="M72" s="9"/>
    </row>
    <row r="73" spans="2:14" x14ac:dyDescent="0.2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25">
      <c r="B74" s="27"/>
      <c r="C74" s="21" t="s">
        <v>13</v>
      </c>
      <c r="D74" s="23">
        <f>SUM(Calcs!D66:H66)+SUM(Calcs!D77:H77)</f>
        <v>10200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9180</v>
      </c>
      <c r="L74" s="25">
        <f t="shared" si="74"/>
        <v>1020</v>
      </c>
      <c r="M74" s="25">
        <f t="shared" si="74"/>
        <v>0</v>
      </c>
      <c r="N74" s="25">
        <f t="shared" si="74"/>
        <v>0</v>
      </c>
    </row>
    <row r="75" spans="2:14" x14ac:dyDescent="0.25">
      <c r="B75" s="27"/>
      <c r="C75" s="21" t="s">
        <v>14</v>
      </c>
      <c r="D75" s="23">
        <f>SUM(Calcs!D67:H67)+SUM(Calcs!D78:H78)</f>
        <v>0</v>
      </c>
      <c r="E75" s="21"/>
      <c r="F75" s="24">
        <f>IFERROR(SUM(K$39,K$11:K$16,K$50,K$26:K$31)/SUM($K$39:$N$39,$K$11:$N$16,$K$50:$N$50,$K$26:$N$31),0)</f>
        <v>0</v>
      </c>
      <c r="G75" s="24">
        <f>IFERROR(SUM(L$39,L$11:L$16,L$50,L$26:L$31)/SUM($K$39:$N$39,$K$11:$N$16,$K$50:$N$50,$K$26:$N$31),0)</f>
        <v>0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0</v>
      </c>
      <c r="J75" s="21"/>
      <c r="K75" s="25">
        <f t="shared" si="74"/>
        <v>0</v>
      </c>
      <c r="L75" s="25">
        <f t="shared" si="74"/>
        <v>0</v>
      </c>
      <c r="M75" s="25">
        <f t="shared" si="74"/>
        <v>0</v>
      </c>
      <c r="N75" s="25">
        <f t="shared" si="74"/>
        <v>0</v>
      </c>
    </row>
    <row r="76" spans="2:14" x14ac:dyDescent="0.25">
      <c r="B76" s="27"/>
      <c r="C76" s="21" t="s">
        <v>15</v>
      </c>
      <c r="D76" s="23">
        <f>SUM(Calcs!D68:H68)+SUM(Calcs!D79:H79)</f>
        <v>42000</v>
      </c>
      <c r="E76" s="21"/>
      <c r="F76" s="24">
        <f>IFERROR(SUM(K40,K18:K20,K51,K33:K35)/SUM($K$40:$N$40,$K$18:$M$20,$K$51:$N$51,$K$33:$N$35),0)</f>
        <v>7.7768729641693818E-2</v>
      </c>
      <c r="G76" s="24">
        <f>IFERROR(SUM(L40,L18:L20,L51,L33:L35)/SUM($K$40:$N$40,$K$18:$M$20,$K$51:$N$51,$K$33:$N$35),0)</f>
        <v>0.92223127035830621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3266.2866449511403</v>
      </c>
      <c r="L76" s="25">
        <f t="shared" si="74"/>
        <v>38733.713355048858</v>
      </c>
      <c r="M76" s="25">
        <f t="shared" si="74"/>
        <v>0</v>
      </c>
      <c r="N76" s="25">
        <f t="shared" si="74"/>
        <v>0</v>
      </c>
    </row>
    <row r="77" spans="2:14" x14ac:dyDescent="0.25">
      <c r="B77" s="27"/>
      <c r="C77" s="21" t="s">
        <v>152</v>
      </c>
      <c r="D77" s="23">
        <f>SUM(Calcs!D69:H69)+SUM(Calcs!D80:H80)</f>
        <v>42000</v>
      </c>
      <c r="E77" s="21"/>
      <c r="F77" s="24">
        <f>IFERROR(SUM(K41,K18:K20,K52,K33:K35)/SUM($K$41:$N$41,$K$18:$M$20,$K$52:$N$52,$K$33:$N$35),0)</f>
        <v>8.3361774744027298E-2</v>
      </c>
      <c r="G77" s="24">
        <f>IFERROR(SUM(L41,L18:L20,L52,L33:L35)/SUM($K$41:$N$41,$K$18:$M$20,$K$52:$N$52,$K$33:$N$35),0)</f>
        <v>0.91663822525597272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3501.1945392491466</v>
      </c>
      <c r="L77" s="25">
        <f t="shared" ref="L77" si="76">G77*$D77</f>
        <v>38498.805460750853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25">
      <c r="B78" s="27"/>
      <c r="C78" s="21" t="s">
        <v>16</v>
      </c>
      <c r="D78" s="23">
        <f>SUM(Calcs!D70:H70)+SUM(Calcs!D81:H81)</f>
        <v>0</v>
      </c>
      <c r="E78" s="21"/>
      <c r="F78" s="24">
        <f t="shared" ref="F78:I79" si="79">IFERROR(SUM(K42,K53)/SUM($K42:$N42,$K53:$N53),0)</f>
        <v>0</v>
      </c>
      <c r="G78" s="24">
        <f t="shared" si="79"/>
        <v>0</v>
      </c>
      <c r="H78" s="24">
        <f t="shared" si="79"/>
        <v>0</v>
      </c>
      <c r="I78" s="24">
        <f t="shared" si="79"/>
        <v>0</v>
      </c>
      <c r="J78" s="21"/>
      <c r="K78" s="25">
        <f t="shared" ref="K78:K82" si="80">F78*$D78</f>
        <v>0</v>
      </c>
      <c r="L78" s="25">
        <f t="shared" ref="L78:L82" si="81">G78*$D78</f>
        <v>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2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25">
      <c r="B80" s="27"/>
      <c r="C80" s="21" t="s">
        <v>150</v>
      </c>
      <c r="D80" s="23">
        <f>SUM(Calcs!D72:H72)+SUM(Calcs!D83:H83)</f>
        <v>89950</v>
      </c>
      <c r="E80" s="21"/>
      <c r="F80" s="24">
        <f>IFERROR(SUM(K44,K19,K55,K34)/SUM($K$44:$N$44,$K$19:$N$19,$K$55:$N$55,$K$34:$N$34),0)</f>
        <v>8.3263854830799414E-2</v>
      </c>
      <c r="G80" s="24">
        <f>IFERROR(SUM(L44,L19,L55,L34)/SUM($K$44:$N$44,$K$19:$N$19,$K$55:$N$55,$K$34:$N$34),0)</f>
        <v>0.91673614516920054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7489.5837420304069</v>
      </c>
      <c r="L80" s="25">
        <f t="shared" ref="L80" si="89">G80*$D80</f>
        <v>82460.416257969584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97</v>
      </c>
      <c r="D82" s="23">
        <f>SUM(Calcs!D74:H74)+SUM(Calcs!D85:H85)</f>
        <v>66120</v>
      </c>
      <c r="E82" s="21"/>
      <c r="F82" s="24">
        <f t="shared" ref="F82" si="93">IFERROR(SUM(K46,K57)/SUM($K46:$N46,$K57:$N57),0)</f>
        <v>3.8067150635208727E-2</v>
      </c>
      <c r="G82" s="24">
        <f t="shared" ref="G82" si="94">IFERROR(SUM(L46,L57)/SUM($K46:$N46,$K57:$N57),0)</f>
        <v>0.96193284936479129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 t="shared" si="80"/>
        <v>2517.0000000000009</v>
      </c>
      <c r="L82" s="25">
        <f t="shared" si="81"/>
        <v>63603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0</v>
      </c>
      <c r="Q9" s="63">
        <f>$F9*Outputs_Internal!K$64/12+N9*'MARA Prices'!$F$5</f>
        <v>0</v>
      </c>
      <c r="R9" s="63">
        <f>$F9*Outputs_Internal!L$64/12+N9*'MARA Prices'!$F$6</f>
        <v>0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0</v>
      </c>
      <c r="Q10" s="63">
        <f>$F10*Outputs_Internal!K$64/12+N10*'MARA Prices'!$F$5</f>
        <v>0</v>
      </c>
      <c r="R10" s="63">
        <f>$F10*Outputs_Internal!L$64/12+N10*'MARA Prices'!$F$6</f>
        <v>0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0</v>
      </c>
      <c r="Q11" s="63">
        <f>$F11*Outputs_Internal!K$64/12+N11*'MARA Prices'!$F$5</f>
        <v>0</v>
      </c>
      <c r="R11" s="63">
        <f>$F11*Outputs_Internal!L$64/12+N11*'MARA Prices'!$F$6</f>
        <v>0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0</v>
      </c>
      <c r="Q12" s="63">
        <f>$F12*Outputs_Internal!K$64/12+N12*'MARA Prices'!$F$5</f>
        <v>0</v>
      </c>
      <c r="R12" s="63">
        <f>$F12*Outputs_Internal!L$64/12+N12*'MARA Prices'!$F$6</f>
        <v>0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0</v>
      </c>
      <c r="Q13" s="63">
        <f>$F13*Outputs_Internal!K$64/12+N13*'MARA Prices'!$F$5</f>
        <v>0</v>
      </c>
      <c r="R13" s="63">
        <f>$F13*Outputs_Internal!L$64/12+N13*'MARA Prices'!$F$6</f>
        <v>0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0</v>
      </c>
      <c r="Q14" s="63">
        <f>$F14*Outputs_Internal!K$64/12+N14*'MARA Prices'!$F$5</f>
        <v>0</v>
      </c>
      <c r="R14" s="63">
        <f>$F14*Outputs_Internal!L$64/12+N14*'MARA Prices'!$F$6</f>
        <v>0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0</v>
      </c>
      <c r="Q15" s="63">
        <f>$F15*Outputs_Internal!K$64/12+N15*'MARA Prices'!$F$5</f>
        <v>0</v>
      </c>
      <c r="R15" s="63">
        <f>$F15*Outputs_Internal!L$64/12+N15*'MARA Prices'!$F$6</f>
        <v>0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0</v>
      </c>
      <c r="Q16" s="63">
        <f>$F16*Outputs_Internal!K$64/12+N16*'MARA Prices'!$F$5</f>
        <v>0</v>
      </c>
      <c r="R16" s="63">
        <f>$F16*Outputs_Internal!L$64/12+N16*'MARA Prices'!$F$6</f>
        <v>0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0</v>
      </c>
      <c r="Q17" s="63">
        <f>$F17*Outputs_Internal!K$64/12+N17*'MARA Prices'!$F$5</f>
        <v>0</v>
      </c>
      <c r="R17" s="63">
        <f>$F17*Outputs_Internal!L$64/12+N17*'MARA Prices'!$F$6</f>
        <v>0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0</v>
      </c>
      <c r="Q18" s="63">
        <f>$F18*Outputs_Internal!K$64/12+N18*'MARA Prices'!$F$5</f>
        <v>0</v>
      </c>
      <c r="R18" s="63">
        <f>$F18*Outputs_Internal!L$64/12+N18*'MARA Prices'!$F$6</f>
        <v>0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0</v>
      </c>
      <c r="Q19" s="63">
        <f>$F19*Outputs_Internal!K$64/12+N19*'MARA Prices'!$F$5</f>
        <v>0</v>
      </c>
      <c r="R19" s="63">
        <f>$F19*Outputs_Internal!L$64/12+N19*'MARA Prices'!$F$6</f>
        <v>0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0</v>
      </c>
      <c r="Q20" s="63">
        <f>$F20*Outputs_Internal!K$64/12+N20*'MARA Prices'!$F$5</f>
        <v>0</v>
      </c>
      <c r="R20" s="63">
        <f>$F20*Outputs_Internal!L$64/12+N20*'MARA Prices'!$F$6</f>
        <v>0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0</v>
      </c>
      <c r="Q21" s="63">
        <f>$F21*Outputs_Internal!K$64/12+N21*'MARA Prices'!$F$5</f>
        <v>0</v>
      </c>
      <c r="R21" s="63">
        <f>$F21*Outputs_Internal!L$64/12+N21*'MARA Prices'!$F$6</f>
        <v>0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0</v>
      </c>
      <c r="Q22" s="63">
        <f>$F22*Outputs_Internal!K$64/12+N22*'MARA Prices'!$F$5</f>
        <v>0</v>
      </c>
      <c r="R22" s="63">
        <f>$F22*Outputs_Internal!L$64/12+N22*'MARA Prices'!$F$6</f>
        <v>0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0</v>
      </c>
      <c r="Q23" s="63">
        <f>$F23*Outputs_Internal!K$64/12+N23*'MARA Prices'!$F$5</f>
        <v>0</v>
      </c>
      <c r="R23" s="63">
        <f>$F23*Outputs_Internal!L$64/12+N23*'MARA Prices'!$F$6</f>
        <v>0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0</v>
      </c>
      <c r="Q24" s="63">
        <f>$F24*Outputs_Internal!K$64/12+N24*'MARA Prices'!$F$5</f>
        <v>0</v>
      </c>
      <c r="R24" s="63">
        <f>$F24*Outputs_Internal!L$64/12+N24*'MARA Prices'!$F$6</f>
        <v>0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0</v>
      </c>
      <c r="Q25" s="63">
        <f>$F25*Outputs_Internal!K$64/12+N25*'MARA Prices'!$F$5</f>
        <v>0</v>
      </c>
      <c r="R25" s="63">
        <f>$F25*Outputs_Internal!L$64/12+N25*'MARA Prices'!$F$6</f>
        <v>0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0</v>
      </c>
      <c r="Q26" s="63">
        <f>$F26*Outputs_Internal!K$64/12+N26*'MARA Prices'!$F$5</f>
        <v>0</v>
      </c>
      <c r="R26" s="63">
        <f>$F26*Outputs_Internal!L$64/12+N26*'MARA Prices'!$F$6</f>
        <v>0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25312.5</v>
      </c>
      <c r="J27" s="63">
        <f>IF($B27=Inputs!$C$1,SUM(Outputs_Internal!K$4, Outputs_Internal!K$5),0)*$D27</f>
        <v>4556.25</v>
      </c>
      <c r="K27" s="63">
        <f>IF($B27=Inputs!$C$1,SUM(Outputs_Internal!L$4, Outputs_Internal!L$5),0)*$D27</f>
        <v>20756.25</v>
      </c>
      <c r="L27" s="63">
        <f>IF($B27=Inputs!$C$1,SUM(Outputs_Internal!M$4, Outputs_Internal!$M$5),0)*$D27</f>
        <v>0</v>
      </c>
      <c r="N27" s="63">
        <f t="shared" si="0"/>
        <v>4125</v>
      </c>
      <c r="P27" s="63">
        <f>$F27*Outputs_Internal!$D$64/12+N27</f>
        <v>25678.087499999998</v>
      </c>
      <c r="Q27" s="63">
        <f>$F27*Outputs_Internal!K$64/12+N27*'MARA Prices'!$F$5</f>
        <v>5041.2082654457827</v>
      </c>
      <c r="R27" s="63">
        <f>$F27*Outputs_Internal!L$64/12+N27*'MARA Prices'!$F$6</f>
        <v>17336.879234554217</v>
      </c>
      <c r="S27" s="63">
        <f>N27*'MARA Prices'!$F$4</f>
        <v>3300</v>
      </c>
      <c r="T27" s="63">
        <f>$F27*Outputs_Internal!M$64/12</f>
        <v>0</v>
      </c>
      <c r="U27" s="63">
        <f>$F27*Outputs_Internal!N$64/12</f>
        <v>0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833.33333333333337</v>
      </c>
      <c r="AF27" s="63">
        <f>'MARA Prices'!J$21*$G27</f>
        <v>3291.6666666666665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4125</v>
      </c>
      <c r="P28" s="63">
        <f>$F28*Outputs_Internal!$D$64/12+N28</f>
        <v>25678.087499999998</v>
      </c>
      <c r="Q28" s="63">
        <f>$F28*Outputs_Internal!K$64/12+N28*'MARA Prices'!$F$5</f>
        <v>5041.2082654457827</v>
      </c>
      <c r="R28" s="63">
        <f>$F28*Outputs_Internal!L$64/12+N28*'MARA Prices'!$F$6</f>
        <v>17336.879234554217</v>
      </c>
      <c r="S28" s="63">
        <f>N28*'MARA Prices'!$F$4</f>
        <v>3300</v>
      </c>
      <c r="T28" s="63">
        <f>$F28*Outputs_Internal!M$64/12</f>
        <v>0</v>
      </c>
      <c r="U28" s="63">
        <f>$F28*Outputs_Internal!N$64/12</f>
        <v>0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833.33333333333337</v>
      </c>
      <c r="AF28" s="63">
        <f>'MARA Prices'!J$21*$G28</f>
        <v>3291.6666666666665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4125</v>
      </c>
      <c r="P29" s="63">
        <f>$F29*Outputs_Internal!$D$64/12+N29</f>
        <v>25678.087499999998</v>
      </c>
      <c r="Q29" s="63">
        <f>$F29*Outputs_Internal!K$64/12+N29*'MARA Prices'!$F$5</f>
        <v>5041.2082654457827</v>
      </c>
      <c r="R29" s="63">
        <f>$F29*Outputs_Internal!L$64/12+N29*'MARA Prices'!$F$6</f>
        <v>17336.879234554217</v>
      </c>
      <c r="S29" s="63">
        <f>N29*'MARA Prices'!$F$4</f>
        <v>3300</v>
      </c>
      <c r="T29" s="63">
        <f>$F29*Outputs_Internal!M$64/12</f>
        <v>0</v>
      </c>
      <c r="U29" s="63">
        <f>$F29*Outputs_Internal!N$64/12</f>
        <v>0</v>
      </c>
      <c r="W29" s="63">
        <f t="shared" si="2"/>
        <v>102346.76249999998</v>
      </c>
      <c r="X29" s="63">
        <f t="shared" si="3"/>
        <v>19679.874796337346</v>
      </c>
      <c r="Y29" s="63">
        <f t="shared" si="4"/>
        <v>72766.887703662651</v>
      </c>
      <c r="Z29" s="63">
        <f t="shared" si="5"/>
        <v>0</v>
      </c>
      <c r="AA29" s="63">
        <f t="shared" si="6"/>
        <v>9900</v>
      </c>
      <c r="AD29" s="63">
        <f>'MARA Prices'!H$21*$G29</f>
        <v>0</v>
      </c>
      <c r="AE29" s="63">
        <f>'MARA Prices'!I$21*$G29</f>
        <v>833.33333333333337</v>
      </c>
      <c r="AF29" s="63">
        <f>'MARA Prices'!J$21*$G29</f>
        <v>3291.6666666666665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4125</v>
      </c>
      <c r="P30" s="63">
        <f>$F30*Outputs_Internal!$D$64/12+N30</f>
        <v>25678.087499999998</v>
      </c>
      <c r="Q30" s="63">
        <f>$F30*Outputs_Internal!K$64/12+N30*'MARA Prices'!$F$5</f>
        <v>5041.2082654457827</v>
      </c>
      <c r="R30" s="63">
        <f>$F30*Outputs_Internal!L$64/12+N30*'MARA Prices'!$F$6</f>
        <v>17336.879234554217</v>
      </c>
      <c r="S30" s="63">
        <f>N30*'MARA Prices'!$F$4</f>
        <v>3300</v>
      </c>
      <c r="T30" s="63">
        <f>$F30*Outputs_Internal!M$64/12</f>
        <v>0</v>
      </c>
      <c r="U30" s="63">
        <f>$F30*Outputs_Internal!N$64/12</f>
        <v>0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833.33333333333337</v>
      </c>
      <c r="AF30" s="63">
        <f>'MARA Prices'!J$21*$G30</f>
        <v>3291.6666666666665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4125</v>
      </c>
      <c r="P31" s="63">
        <f>$F31*Outputs_Internal!$D$64/12+N31</f>
        <v>25678.087499999998</v>
      </c>
      <c r="Q31" s="63">
        <f>$F31*Outputs_Internal!K$64/12+N31*'MARA Prices'!$F$5</f>
        <v>5041.2082654457827</v>
      </c>
      <c r="R31" s="63">
        <f>$F31*Outputs_Internal!L$64/12+N31*'MARA Prices'!$F$6</f>
        <v>17336.879234554217</v>
      </c>
      <c r="S31" s="63">
        <f>N31*'MARA Prices'!$F$4</f>
        <v>3300</v>
      </c>
      <c r="T31" s="63">
        <f>$F31*Outputs_Internal!M$64/12</f>
        <v>0</v>
      </c>
      <c r="U31" s="63">
        <f>$F31*Outputs_Internal!N$64/12</f>
        <v>0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833.33333333333337</v>
      </c>
      <c r="AF31" s="63">
        <f>'MARA Prices'!J$21*$G31</f>
        <v>3291.6666666666665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4125</v>
      </c>
      <c r="P32" s="63">
        <f>$F32*Outputs_Internal!$D$64/12+N32</f>
        <v>25678.087499999998</v>
      </c>
      <c r="Q32" s="63">
        <f>$F32*Outputs_Internal!K$64/12+N32*'MARA Prices'!$F$5</f>
        <v>5041.2082654457827</v>
      </c>
      <c r="R32" s="63">
        <f>$F32*Outputs_Internal!L$64/12+N32*'MARA Prices'!$F$6</f>
        <v>17336.879234554217</v>
      </c>
      <c r="S32" s="63">
        <f>N32*'MARA Prices'!$F$4</f>
        <v>3300</v>
      </c>
      <c r="T32" s="63">
        <f>$F32*Outputs_Internal!M$64/12</f>
        <v>0</v>
      </c>
      <c r="U32" s="63">
        <f>$F32*Outputs_Internal!N$64/12</f>
        <v>0</v>
      </c>
      <c r="W32" s="63">
        <f t="shared" si="2"/>
        <v>77034.262499999997</v>
      </c>
      <c r="X32" s="63">
        <f t="shared" si="3"/>
        <v>15123.624796337348</v>
      </c>
      <c r="Y32" s="63">
        <f t="shared" si="4"/>
        <v>52010.637703662651</v>
      </c>
      <c r="Z32" s="63">
        <f t="shared" si="5"/>
        <v>0</v>
      </c>
      <c r="AA32" s="63">
        <f t="shared" si="6"/>
        <v>9900</v>
      </c>
      <c r="AD32" s="63">
        <f>'MARA Prices'!H$21*$G32</f>
        <v>0</v>
      </c>
      <c r="AE32" s="63">
        <f>'MARA Prices'!I$21*$G32</f>
        <v>833.33333333333337</v>
      </c>
      <c r="AF32" s="63">
        <f>'MARA Prices'!J$21*$G32</f>
        <v>3291.6666666666665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4331.25</v>
      </c>
      <c r="P33" s="63">
        <f>$F33*Outputs_Internal!$D$64/12+N33</f>
        <v>25884.337499999998</v>
      </c>
      <c r="Q33" s="63">
        <f>$F33*Outputs_Internal!K$64/12+N33*'MARA Prices'!$F$5</f>
        <v>5061.8332654457827</v>
      </c>
      <c r="R33" s="63">
        <f>$F33*Outputs_Internal!L$64/12+N33*'MARA Prices'!$F$6</f>
        <v>17357.504234554217</v>
      </c>
      <c r="S33" s="63">
        <f>N33*'MARA Prices'!$F$4</f>
        <v>3465</v>
      </c>
      <c r="T33" s="63">
        <f>$F33*Outputs_Internal!M$64/12</f>
        <v>0</v>
      </c>
      <c r="U33" s="63">
        <f>$F33*Outputs_Internal!N$64/12</f>
        <v>0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875.00000000000011</v>
      </c>
      <c r="AF33" s="63">
        <f>'MARA Prices'!J$21*$G33</f>
        <v>3456.25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4331.25</v>
      </c>
      <c r="P34" s="63">
        <f>$F34*Outputs_Internal!$D$64/12+N34</f>
        <v>25884.337499999998</v>
      </c>
      <c r="Q34" s="63">
        <f>$F34*Outputs_Internal!K$64/12+N34*'MARA Prices'!$F$5</f>
        <v>5061.8332654457827</v>
      </c>
      <c r="R34" s="63">
        <f>$F34*Outputs_Internal!L$64/12+N34*'MARA Prices'!$F$6</f>
        <v>17357.504234554217</v>
      </c>
      <c r="S34" s="63">
        <f>N34*'MARA Prices'!$F$4</f>
        <v>3465</v>
      </c>
      <c r="T34" s="63">
        <f>$F34*Outputs_Internal!M$64/12</f>
        <v>0</v>
      </c>
      <c r="U34" s="63">
        <f>$F34*Outputs_Internal!N$64/12</f>
        <v>0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875.00000000000011</v>
      </c>
      <c r="AF34" s="63">
        <f>'MARA Prices'!J$21*$G34</f>
        <v>3456.25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4331.25</v>
      </c>
      <c r="P35" s="63">
        <f>$F35*Outputs_Internal!$D$64/12+N35</f>
        <v>25884.337499999998</v>
      </c>
      <c r="Q35" s="63">
        <f>$F35*Outputs_Internal!K$64/12+N35*'MARA Prices'!$F$5</f>
        <v>5061.8332654457827</v>
      </c>
      <c r="R35" s="63">
        <f>$F35*Outputs_Internal!L$64/12+N35*'MARA Prices'!$F$6</f>
        <v>17357.504234554217</v>
      </c>
      <c r="S35" s="63">
        <f>N35*'MARA Prices'!$F$4</f>
        <v>3465</v>
      </c>
      <c r="T35" s="63">
        <f>$F35*Outputs_Internal!M$64/12</f>
        <v>0</v>
      </c>
      <c r="U35" s="63">
        <f>$F35*Outputs_Internal!N$64/12</f>
        <v>0</v>
      </c>
      <c r="W35" s="63">
        <f t="shared" si="2"/>
        <v>77653.012499999997</v>
      </c>
      <c r="X35" s="63">
        <f t="shared" si="3"/>
        <v>15185.499796337348</v>
      </c>
      <c r="Y35" s="63">
        <f t="shared" si="4"/>
        <v>52072.512703662651</v>
      </c>
      <c r="Z35" s="63">
        <f t="shared" si="5"/>
        <v>0</v>
      </c>
      <c r="AA35" s="63">
        <f t="shared" si="6"/>
        <v>10395</v>
      </c>
      <c r="AD35" s="63">
        <f>'MARA Prices'!H$21*$G35</f>
        <v>0</v>
      </c>
      <c r="AE35" s="63">
        <f>'MARA Prices'!I$21*$G35</f>
        <v>875.00000000000011</v>
      </c>
      <c r="AF35" s="63">
        <f>'MARA Prices'!J$21*$G35</f>
        <v>3456.25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4331.25</v>
      </c>
      <c r="P36" s="63">
        <f>$F36*Outputs_Internal!$D$64/12+N36</f>
        <v>25884.337499999998</v>
      </c>
      <c r="Q36" s="63">
        <f>$F36*Outputs_Internal!K$64/12+N36*'MARA Prices'!$F$5</f>
        <v>5061.8332654457827</v>
      </c>
      <c r="R36" s="63">
        <f>$F36*Outputs_Internal!L$64/12+N36*'MARA Prices'!$F$6</f>
        <v>17357.504234554217</v>
      </c>
      <c r="S36" s="63">
        <f>N36*'MARA Prices'!$F$4</f>
        <v>3465</v>
      </c>
      <c r="T36" s="63">
        <f>$F36*Outputs_Internal!M$64/12</f>
        <v>0</v>
      </c>
      <c r="U36" s="63">
        <f>$F36*Outputs_Internal!N$64/12</f>
        <v>0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875.00000000000011</v>
      </c>
      <c r="AF36" s="63">
        <f>'MARA Prices'!J$21*$G36</f>
        <v>3456.25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4331.25</v>
      </c>
      <c r="P37" s="63">
        <f>$F37*Outputs_Internal!$D$64/12+N37</f>
        <v>25884.337499999998</v>
      </c>
      <c r="Q37" s="63">
        <f>$F37*Outputs_Internal!K$64/12+N37*'MARA Prices'!$F$5</f>
        <v>5061.8332654457827</v>
      </c>
      <c r="R37" s="63">
        <f>$F37*Outputs_Internal!L$64/12+N37*'MARA Prices'!$F$6</f>
        <v>17357.504234554217</v>
      </c>
      <c r="S37" s="63">
        <f>N37*'MARA Prices'!$F$4</f>
        <v>3465</v>
      </c>
      <c r="T37" s="63">
        <f>$F37*Outputs_Internal!M$64/12</f>
        <v>0</v>
      </c>
      <c r="U37" s="63">
        <f>$F37*Outputs_Internal!N$64/12</f>
        <v>0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875.00000000000011</v>
      </c>
      <c r="AF37" s="63">
        <f>'MARA Prices'!J$21*$G37</f>
        <v>3456.25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4331.25</v>
      </c>
      <c r="P38" s="63">
        <f>$F38*Outputs_Internal!$D$64/12+N38</f>
        <v>25884.337499999998</v>
      </c>
      <c r="Q38" s="63">
        <f>$F38*Outputs_Internal!K$64/12+N38*'MARA Prices'!$F$5</f>
        <v>5061.8332654457827</v>
      </c>
      <c r="R38" s="63">
        <f>$F38*Outputs_Internal!L$64/12+N38*'MARA Prices'!$F$6</f>
        <v>17357.504234554217</v>
      </c>
      <c r="S38" s="63">
        <f>N38*'MARA Prices'!$F$4</f>
        <v>3465</v>
      </c>
      <c r="T38" s="63">
        <f>$F38*Outputs_Internal!M$64/12</f>
        <v>0</v>
      </c>
      <c r="U38" s="63">
        <f>$F38*Outputs_Internal!N$64/12</f>
        <v>0</v>
      </c>
      <c r="W38" s="63">
        <f t="shared" si="7"/>
        <v>77653.012499999997</v>
      </c>
      <c r="X38" s="63">
        <f t="shared" si="8"/>
        <v>15185.499796337348</v>
      </c>
      <c r="Y38" s="63">
        <f t="shared" si="9"/>
        <v>52072.512703662651</v>
      </c>
      <c r="Z38" s="63">
        <f t="shared" si="10"/>
        <v>0</v>
      </c>
      <c r="AA38" s="63">
        <f t="shared" si="11"/>
        <v>10395</v>
      </c>
      <c r="AD38" s="63">
        <f>'MARA Prices'!H$21*$G38</f>
        <v>0</v>
      </c>
      <c r="AE38" s="63">
        <f>'MARA Prices'!I$21*$G38</f>
        <v>875.00000000000011</v>
      </c>
      <c r="AF38" s="63">
        <f>'MARA Prices'!J$21*$G38</f>
        <v>3456.25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4331.25</v>
      </c>
      <c r="P39" s="63">
        <f>$F39*Outputs_Internal!$D$64/12+N39</f>
        <v>25884.337499999998</v>
      </c>
      <c r="Q39" s="63">
        <f>$F39*Outputs_Internal!K$64/12+N39*'MARA Prices'!$F$5</f>
        <v>5061.8332654457827</v>
      </c>
      <c r="R39" s="63">
        <f>$F39*Outputs_Internal!L$64/12+N39*'MARA Prices'!$F$6</f>
        <v>17357.504234554217</v>
      </c>
      <c r="S39" s="63">
        <f>N39*'MARA Prices'!$F$4</f>
        <v>3465</v>
      </c>
      <c r="T39" s="63">
        <f>$F39*Outputs_Internal!M$64/12</f>
        <v>0</v>
      </c>
      <c r="U39" s="63">
        <f>$F39*Outputs_Internal!N$64/12</f>
        <v>0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875.00000000000011</v>
      </c>
      <c r="AF39" s="63">
        <f>'MARA Prices'!J$21*$G39</f>
        <v>3456.25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4331.25</v>
      </c>
      <c r="P40" s="63">
        <f>$F40*Outputs_Internal!$D$64/12+N40</f>
        <v>25884.337499999998</v>
      </c>
      <c r="Q40" s="63">
        <f>$F40*Outputs_Internal!K$64/12+N40*'MARA Prices'!$F$5</f>
        <v>5061.8332654457827</v>
      </c>
      <c r="R40" s="63">
        <f>$F40*Outputs_Internal!L$64/12+N40*'MARA Prices'!$F$6</f>
        <v>17357.504234554217</v>
      </c>
      <c r="S40" s="63">
        <f>N40*'MARA Prices'!$F$4</f>
        <v>3465</v>
      </c>
      <c r="T40" s="63">
        <f>$F40*Outputs_Internal!M$64/12</f>
        <v>0</v>
      </c>
      <c r="U40" s="63">
        <f>$F40*Outputs_Internal!N$64/12</f>
        <v>0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875.00000000000011</v>
      </c>
      <c r="AF40" s="63">
        <f>'MARA Prices'!J$21*$G40</f>
        <v>3456.25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4331.25</v>
      </c>
      <c r="P41" s="63">
        <f>$F41*Outputs_Internal!$D$64/12+N41</f>
        <v>25884.337499999998</v>
      </c>
      <c r="Q41" s="63">
        <f>$F41*Outputs_Internal!K$64/12+N41*'MARA Prices'!$F$5</f>
        <v>5061.8332654457827</v>
      </c>
      <c r="R41" s="63">
        <f>$F41*Outputs_Internal!L$64/12+N41*'MARA Prices'!$F$6</f>
        <v>17357.504234554217</v>
      </c>
      <c r="S41" s="63">
        <f>N41*'MARA Prices'!$F$4</f>
        <v>3465</v>
      </c>
      <c r="T41" s="63">
        <f>$F41*Outputs_Internal!M$64/12</f>
        <v>0</v>
      </c>
      <c r="U41" s="63">
        <f>$F41*Outputs_Internal!N$64/12</f>
        <v>0</v>
      </c>
      <c r="W41" s="63">
        <f t="shared" si="7"/>
        <v>77653.012499999997</v>
      </c>
      <c r="X41" s="63">
        <f t="shared" si="8"/>
        <v>15185.499796337348</v>
      </c>
      <c r="Y41" s="63">
        <f t="shared" si="9"/>
        <v>52072.512703662651</v>
      </c>
      <c r="Z41" s="63">
        <f t="shared" si="10"/>
        <v>0</v>
      </c>
      <c r="AA41" s="63">
        <f t="shared" si="11"/>
        <v>10395</v>
      </c>
      <c r="AD41" s="63">
        <f>'MARA Prices'!H$21*$G41</f>
        <v>0</v>
      </c>
      <c r="AE41" s="63">
        <f>'MARA Prices'!I$21*$G41</f>
        <v>875.00000000000011</v>
      </c>
      <c r="AF41" s="63">
        <f>'MARA Prices'!J$21*$G41</f>
        <v>3456.25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4331.25</v>
      </c>
      <c r="P42" s="63">
        <f>$F42*Outputs_Internal!$D$64/12+N42</f>
        <v>25884.337499999998</v>
      </c>
      <c r="Q42" s="63">
        <f>$F42*Outputs_Internal!K$64/12+N42*'MARA Prices'!$F$5</f>
        <v>5061.8332654457827</v>
      </c>
      <c r="R42" s="63">
        <f>$F42*Outputs_Internal!L$64/12+N42*'MARA Prices'!$F$6</f>
        <v>17357.504234554217</v>
      </c>
      <c r="S42" s="63">
        <f>N42*'MARA Prices'!$F$4</f>
        <v>3465</v>
      </c>
      <c r="T42" s="63">
        <f>$F42*Outputs_Internal!M$64/12</f>
        <v>0</v>
      </c>
      <c r="U42" s="63">
        <f>$F42*Outputs_Internal!N$64/12</f>
        <v>0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875.00000000000011</v>
      </c>
      <c r="AF42" s="63">
        <f>'MARA Prices'!J$21*$G42</f>
        <v>3456.25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4331.25</v>
      </c>
      <c r="P43" s="63">
        <f>$F43*Outputs_Internal!$D$64/12+N43</f>
        <v>25884.337499999998</v>
      </c>
      <c r="Q43" s="63">
        <f>$F43*Outputs_Internal!K$64/12+N43*'MARA Prices'!$F$5</f>
        <v>5061.8332654457827</v>
      </c>
      <c r="R43" s="63">
        <f>$F43*Outputs_Internal!L$64/12+N43*'MARA Prices'!$F$6</f>
        <v>17357.504234554217</v>
      </c>
      <c r="S43" s="63">
        <f>N43*'MARA Prices'!$F$4</f>
        <v>3465</v>
      </c>
      <c r="T43" s="63">
        <f>$F43*Outputs_Internal!M$64/12</f>
        <v>0</v>
      </c>
      <c r="U43" s="63">
        <f>$F43*Outputs_Internal!N$64/12</f>
        <v>0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875.00000000000011</v>
      </c>
      <c r="AF43" s="63">
        <f>'MARA Prices'!J$21*$G43</f>
        <v>3456.25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4331.25</v>
      </c>
      <c r="P44" s="63">
        <f>$F44*Outputs_Internal!$D$64/12+N44</f>
        <v>25884.337499999998</v>
      </c>
      <c r="Q44" s="63">
        <f>$F44*Outputs_Internal!K$64/12+N44*'MARA Prices'!$F$5</f>
        <v>5061.8332654457827</v>
      </c>
      <c r="R44" s="63">
        <f>$F44*Outputs_Internal!L$64/12+N44*'MARA Prices'!$F$6</f>
        <v>17357.504234554217</v>
      </c>
      <c r="S44" s="63">
        <f>N44*'MARA Prices'!$F$4</f>
        <v>3465</v>
      </c>
      <c r="T44" s="63">
        <f>$F44*Outputs_Internal!M$64/12</f>
        <v>0</v>
      </c>
      <c r="U44" s="63">
        <f>$F44*Outputs_Internal!N$64/12</f>
        <v>0</v>
      </c>
      <c r="W44" s="63">
        <f t="shared" si="7"/>
        <v>77653.012499999997</v>
      </c>
      <c r="X44" s="63">
        <f t="shared" si="8"/>
        <v>15185.499796337348</v>
      </c>
      <c r="Y44" s="63">
        <f t="shared" si="9"/>
        <v>52072.512703662651</v>
      </c>
      <c r="Z44" s="63">
        <f t="shared" si="10"/>
        <v>0</v>
      </c>
      <c r="AA44" s="63">
        <f t="shared" si="11"/>
        <v>10395</v>
      </c>
      <c r="AD44" s="63">
        <f>'MARA Prices'!H$21*$G44</f>
        <v>0</v>
      </c>
      <c r="AE44" s="63">
        <f>'MARA Prices'!I$21*$G44</f>
        <v>875.00000000000011</v>
      </c>
      <c r="AF44" s="63">
        <f>'MARA Prices'!J$21*$G44</f>
        <v>3456.25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4547.8125</v>
      </c>
      <c r="P45" s="63">
        <f>$F45*Outputs_Internal!$D$64/12+N45</f>
        <v>26100.899999999998</v>
      </c>
      <c r="Q45" s="63">
        <f>$F45*Outputs_Internal!K$64/12+N45*'MARA Prices'!$F$5</f>
        <v>5083.4895154457827</v>
      </c>
      <c r="R45" s="63">
        <f>$F45*Outputs_Internal!L$64/12+N45*'MARA Prices'!$F$6</f>
        <v>17379.160484554217</v>
      </c>
      <c r="S45" s="63">
        <f>N45*'MARA Prices'!$F$4</f>
        <v>3638.25</v>
      </c>
      <c r="T45" s="63">
        <f>$F45*Outputs_Internal!M$64/12</f>
        <v>0</v>
      </c>
      <c r="U45" s="63">
        <f>$F45*Outputs_Internal!N$64/12</f>
        <v>0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918.75000000000011</v>
      </c>
      <c r="AF45" s="63">
        <f>'MARA Prices'!J$21*$G45</f>
        <v>3629.0625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4547.8125</v>
      </c>
      <c r="P46" s="63">
        <f>$F46*Outputs_Internal!$D$64/12+N46</f>
        <v>26100.899999999998</v>
      </c>
      <c r="Q46" s="63">
        <f>$F46*Outputs_Internal!K$64/12+N46*'MARA Prices'!$F$5</f>
        <v>5083.4895154457827</v>
      </c>
      <c r="R46" s="63">
        <f>$F46*Outputs_Internal!L$64/12+N46*'MARA Prices'!$F$6</f>
        <v>17379.160484554217</v>
      </c>
      <c r="S46" s="63">
        <f>N46*'MARA Prices'!$F$4</f>
        <v>3638.25</v>
      </c>
      <c r="T46" s="63">
        <f>$F46*Outputs_Internal!M$64/12</f>
        <v>0</v>
      </c>
      <c r="U46" s="63">
        <f>$F46*Outputs_Internal!N$64/12</f>
        <v>0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918.75000000000011</v>
      </c>
      <c r="AF46" s="63">
        <f>'MARA Prices'!J$21*$G46</f>
        <v>3629.0625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4547.8125</v>
      </c>
      <c r="P47" s="63">
        <f>$F47*Outputs_Internal!$D$64/12+N47</f>
        <v>26100.899999999998</v>
      </c>
      <c r="Q47" s="63">
        <f>$F47*Outputs_Internal!K$64/12+N47*'MARA Prices'!$F$5</f>
        <v>5083.4895154457827</v>
      </c>
      <c r="R47" s="63">
        <f>$F47*Outputs_Internal!L$64/12+N47*'MARA Prices'!$F$6</f>
        <v>17379.160484554217</v>
      </c>
      <c r="S47" s="63">
        <f>N47*'MARA Prices'!$F$4</f>
        <v>3638.25</v>
      </c>
      <c r="T47" s="63">
        <f>$F47*Outputs_Internal!M$64/12</f>
        <v>0</v>
      </c>
      <c r="U47" s="63">
        <f>$F47*Outputs_Internal!N$64/12</f>
        <v>0</v>
      </c>
      <c r="W47" s="63">
        <f t="shared" si="7"/>
        <v>78302.7</v>
      </c>
      <c r="X47" s="63">
        <f t="shared" si="8"/>
        <v>15250.468546337348</v>
      </c>
      <c r="Y47" s="63">
        <f t="shared" si="9"/>
        <v>52137.481453662651</v>
      </c>
      <c r="Z47" s="63">
        <f t="shared" si="10"/>
        <v>0</v>
      </c>
      <c r="AA47" s="63">
        <f t="shared" si="11"/>
        <v>10914.75</v>
      </c>
      <c r="AD47" s="63">
        <f>'MARA Prices'!H$21*$G47</f>
        <v>0</v>
      </c>
      <c r="AE47" s="63">
        <f>'MARA Prices'!I$21*$G47</f>
        <v>918.75000000000011</v>
      </c>
      <c r="AF47" s="63">
        <f>'MARA Prices'!J$21*$G47</f>
        <v>3629.0625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4547.8125</v>
      </c>
      <c r="P48" s="63">
        <f>$F48*Outputs_Internal!$D$64/12+N48</f>
        <v>26100.899999999998</v>
      </c>
      <c r="Q48" s="63">
        <f>$F48*Outputs_Internal!K$64/12+N48*'MARA Prices'!$F$5</f>
        <v>5083.4895154457827</v>
      </c>
      <c r="R48" s="63">
        <f>$F48*Outputs_Internal!L$64/12+N48*'MARA Prices'!$F$6</f>
        <v>17379.160484554217</v>
      </c>
      <c r="S48" s="63">
        <f>N48*'MARA Prices'!$F$4</f>
        <v>3638.25</v>
      </c>
      <c r="T48" s="63">
        <f>$F48*Outputs_Internal!M$64/12</f>
        <v>0</v>
      </c>
      <c r="U48" s="63">
        <f>$F48*Outputs_Internal!N$64/12</f>
        <v>0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918.75000000000011</v>
      </c>
      <c r="AF48" s="63">
        <f>'MARA Prices'!J$21*$G48</f>
        <v>3629.0625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4547.8125</v>
      </c>
      <c r="P49" s="63">
        <f>$F49*Outputs_Internal!$D$64/12+N49</f>
        <v>26100.899999999998</v>
      </c>
      <c r="Q49" s="63">
        <f>$F49*Outputs_Internal!K$64/12+N49*'MARA Prices'!$F$5</f>
        <v>5083.4895154457827</v>
      </c>
      <c r="R49" s="63">
        <f>$F49*Outputs_Internal!L$64/12+N49*'MARA Prices'!$F$6</f>
        <v>17379.160484554217</v>
      </c>
      <c r="S49" s="63">
        <f>N49*'MARA Prices'!$F$4</f>
        <v>3638.25</v>
      </c>
      <c r="T49" s="63">
        <f>$F49*Outputs_Internal!M$64/12</f>
        <v>0</v>
      </c>
      <c r="U49" s="63">
        <f>$F49*Outputs_Internal!N$64/12</f>
        <v>0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918.75000000000011</v>
      </c>
      <c r="AF49" s="63">
        <f>'MARA Prices'!J$21*$G49</f>
        <v>3629.0625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4547.8125</v>
      </c>
      <c r="P50" s="63">
        <f>$F50*Outputs_Internal!$D$64/12+N50</f>
        <v>26100.899999999998</v>
      </c>
      <c r="Q50" s="63">
        <f>$F50*Outputs_Internal!K$64/12+N50*'MARA Prices'!$F$5</f>
        <v>5083.4895154457827</v>
      </c>
      <c r="R50" s="63">
        <f>$F50*Outputs_Internal!L$64/12+N50*'MARA Prices'!$F$6</f>
        <v>17379.160484554217</v>
      </c>
      <c r="S50" s="63">
        <f>N50*'MARA Prices'!$F$4</f>
        <v>3638.25</v>
      </c>
      <c r="T50" s="63">
        <f>$F50*Outputs_Internal!M$64/12</f>
        <v>0</v>
      </c>
      <c r="U50" s="63">
        <f>$F50*Outputs_Internal!N$64/12</f>
        <v>0</v>
      </c>
      <c r="W50" s="63">
        <f t="shared" si="7"/>
        <v>78302.7</v>
      </c>
      <c r="X50" s="63">
        <f t="shared" si="8"/>
        <v>15250.468546337348</v>
      </c>
      <c r="Y50" s="63">
        <f t="shared" si="9"/>
        <v>52137.481453662651</v>
      </c>
      <c r="Z50" s="63">
        <f t="shared" si="10"/>
        <v>0</v>
      </c>
      <c r="AA50" s="63">
        <f t="shared" si="11"/>
        <v>10914.75</v>
      </c>
      <c r="AD50" s="63">
        <f>'MARA Prices'!H$21*$G50</f>
        <v>0</v>
      </c>
      <c r="AE50" s="63">
        <f>'MARA Prices'!I$21*$G50</f>
        <v>918.75000000000011</v>
      </c>
      <c r="AF50" s="63">
        <f>'MARA Prices'!J$21*$G50</f>
        <v>3629.0625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4547.8125</v>
      </c>
      <c r="P51" s="63">
        <f>$F51*Outputs_Internal!$D$64/12+N51</f>
        <v>26100.899999999998</v>
      </c>
      <c r="Q51" s="63">
        <f>$F51*Outputs_Internal!K$64/12+N51*'MARA Prices'!$F$5</f>
        <v>5083.4895154457827</v>
      </c>
      <c r="R51" s="63">
        <f>$F51*Outputs_Internal!L$64/12+N51*'MARA Prices'!$F$6</f>
        <v>17379.160484554217</v>
      </c>
      <c r="S51" s="63">
        <f>N51*'MARA Prices'!$F$4</f>
        <v>3638.25</v>
      </c>
      <c r="T51" s="63">
        <f>$F51*Outputs_Internal!M$64/12</f>
        <v>0</v>
      </c>
      <c r="U51" s="63">
        <f>$F51*Outputs_Internal!N$64/12</f>
        <v>0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918.75000000000011</v>
      </c>
      <c r="AF51" s="63">
        <f>'MARA Prices'!J$21*$G51</f>
        <v>3629.0625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4547.8125</v>
      </c>
      <c r="P52" s="63">
        <f>$F52*Outputs_Internal!$D$64/12+N52</f>
        <v>26100.899999999998</v>
      </c>
      <c r="Q52" s="63">
        <f>$F52*Outputs_Internal!K$64/12+N52*'MARA Prices'!$F$5</f>
        <v>5083.4895154457827</v>
      </c>
      <c r="R52" s="63">
        <f>$F52*Outputs_Internal!L$64/12+N52*'MARA Prices'!$F$6</f>
        <v>17379.160484554217</v>
      </c>
      <c r="S52" s="63">
        <f>N52*'MARA Prices'!$F$4</f>
        <v>3638.25</v>
      </c>
      <c r="T52" s="63">
        <f>$F52*Outputs_Internal!M$64/12</f>
        <v>0</v>
      </c>
      <c r="U52" s="63">
        <f>$F52*Outputs_Internal!N$64/12</f>
        <v>0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918.75000000000011</v>
      </c>
      <c r="AF52" s="63">
        <f>'MARA Prices'!J$21*$G52</f>
        <v>3629.0625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4547.8125</v>
      </c>
      <c r="P53" s="63">
        <f>$F53*Outputs_Internal!$D$64/12+N53</f>
        <v>26100.899999999998</v>
      </c>
      <c r="Q53" s="63">
        <f>$F53*Outputs_Internal!K$64/12+N53*'MARA Prices'!$F$5</f>
        <v>5083.4895154457827</v>
      </c>
      <c r="R53" s="63">
        <f>$F53*Outputs_Internal!L$64/12+N53*'MARA Prices'!$F$6</f>
        <v>17379.160484554217</v>
      </c>
      <c r="S53" s="63">
        <f>N53*'MARA Prices'!$F$4</f>
        <v>3638.25</v>
      </c>
      <c r="T53" s="63">
        <f>$F53*Outputs_Internal!M$64/12</f>
        <v>0</v>
      </c>
      <c r="U53" s="63">
        <f>$F53*Outputs_Internal!N$64/12</f>
        <v>0</v>
      </c>
      <c r="W53" s="63">
        <f t="shared" si="7"/>
        <v>78302.7</v>
      </c>
      <c r="X53" s="63">
        <f t="shared" si="8"/>
        <v>15250.468546337348</v>
      </c>
      <c r="Y53" s="63">
        <f t="shared" si="9"/>
        <v>52137.481453662651</v>
      </c>
      <c r="Z53" s="63">
        <f t="shared" si="10"/>
        <v>0</v>
      </c>
      <c r="AA53" s="63">
        <f t="shared" si="11"/>
        <v>10914.75</v>
      </c>
      <c r="AD53" s="63">
        <f>'MARA Prices'!H$21*$G53</f>
        <v>0</v>
      </c>
      <c r="AE53" s="63">
        <f>'MARA Prices'!I$21*$G53</f>
        <v>918.75000000000011</v>
      </c>
      <c r="AF53" s="63">
        <f>'MARA Prices'!J$21*$G53</f>
        <v>3629.0625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4547.8125</v>
      </c>
      <c r="P54" s="63">
        <f>$F54*Outputs_Internal!$D$64/12+N54</f>
        <v>26100.899999999998</v>
      </c>
      <c r="Q54" s="63">
        <f>$F54*Outputs_Internal!K$64/12+N54*'MARA Prices'!$F$5</f>
        <v>5083.4895154457827</v>
      </c>
      <c r="R54" s="63">
        <f>$F54*Outputs_Internal!L$64/12+N54*'MARA Prices'!$F$6</f>
        <v>17379.160484554217</v>
      </c>
      <c r="S54" s="63">
        <f>N54*'MARA Prices'!$F$4</f>
        <v>3638.25</v>
      </c>
      <c r="T54" s="63">
        <f>$F54*Outputs_Internal!M$64/12</f>
        <v>0</v>
      </c>
      <c r="U54" s="63">
        <f>$F54*Outputs_Internal!N$64/12</f>
        <v>0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918.75000000000011</v>
      </c>
      <c r="AF54" s="63">
        <f>'MARA Prices'!J$21*$G54</f>
        <v>3629.0625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4547.8125</v>
      </c>
      <c r="P55" s="63">
        <f>$F55*Outputs_Internal!$D$64/12+N55</f>
        <v>26100.899999999998</v>
      </c>
      <c r="Q55" s="63">
        <f>$F55*Outputs_Internal!K$64/12+N55*'MARA Prices'!$F$5</f>
        <v>5083.4895154457827</v>
      </c>
      <c r="R55" s="63">
        <f>$F55*Outputs_Internal!L$64/12+N55*'MARA Prices'!$F$6</f>
        <v>17379.160484554217</v>
      </c>
      <c r="S55" s="63">
        <f>N55*'MARA Prices'!$F$4</f>
        <v>3638.25</v>
      </c>
      <c r="T55" s="63">
        <f>$F55*Outputs_Internal!M$64/12</f>
        <v>0</v>
      </c>
      <c r="U55" s="63">
        <f>$F55*Outputs_Internal!N$64/12</f>
        <v>0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918.75000000000011</v>
      </c>
      <c r="AF55" s="63">
        <f>'MARA Prices'!J$21*$G55</f>
        <v>3629.0625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4547.8125</v>
      </c>
      <c r="P56" s="63">
        <f>$F56*Outputs_Internal!$D$64/12+N56</f>
        <v>26100.899999999998</v>
      </c>
      <c r="Q56" s="63">
        <f>$F56*Outputs_Internal!K$64/12+N56*'MARA Prices'!$F$5</f>
        <v>5083.4895154457827</v>
      </c>
      <c r="R56" s="63">
        <f>$F56*Outputs_Internal!L$64/12+N56*'MARA Prices'!$F$6</f>
        <v>17379.160484554217</v>
      </c>
      <c r="S56" s="63">
        <f>N56*'MARA Prices'!$F$4</f>
        <v>3638.25</v>
      </c>
      <c r="T56" s="63">
        <f>$F56*Outputs_Internal!M$64/12</f>
        <v>0</v>
      </c>
      <c r="U56" s="63">
        <f>$F56*Outputs_Internal!N$64/12</f>
        <v>0</v>
      </c>
      <c r="W56" s="63">
        <f t="shared" si="7"/>
        <v>78302.7</v>
      </c>
      <c r="X56" s="63">
        <f t="shared" si="8"/>
        <v>15250.468546337348</v>
      </c>
      <c r="Y56" s="63">
        <f t="shared" si="9"/>
        <v>52137.481453662651</v>
      </c>
      <c r="Z56" s="63">
        <f t="shared" si="10"/>
        <v>0</v>
      </c>
      <c r="AA56" s="63">
        <f t="shared" si="11"/>
        <v>10914.75</v>
      </c>
      <c r="AD56" s="63">
        <f>'MARA Prices'!H$21*$G56</f>
        <v>0</v>
      </c>
      <c r="AE56" s="63">
        <f>'MARA Prices'!I$21*$G56</f>
        <v>918.75000000000011</v>
      </c>
      <c r="AF56" s="63">
        <f>'MARA Prices'!J$21*$G56</f>
        <v>3629.0625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4775.2031250000009</v>
      </c>
      <c r="P57" s="63">
        <f>$F57*Outputs_Internal!$D$64/12+N57</f>
        <v>26328.290624999998</v>
      </c>
      <c r="Q57" s="63">
        <f>$F57*Outputs_Internal!K$64/12+N57*'MARA Prices'!$F$5</f>
        <v>5106.2285779457825</v>
      </c>
      <c r="R57" s="63">
        <f>$F57*Outputs_Internal!L$64/12+N57*'MARA Prices'!$F$6</f>
        <v>17401.899547054218</v>
      </c>
      <c r="S57" s="63">
        <f>N57*'MARA Prices'!$F$4</f>
        <v>3820.1625000000008</v>
      </c>
      <c r="T57" s="63">
        <f>$F57*Outputs_Internal!M$64/12</f>
        <v>0</v>
      </c>
      <c r="U57" s="63">
        <f>$F57*Outputs_Internal!N$64/12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964.68750000000011</v>
      </c>
      <c r="AF57" s="63">
        <f>'MARA Prices'!J$21*$G57</f>
        <v>3810.5156250000005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4775.2031250000009</v>
      </c>
      <c r="P58" s="63">
        <f>$F58*Outputs_Internal!$D$64/12+N58</f>
        <v>26328.290624999998</v>
      </c>
      <c r="Q58" s="63">
        <f>$F58*Outputs_Internal!K$64/12+N58*'MARA Prices'!$F$5</f>
        <v>5106.2285779457825</v>
      </c>
      <c r="R58" s="63">
        <f>$F58*Outputs_Internal!L$64/12+N58*'MARA Prices'!$F$6</f>
        <v>17401.899547054218</v>
      </c>
      <c r="S58" s="63">
        <f>N58*'MARA Prices'!$F$4</f>
        <v>3820.1625000000008</v>
      </c>
      <c r="T58" s="63">
        <f>$F58*Outputs_Internal!M$64/12</f>
        <v>0</v>
      </c>
      <c r="U58" s="63">
        <f>$F58*Outputs_Internal!N$64/12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964.68750000000011</v>
      </c>
      <c r="AF58" s="63">
        <f>'MARA Prices'!J$21*$G58</f>
        <v>3810.5156250000005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4775.2031250000009</v>
      </c>
      <c r="P59" s="63">
        <f>$F59*Outputs_Internal!$D$64/12+N59</f>
        <v>26328.290624999998</v>
      </c>
      <c r="Q59" s="63">
        <f>$F59*Outputs_Internal!K$64/12+N59*'MARA Prices'!$F$5</f>
        <v>5106.2285779457825</v>
      </c>
      <c r="R59" s="63">
        <f>$F59*Outputs_Internal!L$64/12+N59*'MARA Prices'!$F$6</f>
        <v>17401.899547054218</v>
      </c>
      <c r="S59" s="63">
        <f>N59*'MARA Prices'!$F$4</f>
        <v>3820.1625000000008</v>
      </c>
      <c r="T59" s="63">
        <f>$F59*Outputs_Internal!M$64/12</f>
        <v>0</v>
      </c>
      <c r="U59" s="63">
        <f>$F59*Outputs_Internal!N$64/12</f>
        <v>0</v>
      </c>
      <c r="W59" s="63">
        <f t="shared" si="7"/>
        <v>78984.871874999997</v>
      </c>
      <c r="X59" s="63">
        <f t="shared" si="8"/>
        <v>15318.685733837348</v>
      </c>
      <c r="Y59" s="63">
        <f t="shared" si="9"/>
        <v>52205.698641162657</v>
      </c>
      <c r="Z59" s="63">
        <f t="shared" si="10"/>
        <v>0</v>
      </c>
      <c r="AA59" s="63">
        <f t="shared" si="11"/>
        <v>11460.487500000003</v>
      </c>
      <c r="AD59" s="63">
        <f>'MARA Prices'!H$21*$G59</f>
        <v>0</v>
      </c>
      <c r="AE59" s="63">
        <f>'MARA Prices'!I$21*$G59</f>
        <v>964.68750000000011</v>
      </c>
      <c r="AF59" s="63">
        <f>'MARA Prices'!J$21*$G59</f>
        <v>3810.5156250000005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4775.2031250000009</v>
      </c>
      <c r="P60" s="63">
        <f>$F60*Outputs_Internal!$D$64/12+N60</f>
        <v>26328.290624999998</v>
      </c>
      <c r="Q60" s="63">
        <f>$F60*Outputs_Internal!K$64/12+N60*'MARA Prices'!$F$5</f>
        <v>5106.2285779457825</v>
      </c>
      <c r="R60" s="63">
        <f>$F60*Outputs_Internal!L$64/12+N60*'MARA Prices'!$F$6</f>
        <v>17401.899547054218</v>
      </c>
      <c r="S60" s="63">
        <f>N60*'MARA Prices'!$F$4</f>
        <v>3820.1625000000008</v>
      </c>
      <c r="T60" s="63">
        <f>$F60*Outputs_Internal!M$64/12</f>
        <v>0</v>
      </c>
      <c r="U60" s="63">
        <f>$F60*Outputs_Internal!N$64/12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964.68750000000011</v>
      </c>
      <c r="AF60" s="63">
        <f>'MARA Prices'!J$21*$G60</f>
        <v>3810.5156250000005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4775.2031250000009</v>
      </c>
      <c r="P61" s="63">
        <f>$F61*Outputs_Internal!$D$64/12+N61</f>
        <v>26328.290624999998</v>
      </c>
      <c r="Q61" s="63">
        <f>$F61*Outputs_Internal!K$64/12+N61*'MARA Prices'!$F$5</f>
        <v>5106.2285779457825</v>
      </c>
      <c r="R61" s="63">
        <f>$F61*Outputs_Internal!L$64/12+N61*'MARA Prices'!$F$6</f>
        <v>17401.899547054218</v>
      </c>
      <c r="S61" s="63">
        <f>N61*'MARA Prices'!$F$4</f>
        <v>3820.1625000000008</v>
      </c>
      <c r="T61" s="63">
        <f>$F61*Outputs_Internal!M$64/12</f>
        <v>0</v>
      </c>
      <c r="U61" s="63">
        <f>$F61*Outputs_Internal!N$64/12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964.68750000000011</v>
      </c>
      <c r="AF61" s="63">
        <f>'MARA Prices'!J$21*$G61</f>
        <v>3810.5156250000005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4775.2031250000009</v>
      </c>
      <c r="P62" s="63">
        <f>$F62*Outputs_Internal!$D$64/12+N62</f>
        <v>26328.290624999998</v>
      </c>
      <c r="Q62" s="63">
        <f>$F62*Outputs_Internal!K$64/12+N62*'MARA Prices'!$F$5</f>
        <v>5106.2285779457825</v>
      </c>
      <c r="R62" s="63">
        <f>$F62*Outputs_Internal!L$64/12+N62*'MARA Prices'!$F$6</f>
        <v>17401.899547054218</v>
      </c>
      <c r="S62" s="63">
        <f>N62*'MARA Prices'!$F$4</f>
        <v>3820.1625000000008</v>
      </c>
      <c r="T62" s="63">
        <f>$F62*Outputs_Internal!M$64/12</f>
        <v>0</v>
      </c>
      <c r="U62" s="63">
        <f>$F62*Outputs_Internal!N$64/12</f>
        <v>0</v>
      </c>
      <c r="W62" s="63">
        <f t="shared" si="7"/>
        <v>78984.871874999997</v>
      </c>
      <c r="X62" s="63">
        <f t="shared" si="8"/>
        <v>15318.685733837348</v>
      </c>
      <c r="Y62" s="63">
        <f t="shared" si="9"/>
        <v>52205.698641162657</v>
      </c>
      <c r="Z62" s="63">
        <f t="shared" si="10"/>
        <v>0</v>
      </c>
      <c r="AA62" s="63">
        <f t="shared" si="11"/>
        <v>11460.487500000003</v>
      </c>
      <c r="AD62" s="63">
        <f>'MARA Prices'!H$21*$G62</f>
        <v>0</v>
      </c>
      <c r="AE62" s="63">
        <f>'MARA Prices'!I$21*$G62</f>
        <v>964.68750000000011</v>
      </c>
      <c r="AF62" s="63">
        <f>'MARA Prices'!J$21*$G62</f>
        <v>3810.5156250000005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IF(AND(Inputs!D7="Y",Inputs!D6="Y"), 0, IF(Inputs!D6="Y", SUM(Prices!$C$3, IF(Inputs!D$8 ="Y", Prices!$C$4, 0)), IF(Inputs!D6="N", Prices!$D$3, 0)))*Inputs!D11</f>
        <v>0</v>
      </c>
      <c r="E4" s="1">
        <f>IF(AND(Inputs!E7="Y",Inputs!E6="Y"), 0, IF(Inputs!E6="Y", SUM(Prices!$C$3, IF(Inputs!E$8 ="Y", Prices!$C$4, 0)), IF(Inputs!E6="N", Prices!$D$3, 0)))*Inputs!E11</f>
        <v>5000</v>
      </c>
      <c r="F4" s="1">
        <f>IF(AND(Inputs!F7="Y",Inputs!F6="Y"), 0, IF(Inputs!F6="Y", SUM(Prices!$C$3, IF(Inputs!F$8 ="Y", Prices!$C$4, 0)), IF(Inputs!F6="N", Prices!$D$3, 0)))*Inputs!F11</f>
        <v>20000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IF(Inputs!D$6="N",MIN(MAX(Inputs!D$10-$K6,0),$L6-$K6),0)</f>
        <v>0</v>
      </c>
      <c r="E6" s="5">
        <f>IF(Inputs!E$6="N",MIN(MAX(Inputs!E$10-$K6,0),$L6-$K6),0)</f>
        <v>0</v>
      </c>
      <c r="F6" s="5">
        <f>IF(Inputs!F$6="N",MIN(MAX(Inputs!F$10-$K6,0),$L6-$K6),0)</f>
        <v>25000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50000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150000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0.40444444444444444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225000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IF(Inputs!D6="Y", Prices!$C$6, IF(Inputs!D6="N", Prices!$D$6, 0))</f>
        <v>18000</v>
      </c>
      <c r="E14" s="16">
        <f>IF(Inputs!E6="Y", Prices!$C$6, IF(Inputs!E6="N", Prices!$D$6, 0))</f>
        <v>18000</v>
      </c>
      <c r="F14" s="16">
        <f>IF(Inputs!F6="Y", Prices!$C$6, IF(Inputs!F6="N", Prices!$D$6, 0))</f>
        <v>33000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25">
      <c r="C15" s="17" t="s">
        <v>20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2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25">
      <c r="C17" s="17" t="s">
        <v>21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2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25">
      <c r="C19" s="17" t="s">
        <v>10</v>
      </c>
      <c r="D19" s="18">
        <f xml:space="preserve"> IF(Inputs!D17="Y", Prices!$C14, 0)</f>
        <v>0</v>
      </c>
      <c r="E19" s="18">
        <f xml:space="preserve"> IF(Inputs!E17="Y", Prices!$C14, 0)</f>
        <v>0</v>
      </c>
      <c r="F19" s="18">
        <f xml:space="preserve"> IF(Inputs!F17="Y", Prices!$C14, 0)</f>
        <v>0</v>
      </c>
      <c r="G19" s="18">
        <f xml:space="preserve"> IF(Inputs!G17="Y", Prices!$C14, 0)</f>
        <v>0</v>
      </c>
      <c r="H19" s="18">
        <f xml:space="preserve"> IF(Inputs!H17="Y", Prices!$C14, 0)</f>
        <v>0</v>
      </c>
    </row>
    <row r="20" spans="2:8" x14ac:dyDescent="0.25">
      <c r="C20" s="17" t="s">
        <v>77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25">
      <c r="C21" s="17" t="s">
        <v>154</v>
      </c>
      <c r="D21" s="18">
        <f xml:space="preserve"> IF(OR(Inputs!D21="Y",Inputs!D$23="Y"), Prices!$C16, 0)</f>
        <v>0</v>
      </c>
      <c r="E21" s="18">
        <f xml:space="preserve"> IF(OR(Inputs!E21="Y",Inputs!E$23="Y"), Prices!$C16, 0)</f>
        <v>0</v>
      </c>
      <c r="F21" s="18">
        <f xml:space="preserve"> IF(OR(Inputs!F21="Y",Inputs!F$23="Y"), Prices!$C16, 0)</f>
        <v>4200</v>
      </c>
      <c r="G21" s="18">
        <f xml:space="preserve"> IF(OR(Inputs!G21="Y",Inputs!G$23="Y"), Prices!$C16, 0)</f>
        <v>0</v>
      </c>
      <c r="H21" s="18">
        <f xml:space="preserve"> IF(OR(Inputs!H21="Y",Inputs!H$23="Y"), Prices!$C16, 0)</f>
        <v>0</v>
      </c>
    </row>
    <row r="22" spans="2:8" x14ac:dyDescent="0.25">
      <c r="C22" s="19" t="s">
        <v>11</v>
      </c>
      <c r="D22" s="20">
        <f xml:space="preserve"> IF(OR(Inputs!D19="Y",Inputs!D$24="Y",Inputs!D$25="Y"), Prices!$C17, 0)</f>
        <v>0</v>
      </c>
      <c r="E22" s="20">
        <f xml:space="preserve"> IF(OR(Inputs!E19="Y",Inputs!E$24="Y",Inputs!E$25="Y"), Prices!$C17, 0)</f>
        <v>12000</v>
      </c>
      <c r="F22" s="20">
        <f xml:space="preserve"> IF(OR(Inputs!F19="Y",Inputs!F$24="Y",Inputs!F$25="Y"), Prices!$C17, 0)</f>
        <v>0</v>
      </c>
      <c r="G22" s="20">
        <f xml:space="preserve"> IF(OR(Inputs!G19="Y",Inputs!G$24="Y",Inputs!G$25="Y"), Prices!$C17, 0)</f>
        <v>0</v>
      </c>
      <c r="H22" s="20">
        <f xml:space="preserve"> IF(OR(Inputs!H19="Y",Inputs!H$24="Y",Inputs!H$25="Y"), Prices!$C17, 0)</f>
        <v>0</v>
      </c>
    </row>
    <row r="23" spans="2:8" x14ac:dyDescent="0.25">
      <c r="C23" s="19" t="s">
        <v>149</v>
      </c>
      <c r="D23" s="20">
        <f xml:space="preserve"> IF(OR(Inputs!D20="Y",Inputs!D$24="Y",Inputs!D$25="Y",Inputs!D$28="Y"), Prices!$C18, 0)</f>
        <v>0</v>
      </c>
      <c r="E23" s="20">
        <f xml:space="preserve"> IF(OR(Inputs!E20="Y",Inputs!E$24="Y",Inputs!E$25="Y",Inputs!E$28="Y"), Prices!$C18, 0)</f>
        <v>12000</v>
      </c>
      <c r="F23" s="20">
        <f xml:space="preserve"> IF(OR(Inputs!F20="Y",Inputs!F$24="Y",Inputs!F$25="Y",Inputs!F$28="Y"), Prices!$C18, 0)</f>
        <v>12000</v>
      </c>
      <c r="G23" s="20">
        <f xml:space="preserve"> IF(OR(Inputs!G20="Y",Inputs!G$24="Y",Inputs!G$25="Y",Inputs!G$28="Y"), Prices!$C18, 0)</f>
        <v>0</v>
      </c>
      <c r="H23" s="20">
        <f xml:space="preserve"> IF(OR(Inputs!H20="Y",Inputs!H$24="Y",Inputs!H$25="Y",Inputs!H$28="Y"), Prices!$C18, 0)</f>
        <v>0</v>
      </c>
    </row>
    <row r="24" spans="2:8" x14ac:dyDescent="0.25">
      <c r="C24" s="19" t="s">
        <v>155</v>
      </c>
      <c r="D24" s="20">
        <f>IF(Inputs!D$6="N",0, IF(OR(Inputs!D21="Y",Inputs!D$24="Y",Inputs!D$25="Y"), Prices!$C19, 0))</f>
        <v>0</v>
      </c>
      <c r="E24" s="20">
        <f>IF(Inputs!E$6="N",0, IF(OR(Inputs!E21="Y",Inputs!E$24="Y",Inputs!E$25="Y"), Prices!$C19, 0))</f>
        <v>1800</v>
      </c>
      <c r="F24" s="20">
        <f>IF(Inputs!F$6="N",0, IF(OR(Inputs!F21="Y",Inputs!F$24="Y",Inputs!F$25="Y"), Prices!$C19, 0))</f>
        <v>0</v>
      </c>
      <c r="G24" s="20">
        <f>IF(Inputs!G$6="N",0, IF(OR(Inputs!G21="Y",Inputs!G$24="Y",Inputs!G$25="Y"), Prices!$C19, 0))</f>
        <v>0</v>
      </c>
      <c r="H24" s="20">
        <f>IF(Inputs!H$6="N",0, IF(OR(Inputs!H21="Y",Inputs!H$24="Y",Inputs!H$25="Y"), Prices!$C19, 0))</f>
        <v>0</v>
      </c>
    </row>
    <row r="26" spans="2:8" x14ac:dyDescent="0.25">
      <c r="B26" s="6" t="s">
        <v>49</v>
      </c>
    </row>
    <row r="27" spans="2:8" x14ac:dyDescent="0.25">
      <c r="C27" s="15" t="s">
        <v>2</v>
      </c>
      <c r="D27" s="16">
        <f>IF(Inputs!D$6="Y", 0, IF(D$11 = "", "", PRODUCT(D$11, Prices!$E$6)))*D$10</f>
        <v>0</v>
      </c>
      <c r="E27" s="16">
        <f>IF(Inputs!E$6="Y", 0, IF(E$11 = "", "", PRODUCT(E$11, Prices!$E$6)))*E$10</f>
        <v>0</v>
      </c>
      <c r="F27" s="16">
        <f>IF(Inputs!F$6="Y", 0, IF(F$11 = "", "", PRODUCT(F$11, Prices!$E$6)))*F$10</f>
        <v>36400</v>
      </c>
      <c r="G27" s="16">
        <f>IF(Inputs!G$6="Y", 0, IF(G$11 = "", "", PRODUCT(G$11, Prices!$E$6)))*G$10</f>
        <v>0</v>
      </c>
      <c r="H27" s="16">
        <f>IF(Inputs!H$6="Y", 0, IF(H$11 = "", "", PRODUCT(H$11, Prices!$E$6)))*H$10</f>
        <v>0</v>
      </c>
    </row>
    <row r="28" spans="2:8" x14ac:dyDescent="0.25">
      <c r="C28" s="17" t="s">
        <v>20</v>
      </c>
      <c r="D28" s="18">
        <f>IF(OR(Inputs!D$6="Y", D$11 = 0), 0, IF(OR(Inputs!D13="Y",Inputs!D$23="Y"),PRODUCT(D$11, Prices!$E10),0))*D$10</f>
        <v>0</v>
      </c>
      <c r="E28" s="18">
        <f>IF(OR(Inputs!E$6="Y", E$11 = 0), 0, IF(OR(Inputs!E13="Y",Inputs!E$23="Y"),PRODUCT(E$11, Prices!$E10),0))*E$10</f>
        <v>0</v>
      </c>
      <c r="F28" s="18">
        <f>IF(OR(Inputs!F$6="Y", F$11 = 0), 0, IF(OR(Inputs!F13="Y",Inputs!F$23="Y"),PRODUCT(F$11, Prices!$E10),0))*F$10</f>
        <v>0</v>
      </c>
      <c r="G28" s="18">
        <f>IF(OR(Inputs!G$6="Y", G$11 = 0), 0, IF(OR(Inputs!G13="Y",Inputs!G$23="Y"),PRODUCT(G$11, Prices!$E10),0))*G$10</f>
        <v>0</v>
      </c>
      <c r="H28" s="18">
        <f>IF(OR(Inputs!H$6="Y", H$11 = 0), 0, IF(OR(Inputs!H13="Y",Inputs!H$23="Y"),PRODUCT(H$11, Prices!$E10),0))*H$10</f>
        <v>0</v>
      </c>
    </row>
    <row r="29" spans="2:8" x14ac:dyDescent="0.25">
      <c r="C29" s="17" t="s">
        <v>8</v>
      </c>
      <c r="D29" s="18">
        <f>IF(OR(Inputs!D$6="Y", D$11 = 0), 0, IF(OR(Inputs!D14="Y",Inputs!D$23="Y"),PRODUCT(D$11, Prices!$E11),0))*D$10</f>
        <v>0</v>
      </c>
      <c r="E29" s="18">
        <f>IF(OR(Inputs!E$6="Y", E$11 = 0), 0, IF(OR(Inputs!E14="Y",Inputs!E$23="Y"),PRODUCT(E$11, Prices!$E11),0))*E$10</f>
        <v>0</v>
      </c>
      <c r="F29" s="18">
        <f>IF(OR(Inputs!F$6="Y", F$11 = 0), 0, IF(OR(Inputs!F14="Y",Inputs!F$23="Y"),PRODUCT(F$11, Prices!$E11),0))*F$10</f>
        <v>0</v>
      </c>
      <c r="G29" s="18">
        <f>IF(OR(Inputs!G$6="Y", G$11 = 0), 0, IF(OR(Inputs!G14="Y",Inputs!G$23="Y"),PRODUCT(G$11, Prices!$E11),0))*G$10</f>
        <v>0</v>
      </c>
      <c r="H29" s="18">
        <f>IF(OR(Inputs!H$6="Y", H$11 = 0), 0, IF(OR(Inputs!H14="Y",Inputs!H$23="Y"),PRODUCT(H$11, Prices!$E11),0))*H$10</f>
        <v>0</v>
      </c>
    </row>
    <row r="30" spans="2:8" x14ac:dyDescent="0.25">
      <c r="C30" s="17" t="s">
        <v>21</v>
      </c>
      <c r="D30" s="18">
        <f>IF(OR(Inputs!D$6="Y", D$11 = 0), 0, IF(OR(Inputs!D15="Y",Inputs!D$23="Y"),PRODUCT(D$11, Prices!$E12),0))*D$10</f>
        <v>0</v>
      </c>
      <c r="E30" s="18">
        <f>IF(OR(Inputs!E$6="Y", E$11 = 0), 0, IF(OR(Inputs!E15="Y",Inputs!E$23="Y"),PRODUCT(E$11, Prices!$E12),0))*E$10</f>
        <v>0</v>
      </c>
      <c r="F30" s="18">
        <f>IF(OR(Inputs!F$6="Y", F$11 = 0), 0, IF(OR(Inputs!F15="Y",Inputs!F$23="Y"),PRODUCT(F$11, Prices!$E12),0))*F$10</f>
        <v>0</v>
      </c>
      <c r="G30" s="18">
        <f>IF(OR(Inputs!G$6="Y", G$11 = 0), 0, IF(OR(Inputs!G15="Y",Inputs!G$23="Y"),PRODUCT(G$11, Prices!$E12),0))*G$10</f>
        <v>0</v>
      </c>
      <c r="H30" s="18">
        <f>IF(OR(Inputs!H$6="Y", H$11 = 0), 0, IF(OR(Inputs!H15="Y",Inputs!H$23="Y"),PRODUCT(H$11, Prices!$E12),0))*H$10</f>
        <v>0</v>
      </c>
    </row>
    <row r="31" spans="2:8" x14ac:dyDescent="0.25">
      <c r="C31" s="17" t="s">
        <v>9</v>
      </c>
      <c r="D31" s="18">
        <f>IF(OR(Inputs!D$6="Y", D$11 = 0), 0, IF(OR(Inputs!D16="Y",Inputs!D$23="Y"),PRODUCT(D$11, Prices!$E13),0))*D$10</f>
        <v>0</v>
      </c>
      <c r="E31" s="18">
        <f>IF(OR(Inputs!E$6="Y", E$11 = 0), 0, IF(OR(Inputs!E16="Y",Inputs!E$23="Y"),PRODUCT(E$11, Prices!$E13),0))*E$10</f>
        <v>0</v>
      </c>
      <c r="F31" s="18">
        <f>IF(OR(Inputs!F$6="Y", F$11 = 0), 0, IF(OR(Inputs!F16="Y",Inputs!F$23="Y"),PRODUCT(F$11, Prices!$E13),0))*F$10</f>
        <v>0</v>
      </c>
      <c r="G31" s="18">
        <f>IF(OR(Inputs!G$6="Y", G$11 = 0), 0, IF(OR(Inputs!G16="Y",Inputs!G$23="Y"),PRODUCT(G$11, Prices!$E13),0))*G$10</f>
        <v>0</v>
      </c>
      <c r="H31" s="18">
        <f>IF(OR(Inputs!H$6="Y", H$11 = 0), 0, IF(OR(Inputs!H16="Y",Inputs!H$23="Y"),PRODUCT(H$11, Prices!$E13),0))*H$10</f>
        <v>0</v>
      </c>
    </row>
    <row r="32" spans="2:8" x14ac:dyDescent="0.25">
      <c r="C32" s="17" t="s">
        <v>10</v>
      </c>
      <c r="D32" s="18">
        <f>IF(OR(Inputs!D$6="Y", D$11 = 0), 0, IF(Inputs!D17="Y",PRODUCT(D$11, Prices!$E14),0))*D$10</f>
        <v>0</v>
      </c>
      <c r="E32" s="18">
        <f>IF(OR(Inputs!E$6="Y", E$11 = 0), 0, IF(Inputs!E17="Y",PRODUCT(E$11, Prices!$E14),0))*E$10</f>
        <v>0</v>
      </c>
      <c r="F32" s="18">
        <f>IF(OR(Inputs!F$6="Y", F$11 = 0), 0, IF(Inputs!F17="Y",PRODUCT(F$11, Prices!$E14),0))*F$10</f>
        <v>0</v>
      </c>
      <c r="G32" s="18">
        <f>IF(OR(Inputs!G$6="Y", G$11 = 0), 0, IF(Inputs!G17="Y",PRODUCT(G$11, Prices!$E14),0))*G$10</f>
        <v>0</v>
      </c>
      <c r="H32" s="18">
        <f>IF(OR(Inputs!H$6="Y", H$11 = 0), 0, IF(Inputs!H17="Y",PRODUCT(H$11, Prices!$E14),0))*H$10</f>
        <v>0</v>
      </c>
    </row>
    <row r="33" spans="2:8" x14ac:dyDescent="0.25">
      <c r="C33" s="17" t="s">
        <v>77</v>
      </c>
      <c r="D33" s="18">
        <f>IF(OR(Inputs!D$6="Y", D$11 = 0), 0, IF(OR(Inputs!D18="Y",Inputs!D$23="Y"),PRODUCT(D$11, Prices!$E15),0))*D$10</f>
        <v>0</v>
      </c>
      <c r="E33" s="18">
        <f>IF(OR(Inputs!E$6="Y", E$11 = 0), 0, IF(OR(Inputs!E18="Y",Inputs!E$23="Y"),PRODUCT(E$11, Prices!$E15),0))*E$10</f>
        <v>0</v>
      </c>
      <c r="F33" s="18">
        <f>IF(OR(Inputs!F$6="Y", F$11 = 0), 0, IF(OR(Inputs!F18="Y",Inputs!F$23="Y"),PRODUCT(F$11, Prices!$E15),0))*F$10</f>
        <v>0</v>
      </c>
      <c r="G33" s="18">
        <f>IF(OR(Inputs!G$6="Y", G$11 = 0), 0, IF(OR(Inputs!G18="Y",Inputs!G$23="Y"),PRODUCT(G$11, Prices!$E15),0))*G$10</f>
        <v>0</v>
      </c>
      <c r="H33" s="18">
        <f>IF(OR(Inputs!H$6="Y", H$11 = 0), 0, IF(OR(Inputs!H18="Y",Inputs!H$23="Y"),PRODUCT(H$11, Prices!$E15),0))*H$10</f>
        <v>0</v>
      </c>
    </row>
    <row r="34" spans="2:8" x14ac:dyDescent="0.25">
      <c r="C34" s="17" t="s">
        <v>154</v>
      </c>
      <c r="D34" s="18">
        <f>IF(OR(Inputs!D$6="Y", D$11 = 0), 0, IF(OR(Inputs!D21="Y",Inputs!D$23="Y"),PRODUCT(D$11, Prices!$E16),0))*D$10</f>
        <v>0</v>
      </c>
      <c r="E34" s="18">
        <f>IF(OR(Inputs!E$6="Y", E$11 = 0), 0, IF(OR(Inputs!E21="Y",Inputs!E$23="Y"),PRODUCT(E$11, Prices!$E16),0))*E$10</f>
        <v>0</v>
      </c>
      <c r="F34" s="18">
        <f>IF(OR(Inputs!F$6="Y", F$11 = 0), 0, IF(OR(Inputs!F21="Y",Inputs!F$23="Y"),PRODUCT(F$11, Prices!$E16),0))*F$10</f>
        <v>6370.0000000000009</v>
      </c>
      <c r="G34" s="18">
        <f>IF(OR(Inputs!G$6="Y", G$11 = 0), 0, IF(OR(Inputs!G21="Y",Inputs!G$23="Y"),PRODUCT(G$11, Prices!$E16),0))*G$10</f>
        <v>0</v>
      </c>
      <c r="H34" s="18">
        <f>IF(OR(Inputs!H$6="Y", H$11 = 0), 0, IF(OR(Inputs!H21="Y",Inputs!H$23="Y"),PRODUCT(H$11, Prices!$E16),0))*H$10</f>
        <v>0</v>
      </c>
    </row>
    <row r="35" spans="2:8" x14ac:dyDescent="0.25">
      <c r="C35" s="19" t="s">
        <v>11</v>
      </c>
      <c r="D35" s="20">
        <f>IF(OR(Inputs!D$6="Y", D$11 = 0), 0, IF(OR(Inputs!D19="Y",Inputs!D$24="Y",Inputs!D$25="Y"),PRODUCT(D$11, Prices!$E17),0))*D$10</f>
        <v>0</v>
      </c>
      <c r="E35" s="20">
        <f>IF(OR(Inputs!E$6="Y", E$11 = 0), 0, IF(OR(Inputs!E19="Y",Inputs!E$24="Y",Inputs!E$25="Y"),PRODUCT(E$11, Prices!$E17),0))*E$10</f>
        <v>0</v>
      </c>
      <c r="F35" s="20">
        <f>IF(OR(Inputs!F$6="Y", F$11 = 0), 0, IF(OR(Inputs!F19="Y",Inputs!F$24="Y",Inputs!F$25="Y"),PRODUCT(F$11, Prices!$E17),0))*F$10</f>
        <v>0</v>
      </c>
      <c r="G35" s="20">
        <f>IF(OR(Inputs!G$6="Y", G$11 = 0), 0, IF(OR(Inputs!G19="Y",Inputs!G$24="Y",Inputs!G$25="Y"),PRODUCT(G$11, Prices!$E17),0))*G$10</f>
        <v>0</v>
      </c>
      <c r="H35" s="20">
        <f>IF(OR(Inputs!H$6="Y", H$11 = 0), 0, IF(OR(Inputs!H19="Y",Inputs!H$24="Y",Inputs!H$25="Y"),PRODUCT(H$11, Prices!$E17),0))*H$10</f>
        <v>0</v>
      </c>
    </row>
    <row r="36" spans="2:8" x14ac:dyDescent="0.25">
      <c r="C36" s="19" t="s">
        <v>149</v>
      </c>
      <c r="D36" s="20">
        <f>IF(OR(Inputs!D$6="Y", D$11 = 0), 0, IF(OR(Inputs!D20="Y",Inputs!D$24="Y",Inputs!D$25="Y",Inputs!D$28="Y"),PRODUCT(D$11, Prices!$E18),0))*D$10</f>
        <v>0</v>
      </c>
      <c r="E36" s="20">
        <f>IF(OR(Inputs!E$6="Y", E$11 = 0), 0, IF(OR(Inputs!E20="Y",Inputs!E$24="Y",Inputs!E$25="Y",Inputs!E$28="Y"),PRODUCT(E$11, Prices!$E18),0))*E$10</f>
        <v>0</v>
      </c>
      <c r="F36" s="20">
        <f>IF(OR(Inputs!F$6="Y", F$11 = 0), 0, IF(OR(Inputs!F20="Y",Inputs!F$24="Y",Inputs!F$25="Y",Inputs!F$28="Y"),PRODUCT(F$11, Prices!$E18),0))*F$10</f>
        <v>22750</v>
      </c>
      <c r="G36" s="20">
        <f>IF(OR(Inputs!G$6="Y", G$11 = 0), 0, IF(OR(Inputs!G20="Y",Inputs!G$24="Y",Inputs!G$25="Y",Inputs!G$28="Y"),PRODUCT(G$11, Prices!$E18),0))*G$10</f>
        <v>0</v>
      </c>
      <c r="H36" s="20">
        <f>IF(OR(Inputs!H$6="Y", H$11 = 0), 0, IF(OR(Inputs!H20="Y",Inputs!H$24="Y",Inputs!H$25="Y",Inputs!H$28="Y"),PRODUCT(H$11, Prices!$E18),0))*H$10</f>
        <v>0</v>
      </c>
    </row>
    <row r="37" spans="2:8" x14ac:dyDescent="0.25">
      <c r="C37" s="28" t="s">
        <v>155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50</v>
      </c>
    </row>
    <row r="40" spans="2:8" x14ac:dyDescent="0.25">
      <c r="C40" s="15" t="s">
        <v>2</v>
      </c>
      <c r="D40" s="16">
        <f>IF(Inputs!D6="Y", Prices!$C$6, IF(Inputs!D6="N", Prices!$D$6, 0))</f>
        <v>18000</v>
      </c>
      <c r="E40" s="16">
        <f>IF(Inputs!E6="Y", Prices!$C$6, IF(Inputs!E6="N", Prices!$D$6, 0))</f>
        <v>18000</v>
      </c>
      <c r="F40" s="16">
        <f>IF(Inputs!F6="Y", Prices!$C$6, IF(Inputs!F6="N", Prices!$D$6, 0))</f>
        <v>33000</v>
      </c>
      <c r="G40" s="16">
        <f>IF(Inputs!G6="Y", Prices!$C$6, IF(Inputs!G6="N", Prices!$D$6, 0))</f>
        <v>0</v>
      </c>
      <c r="H40" s="16">
        <f>IF(Inputs!H6="Y", Prices!$C$6, IF(Inputs!H6="N", Prices!$D$6, 0))</f>
        <v>0</v>
      </c>
    </row>
    <row r="41" spans="2:8" x14ac:dyDescent="0.25">
      <c r="C41" s="17" t="s">
        <v>20</v>
      </c>
      <c r="D41" s="18">
        <f>IF(AND(Inputs!D13="Y",Inputs!D$23="N"),Prices!$C10,0)</f>
        <v>0</v>
      </c>
      <c r="E41" s="18">
        <f>IF(AND(Inputs!E13="Y",Inputs!E$23="N"),Prices!$C10,0)</f>
        <v>0</v>
      </c>
      <c r="F41" s="18">
        <f>IF(AND(Inputs!F13="Y",Inputs!F$23="N"),Prices!$C10,0)</f>
        <v>0</v>
      </c>
      <c r="G41" s="18">
        <f>IF(AND(Inputs!G13="Y",Inputs!G$23="N"),Prices!$C10,0)</f>
        <v>0</v>
      </c>
      <c r="H41" s="18">
        <f>IF(AND(Inputs!H13="Y",Inputs!H$23="N"),Prices!$C10,0)</f>
        <v>0</v>
      </c>
    </row>
    <row r="42" spans="2:8" x14ac:dyDescent="0.25">
      <c r="C42" s="17" t="s">
        <v>8</v>
      </c>
      <c r="D42" s="18">
        <f>IF(AND(Inputs!D14="Y",Inputs!D$23="N"),Prices!$C11,0)</f>
        <v>0</v>
      </c>
      <c r="E42" s="18">
        <f>IF(AND(Inputs!E14="Y",Inputs!E$23="N"),Prices!$C11,0)</f>
        <v>0</v>
      </c>
      <c r="F42" s="18">
        <f>IF(AND(Inputs!F14="Y",Inputs!F$23="N"),Prices!$C11,0)</f>
        <v>0</v>
      </c>
      <c r="G42" s="18">
        <f>IF(AND(Inputs!G14="Y",Inputs!G$23="N"),Prices!$C11,0)</f>
        <v>0</v>
      </c>
      <c r="H42" s="18">
        <f>IF(AND(Inputs!H14="Y",Inputs!H$23="N"),Prices!$C11,0)</f>
        <v>0</v>
      </c>
    </row>
    <row r="43" spans="2:8" x14ac:dyDescent="0.25">
      <c r="C43" s="17" t="s">
        <v>21</v>
      </c>
      <c r="D43" s="18">
        <f>IF(AND(Inputs!D15="Y",Inputs!D$23="N"),Prices!$C12,0)</f>
        <v>0</v>
      </c>
      <c r="E43" s="18">
        <f>IF(AND(Inputs!E15="Y",Inputs!E$23="N"),Prices!$C12,0)</f>
        <v>0</v>
      </c>
      <c r="F43" s="18">
        <f>IF(AND(Inputs!F15="Y",Inputs!F$23="N"),Prices!$C12,0)</f>
        <v>0</v>
      </c>
      <c r="G43" s="18">
        <f>IF(AND(Inputs!G15="Y",Inputs!G$23="N"),Prices!$C12,0)</f>
        <v>0</v>
      </c>
      <c r="H43" s="18">
        <f>IF(AND(Inputs!H15="Y",Inputs!H$23="N"),Prices!$C12,0)</f>
        <v>0</v>
      </c>
    </row>
    <row r="44" spans="2:8" x14ac:dyDescent="0.25">
      <c r="C44" s="17" t="s">
        <v>9</v>
      </c>
      <c r="D44" s="18">
        <f>IF(AND(Inputs!D16="Y",Inputs!D$23="N"),Prices!$C13,0)</f>
        <v>0</v>
      </c>
      <c r="E44" s="18">
        <f>IF(AND(Inputs!E16="Y",Inputs!E$23="N"),Prices!$C13,0)</f>
        <v>0</v>
      </c>
      <c r="F44" s="18">
        <f>IF(AND(Inputs!F16="Y",Inputs!F$23="N"),Prices!$C13,0)</f>
        <v>0</v>
      </c>
      <c r="G44" s="18">
        <f>IF(AND(Inputs!G16="Y",Inputs!G$23="N"),Prices!$C13,0)</f>
        <v>0</v>
      </c>
      <c r="H44" s="18">
        <f>IF(AND(Inputs!H16="Y",Inputs!H$23="N"),Prices!$C13,0)</f>
        <v>0</v>
      </c>
    </row>
    <row r="45" spans="2:8" x14ac:dyDescent="0.25">
      <c r="C45" s="17" t="s">
        <v>10</v>
      </c>
      <c r="D45" s="18">
        <f>IF(AND(Inputs!D17="Y",Inputs!D$23="N"),Prices!$C14,0)</f>
        <v>0</v>
      </c>
      <c r="E45" s="18">
        <f>IF(AND(Inputs!E17="Y",Inputs!E$23="N"),Prices!$C14,0)</f>
        <v>0</v>
      </c>
      <c r="F45" s="18">
        <f>IF(AND(Inputs!F17="Y",Inputs!F$23="N"),Prices!$C14,0)</f>
        <v>0</v>
      </c>
      <c r="G45" s="18">
        <f>IF(AND(Inputs!G17="Y",Inputs!G$23="N"),Prices!$C14,0)</f>
        <v>0</v>
      </c>
      <c r="H45" s="18">
        <f>IF(AND(Inputs!H17="Y",Inputs!H$23="N"),Prices!$C14,0)</f>
        <v>0</v>
      </c>
    </row>
    <row r="46" spans="2:8" x14ac:dyDescent="0.25">
      <c r="C46" s="17" t="s">
        <v>77</v>
      </c>
      <c r="D46" s="18">
        <f>IF(AND(Inputs!D18="Y",Inputs!D$23="N"),Prices!$C15,0)</f>
        <v>0</v>
      </c>
      <c r="E46" s="18">
        <f>IF(AND(Inputs!E18="Y",Inputs!E$23="N"),Prices!$C15,0)</f>
        <v>0</v>
      </c>
      <c r="F46" s="18">
        <f>IF(AND(Inputs!F18="Y",Inputs!F$23="N"),Prices!$C15,0)</f>
        <v>0</v>
      </c>
      <c r="G46" s="18">
        <f>IF(AND(Inputs!G18="Y",Inputs!G$23="N"),Prices!$C15,0)</f>
        <v>0</v>
      </c>
      <c r="H46" s="18">
        <f>IF(AND(Inputs!H18="Y",Inputs!H$23="N"),Prices!$C15,0)</f>
        <v>0</v>
      </c>
    </row>
    <row r="47" spans="2:8" x14ac:dyDescent="0.25">
      <c r="C47" s="17" t="s">
        <v>154</v>
      </c>
      <c r="D47" s="18">
        <f>IF(AND(Inputs!D21="Y",Inputs!D$23="N"),Prices!$C16,0)</f>
        <v>0</v>
      </c>
      <c r="E47" s="18">
        <f>IF(AND(Inputs!E21="Y",Inputs!E$23="N"),Prices!$C16,0)</f>
        <v>0</v>
      </c>
      <c r="F47" s="18">
        <f>IF(AND(Inputs!F21="Y",Inputs!F$23="N"),Prices!$C16,0)</f>
        <v>4200</v>
      </c>
      <c r="G47" s="18">
        <f>IF(AND(Inputs!G21="Y",Inputs!G$23="N"),Prices!$C16,0)</f>
        <v>0</v>
      </c>
      <c r="H47" s="18">
        <f>IF(AND(Inputs!H21="Y",Inputs!H$23="N"),Prices!$C16,0)</f>
        <v>0</v>
      </c>
    </row>
    <row r="48" spans="2:8" x14ac:dyDescent="0.25">
      <c r="C48" s="19" t="s">
        <v>11</v>
      </c>
      <c r="D48" s="20">
        <f>IF(AND(Inputs!D19="Y",Inputs!D$24="N",Inputs!D$25="N"),Prices!$C17,0)</f>
        <v>0</v>
      </c>
      <c r="E48" s="20">
        <f>IF(AND(Inputs!E19="Y",Inputs!E$24="N",Inputs!E$25="N"),Prices!$C17,0)</f>
        <v>0</v>
      </c>
      <c r="F48" s="20">
        <f>IF(AND(Inputs!F19="Y",Inputs!F$24="N",Inputs!F$25="N"),Prices!$C17,0)</f>
        <v>0</v>
      </c>
      <c r="G48" s="20">
        <f>IF(AND(Inputs!G19="Y",Inputs!G$24="N",Inputs!G$25="N"),Prices!$C17,0)</f>
        <v>0</v>
      </c>
      <c r="H48" s="20">
        <f>IF(AND(Inputs!H19="Y",Inputs!H$24="N",Inputs!H$25="N"),Prices!$C17,0)</f>
        <v>0</v>
      </c>
    </row>
    <row r="49" spans="2:8" x14ac:dyDescent="0.25">
      <c r="C49" s="19" t="s">
        <v>149</v>
      </c>
      <c r="D49" s="20">
        <f>IF(AND(Inputs!D20="Y",Inputs!D$24="N",Inputs!D$25="N",Inputs!D$28="N"),Prices!$C18,0)</f>
        <v>0</v>
      </c>
      <c r="E49" s="20">
        <f>IF(AND(Inputs!E20="Y",Inputs!E$24="N",Inputs!E$25="N",Inputs!E$28="N"),Prices!$C18,0)</f>
        <v>0</v>
      </c>
      <c r="F49" s="20">
        <f>IF(AND(Inputs!F20="Y",Inputs!F$24="N",Inputs!F$25="N",Inputs!F$28="N"),Prices!$C18,0)</f>
        <v>0</v>
      </c>
      <c r="G49" s="20">
        <f>IF(AND(Inputs!G20="Y",Inputs!G$24="N",Inputs!G$25="N",Inputs!G$28="N"),Prices!$C18,0)</f>
        <v>0</v>
      </c>
      <c r="H49" s="20">
        <f>IF(AND(Inputs!H20="Y",Inputs!H$24="N",Inputs!H$25="N",Inputs!H$28="N"),Prices!$C18,0)</f>
        <v>0</v>
      </c>
    </row>
    <row r="50" spans="2:8" x14ac:dyDescent="0.25">
      <c r="C50" s="19" t="s">
        <v>155</v>
      </c>
      <c r="D50" s="20">
        <f>IF(Inputs!D$6="N",0,IF(AND(Inputs!D21="Y",Inputs!D$24="N",Inputs!D$25="N"),Prices!$C19,0))</f>
        <v>0</v>
      </c>
      <c r="E50" s="20">
        <f>IF(Inputs!E$6="N",0,IF(AND(Inputs!E21="Y",Inputs!E$24="N",Inputs!E$25="N"),Prices!$C19,0))</f>
        <v>0</v>
      </c>
      <c r="F50" s="20">
        <f>IF(Inputs!F$6="N",0,IF(AND(Inputs!F21="Y",Inputs!F$24="N",Inputs!F$25="N"),Prices!$C19,0))</f>
        <v>0</v>
      </c>
      <c r="G50" s="20">
        <f>IF(Inputs!G$6="N",0,IF(AND(Inputs!G21="Y",Inputs!G$24="N",Inputs!G$25="N"),Prices!$C19,0))</f>
        <v>0</v>
      </c>
      <c r="H50" s="20">
        <f>IF(Inputs!H$6="N",0,IF(AND(Inputs!H21="Y",Inputs!H$24="N",Inputs!H$25="N"),Prices!$C19,0))</f>
        <v>0</v>
      </c>
    </row>
    <row r="52" spans="2:8" x14ac:dyDescent="0.25">
      <c r="B52" s="6" t="s">
        <v>51</v>
      </c>
    </row>
    <row r="53" spans="2:8" x14ac:dyDescent="0.25">
      <c r="C53" s="15" t="s">
        <v>2</v>
      </c>
      <c r="D53" s="16">
        <f>IF(Inputs!D$6="Y", 0, IF(D$11 = "", "", PRODUCT(D$11, Prices!$E$6)*D$10))</f>
        <v>0</v>
      </c>
      <c r="E53" s="16">
        <f>IF(Inputs!E$6="Y", 0, IF(E$11 = "", "", PRODUCT(E$11, Prices!$E$6)*E$10))</f>
        <v>0</v>
      </c>
      <c r="F53" s="16">
        <f>IF(Inputs!F$6="Y", 0, IF(F$11 = "", "", PRODUCT(F$11, Prices!$E$6)*F$10))</f>
        <v>36400</v>
      </c>
      <c r="G53" s="16">
        <f>IF(Inputs!G$6="Y", 0, IF(G$11 = "", "", PRODUCT(G$11, Prices!$E$6)*G$10))</f>
        <v>0</v>
      </c>
      <c r="H53" s="16">
        <f>IF(Inputs!H$6="Y", 0, IF(H$11 = "", "", PRODUCT(H$11, Prices!$E$6)*H$10))</f>
        <v>0</v>
      </c>
    </row>
    <row r="54" spans="2:8" x14ac:dyDescent="0.25">
      <c r="C54" s="17" t="s">
        <v>20</v>
      </c>
      <c r="D54" s="18">
        <f>IF(OR(Inputs!D$6="Y", D$11 = 0), 0, IF(AND(Inputs!D13="Y",Inputs!D$23="N"),PRODUCT(D$11, Prices!$E10)*D$10,0))</f>
        <v>0</v>
      </c>
      <c r="E54" s="18">
        <f>IF(OR(Inputs!E$6="Y", E$11 = 0), 0, IF(AND(Inputs!E13="Y",Inputs!E$23="N"),PRODUCT(E$11, Prices!$E10)*E$10,0))</f>
        <v>0</v>
      </c>
      <c r="F54" s="18">
        <f>IF(OR(Inputs!F$6="Y", F$11 = 0), 0, IF(AND(Inputs!F13="Y",Inputs!F$23="N"),PRODUCT(F$11, Prices!$E10)*F$10,0))</f>
        <v>0</v>
      </c>
      <c r="G54" s="18">
        <f>IF(OR(Inputs!G$6="Y", G$11 = 0), 0, IF(AND(Inputs!G13="Y",Inputs!G$23="N"),PRODUCT(G$11, Prices!$E10)*G$10,0))</f>
        <v>0</v>
      </c>
      <c r="H54" s="18">
        <f>IF(OR(Inputs!H$6="Y", H$11 = 0), 0, IF(AND(Inputs!H13="Y",Inputs!H$23="N"),PRODUCT(H$11, Prices!$E10)*H$10,0))</f>
        <v>0</v>
      </c>
    </row>
    <row r="55" spans="2:8" x14ac:dyDescent="0.25">
      <c r="C55" s="17" t="s">
        <v>8</v>
      </c>
      <c r="D55" s="18">
        <f>IF(OR(Inputs!D$6="Y", D$11 = 0), 0, IF(AND(Inputs!D14="Y",Inputs!D$23="N"),PRODUCT(D$11, Prices!$E11)*D$10,0))</f>
        <v>0</v>
      </c>
      <c r="E55" s="18">
        <f>IF(OR(Inputs!E$6="Y", E$11 = 0), 0, IF(AND(Inputs!E14="Y",Inputs!E$23="N"),PRODUCT(E$11, Prices!$E11)*E$10,0))</f>
        <v>0</v>
      </c>
      <c r="F55" s="18">
        <f>IF(OR(Inputs!F$6="Y", F$11 = 0), 0, IF(AND(Inputs!F14="Y",Inputs!F$23="N"),PRODUCT(F$11, Prices!$E11)*F$10,0))</f>
        <v>0</v>
      </c>
      <c r="G55" s="18">
        <f>IF(OR(Inputs!G$6="Y", G$11 = 0), 0, IF(AND(Inputs!G14="Y",Inputs!G$23="N"),PRODUCT(G$11, Prices!$E11)*G$10,0))</f>
        <v>0</v>
      </c>
      <c r="H55" s="18">
        <f>IF(OR(Inputs!H$6="Y", H$11 = 0), 0, IF(AND(Inputs!H14="Y",Inputs!H$23="N"),PRODUCT(H$11, Prices!$E11)*H$10,0))</f>
        <v>0</v>
      </c>
    </row>
    <row r="56" spans="2:8" x14ac:dyDescent="0.25">
      <c r="C56" s="17" t="s">
        <v>21</v>
      </c>
      <c r="D56" s="18">
        <f>IF(OR(Inputs!D$6="Y", D$11 = 0), 0, IF(AND(Inputs!D15="Y",Inputs!D$23="N"),PRODUCT(D$11, Prices!$E12)*D$10,0))</f>
        <v>0</v>
      </c>
      <c r="E56" s="18">
        <f>IF(OR(Inputs!E$6="Y", E$11 = 0), 0, IF(AND(Inputs!E15="Y",Inputs!E$23="N"),PRODUCT(E$11, Prices!$E12)*E$10,0))</f>
        <v>0</v>
      </c>
      <c r="F56" s="18">
        <f>IF(OR(Inputs!F$6="Y", F$11 = 0), 0, IF(AND(Inputs!F15="Y",Inputs!F$23="N"),PRODUCT(F$11, Prices!$E12)*F$10,0))</f>
        <v>0</v>
      </c>
      <c r="G56" s="18">
        <f>IF(OR(Inputs!G$6="Y", G$11 = 0), 0, IF(AND(Inputs!G15="Y",Inputs!G$23="N"),PRODUCT(G$11, Prices!$E12)*G$10,0))</f>
        <v>0</v>
      </c>
      <c r="H56" s="18">
        <f>IF(OR(Inputs!H$6="Y", H$11 = 0), 0, IF(AND(Inputs!H15="Y",Inputs!H$23="N"),PRODUCT(H$11, Prices!$E12)*H$10,0))</f>
        <v>0</v>
      </c>
    </row>
    <row r="57" spans="2:8" x14ac:dyDescent="0.25">
      <c r="C57" s="17" t="s">
        <v>9</v>
      </c>
      <c r="D57" s="18">
        <f>IF(OR(Inputs!D$6="Y", D$11 = 0), 0, IF(AND(Inputs!D16="Y",Inputs!D$23="N"),PRODUCT(D$11, Prices!$E13)*D$10,0))</f>
        <v>0</v>
      </c>
      <c r="E57" s="18">
        <f>IF(OR(Inputs!E$6="Y", E$11 = 0), 0, IF(AND(Inputs!E16="Y",Inputs!E$23="N"),PRODUCT(E$11, Prices!$E13)*E$10,0))</f>
        <v>0</v>
      </c>
      <c r="F57" s="18">
        <f>IF(OR(Inputs!F$6="Y", F$11 = 0), 0, IF(AND(Inputs!F16="Y",Inputs!F$23="N"),PRODUCT(F$11, Prices!$E13)*F$10,0))</f>
        <v>0</v>
      </c>
      <c r="G57" s="18">
        <f>IF(OR(Inputs!G$6="Y", G$11 = 0), 0, IF(AND(Inputs!G16="Y",Inputs!G$23="N"),PRODUCT(G$11, Prices!$E13)*G$10,0))</f>
        <v>0</v>
      </c>
      <c r="H57" s="18">
        <f>IF(OR(Inputs!H$6="Y", H$11 = 0), 0, IF(AND(Inputs!H16="Y",Inputs!H$23="N"),PRODUCT(H$11, Prices!$E13)*H$10,0))</f>
        <v>0</v>
      </c>
    </row>
    <row r="58" spans="2:8" x14ac:dyDescent="0.25">
      <c r="C58" s="17" t="s">
        <v>10</v>
      </c>
      <c r="D58" s="18">
        <f>IF(OR(Inputs!D$6="Y", D$11 = 0), 0, IF(AND(Inputs!D17="Y",Inputs!D$23="N"),PRODUCT(D$11, Prices!$E14)*D$10,0))</f>
        <v>0</v>
      </c>
      <c r="E58" s="18">
        <f>IF(OR(Inputs!E$6="Y", E$11 = 0), 0, IF(AND(Inputs!E17="Y",Inputs!E$23="N"),PRODUCT(E$11, Prices!$E14)*E$10,0))</f>
        <v>0</v>
      </c>
      <c r="F58" s="18">
        <f>IF(OR(Inputs!F$6="Y", F$11 = 0), 0, IF(AND(Inputs!F17="Y",Inputs!F$23="N"),PRODUCT(F$11, Prices!$E14)*F$10,0))</f>
        <v>0</v>
      </c>
      <c r="G58" s="18">
        <f>IF(OR(Inputs!G$6="Y", G$11 = 0), 0, IF(AND(Inputs!G17="Y",Inputs!G$23="N"),PRODUCT(G$11, Prices!$E14)*G$10,0))</f>
        <v>0</v>
      </c>
      <c r="H58" s="18">
        <f>IF(OR(Inputs!H$6="Y", H$11 = 0), 0, IF(AND(Inputs!H17="Y",Inputs!H$23="N"),PRODUCT(H$11, Prices!$E14)*H$10,0))</f>
        <v>0</v>
      </c>
    </row>
    <row r="59" spans="2:8" x14ac:dyDescent="0.25">
      <c r="C59" s="17" t="s">
        <v>77</v>
      </c>
      <c r="D59" s="18">
        <f>IF(OR(Inputs!D$6="Y", D$11 = 0), 0, IF(AND(Inputs!D18="Y",Inputs!D$23="N"),PRODUCT(D$11, Prices!$E15)*D$10,0))</f>
        <v>0</v>
      </c>
      <c r="E59" s="18">
        <f>IF(OR(Inputs!E$6="Y", E$11 = 0), 0, IF(AND(Inputs!E18="Y",Inputs!E$23="N"),PRODUCT(E$11, Prices!$E15)*E$10,0))</f>
        <v>0</v>
      </c>
      <c r="F59" s="18">
        <f>IF(OR(Inputs!F$6="Y", F$11 = 0), 0, IF(AND(Inputs!F18="Y",Inputs!F$23="N"),PRODUCT(F$11, Prices!$E15)*F$10,0))</f>
        <v>0</v>
      </c>
      <c r="G59" s="18">
        <f>IF(OR(Inputs!G$6="Y", G$11 = 0), 0, IF(AND(Inputs!G18="Y",Inputs!G$23="N"),PRODUCT(G$11, Prices!$E15)*G$10,0))</f>
        <v>0</v>
      </c>
      <c r="H59" s="18">
        <f>IF(OR(Inputs!H$6="Y", H$11 = 0), 0, IF(AND(Inputs!H18="Y",Inputs!H$23="N"),PRODUCT(H$11, Prices!$E15)*H$10,0))</f>
        <v>0</v>
      </c>
    </row>
    <row r="60" spans="2:8" x14ac:dyDescent="0.25">
      <c r="C60" s="17" t="s">
        <v>154</v>
      </c>
      <c r="D60" s="18">
        <f>IF(OR(Inputs!D$6="Y", D$11 = 0), 0, IF(AND(Inputs!D21="Y",Inputs!D$23="N"),PRODUCT(D$11, Prices!$E16)*D$10,0))</f>
        <v>0</v>
      </c>
      <c r="E60" s="18">
        <f>IF(OR(Inputs!E$6="Y", E$11 = 0), 0, IF(AND(Inputs!E21="Y",Inputs!E$23="N"),PRODUCT(E$11, Prices!$E16)*E$10,0))</f>
        <v>0</v>
      </c>
      <c r="F60" s="18">
        <f>IF(OR(Inputs!F$6="Y", F$11 = 0), 0, IF(AND(Inputs!F21="Y",Inputs!F$23="N"),PRODUCT(F$11, Prices!$E16)*F$10,0))</f>
        <v>6370.0000000000009</v>
      </c>
      <c r="G60" s="18">
        <f>IF(OR(Inputs!G$6="Y", G$11 = 0), 0, IF(AND(Inputs!G21="Y",Inputs!G$23="N"),PRODUCT(G$11, Prices!$E16)*G$10,0))</f>
        <v>0</v>
      </c>
      <c r="H60" s="18">
        <f>IF(OR(Inputs!H$6="Y", H$11 = 0), 0, IF(AND(Inputs!H21="Y",Inputs!H$23="N"),PRODUCT(H$11, Prices!$E16)*H$10,0))</f>
        <v>0</v>
      </c>
    </row>
    <row r="61" spans="2:8" x14ac:dyDescent="0.25">
      <c r="C61" s="19" t="s">
        <v>11</v>
      </c>
      <c r="D61" s="20">
        <f>IF(OR(Inputs!D$6="Y", D$11 = 0), 0, IF(AND(Inputs!D19="Y",Inputs!D$24="N",Inputs!D$25="N"),PRODUCT(D$11, Prices!$E17)*D$10,0))</f>
        <v>0</v>
      </c>
      <c r="E61" s="20">
        <f>IF(OR(Inputs!E$6="Y", E$11 = 0), 0, IF(AND(Inputs!E19="Y",Inputs!E$24="N",Inputs!E$25="N"),PRODUCT(E$11, Prices!$E17)*E$10,0))</f>
        <v>0</v>
      </c>
      <c r="F61" s="20">
        <f>IF(OR(Inputs!F$6="Y", F$11 = 0), 0, IF(AND(Inputs!F19="Y",Inputs!F$24="N",Inputs!F$25="N"),PRODUCT(F$11, Prices!$E17)*F$10,0))</f>
        <v>0</v>
      </c>
      <c r="G61" s="20">
        <f>IF(OR(Inputs!G$6="Y", G$11 = 0), 0, IF(AND(Inputs!G19="Y",Inputs!G$24="N",Inputs!G$25="N"),PRODUCT(G$11, Prices!$E17)*G$10,0))</f>
        <v>0</v>
      </c>
      <c r="H61" s="20">
        <f>IF(OR(Inputs!H$6="Y", H$11 = 0), 0, IF(AND(Inputs!H19="Y",Inputs!H$24="N",Inputs!H$25="N"),PRODUCT(H$11, Prices!$E17)*H$10,0))</f>
        <v>0</v>
      </c>
    </row>
    <row r="62" spans="2:8" x14ac:dyDescent="0.25">
      <c r="C62" s="19" t="s">
        <v>149</v>
      </c>
      <c r="D62" s="20">
        <f>IF(OR(Inputs!D$6="Y", D$11 = 0), 0, IF(AND(Inputs!D20="Y",Inputs!D$24="N",Inputs!D$25="N",Inputs!D$28="N"),PRODUCT(D$11, Prices!$E18)*D$10,0))</f>
        <v>0</v>
      </c>
      <c r="E62" s="20">
        <f>IF(OR(Inputs!E$6="Y", E$11 = 0), 0, IF(AND(Inputs!E20="Y",Inputs!E$24="N",Inputs!E$25="N",Inputs!E$28="N"),PRODUCT(E$11, Prices!$E18)*E$10,0))</f>
        <v>0</v>
      </c>
      <c r="F62" s="20">
        <f>IF(OR(Inputs!F$6="Y", F$11 = 0), 0, IF(AND(Inputs!F20="Y",Inputs!F$24="N",Inputs!F$25="N",Inputs!F$28="N"),PRODUCT(F$11, Prices!$E18)*F$10,0))</f>
        <v>0</v>
      </c>
      <c r="G62" s="20">
        <f>IF(OR(Inputs!G$6="Y", G$11 = 0), 0, IF(AND(Inputs!G20="Y",Inputs!G$24="N",Inputs!G$25="N",Inputs!G$28="N"),PRODUCT(G$11, Prices!$E18)*G$10,0))</f>
        <v>0</v>
      </c>
      <c r="H62" s="20">
        <f>IF(OR(Inputs!H$6="Y", H$11 = 0), 0, IF(AND(Inputs!H20="Y",Inputs!H$24="N",Inputs!H$25="N",Inputs!H$28="N"),PRODUCT(H$11, Prices!$E18)*H$10,0))</f>
        <v>0</v>
      </c>
    </row>
    <row r="63" spans="2:8" x14ac:dyDescent="0.25">
      <c r="C63" s="28" t="s">
        <v>155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44</v>
      </c>
    </row>
    <row r="66" spans="2:15" x14ac:dyDescent="0.25">
      <c r="C66" s="17" t="s">
        <v>13</v>
      </c>
      <c r="D66" s="18">
        <f>IF(Inputs!D$23 = "Y", 0, IF(Inputs!D22="Y", Prices!$C21, 0))</f>
        <v>10200</v>
      </c>
      <c r="E66" s="18">
        <f>IF(Inputs!E$23 = "Y", 0, IF(Inputs!E22="Y", Prices!$C21, 0))</f>
        <v>0</v>
      </c>
      <c r="F66" s="18">
        <f>IF(Inputs!F$23 = "Y", 0, IF(Inputs!F22="Y", Prices!$C21, 0))</f>
        <v>0</v>
      </c>
      <c r="G66" s="18">
        <f>IF(Inputs!G$23 = "Y", 0, IF(Inputs!G22="Y", Prices!$C21, 0))</f>
        <v>0</v>
      </c>
      <c r="H66" s="18">
        <f>IF(Inputs!H$23 = "Y", 0, IF(Inputs!H22="Y", Prices!$C21, 0))</f>
        <v>0</v>
      </c>
    </row>
    <row r="67" spans="2:15" x14ac:dyDescent="0.25">
      <c r="C67" s="17" t="s">
        <v>14</v>
      </c>
      <c r="D67" s="18">
        <f>IF(Inputs!D23="Y", Prices!$C22, 0)</f>
        <v>0</v>
      </c>
      <c r="E67" s="18">
        <f>IF(Inputs!E23="Y", Prices!$C22, 0)</f>
        <v>0</v>
      </c>
      <c r="F67" s="18">
        <f>IF(Inputs!F23="Y", Prices!$C22, 0)</f>
        <v>0</v>
      </c>
      <c r="G67" s="18">
        <f>IF(Inputs!G23="Y", Prices!$C22, 0)</f>
        <v>0</v>
      </c>
      <c r="H67" s="18">
        <f>IF(Inputs!H23="Y", Prices!$C22, 0)</f>
        <v>0</v>
      </c>
    </row>
    <row r="68" spans="2:15" x14ac:dyDescent="0.25">
      <c r="C68" s="19" t="s">
        <v>15</v>
      </c>
      <c r="D68" s="20">
        <f>IF(Inputs!D24="Y", Prices!$C23, 0)</f>
        <v>0</v>
      </c>
      <c r="E68" s="20">
        <f>IF(Inputs!E24="Y", Prices!$C23, 0)</f>
        <v>42000</v>
      </c>
      <c r="F68" s="20">
        <f>IF(Inputs!F24="Y", Prices!$C23, 0)</f>
        <v>0</v>
      </c>
      <c r="G68" s="20">
        <f>IF(Inputs!G24="Y", Prices!$C23, 0)</f>
        <v>0</v>
      </c>
      <c r="H68" s="20">
        <f>IF(Inputs!H24="Y", Prices!$C23, 0)</f>
        <v>0</v>
      </c>
    </row>
    <row r="69" spans="2:15" x14ac:dyDescent="0.25">
      <c r="C69" s="19" t="s">
        <v>129</v>
      </c>
      <c r="D69" s="20">
        <f>IF(Inputs!D25="Y", Prices!$C24, 0)</f>
        <v>0</v>
      </c>
      <c r="E69" s="20">
        <f>IF(Inputs!E25="Y", Prices!$C24, 0)</f>
        <v>42000</v>
      </c>
      <c r="F69" s="20">
        <f>IF(Inputs!F25="Y", Prices!$C24, 0)</f>
        <v>0</v>
      </c>
      <c r="G69" s="20">
        <f>IF(Inputs!G25="Y", Prices!$C24, 0)</f>
        <v>0</v>
      </c>
      <c r="H69" s="20">
        <f>IF(Inputs!H25="Y", Prices!$C24, 0)</f>
        <v>0</v>
      </c>
    </row>
    <row r="70" spans="2:15" x14ac:dyDescent="0.25">
      <c r="C70" s="19" t="s">
        <v>16</v>
      </c>
      <c r="D70" s="20">
        <f>IF(Inputs!D26="Y", Prices!$C25, 0)</f>
        <v>0</v>
      </c>
      <c r="E70" s="20">
        <f>IF(Inputs!E26="Y", Prices!$C25, 0)</f>
        <v>0</v>
      </c>
      <c r="F70" s="20">
        <f>IF(Inputs!F26="Y", Prices!$C25, 0)</f>
        <v>0</v>
      </c>
      <c r="G70" s="20">
        <f>IF(Inputs!G26="Y", Prices!$C25, 0)</f>
        <v>0</v>
      </c>
      <c r="H70" s="20">
        <f>IF(Inputs!H26="Y", Prices!$C25, 0)</f>
        <v>0</v>
      </c>
    </row>
    <row r="71" spans="2:15" x14ac:dyDescent="0.25">
      <c r="C71" s="19" t="s">
        <v>99</v>
      </c>
      <c r="D71" s="20">
        <f>IF(Inputs!D27="Y", Prices!$C26 * IF(Inputs!D26="Y",1-Prices!$L$21,1), IF(Inputs!D27="Monthly", Prices!$C26 * Prices!$L$30 * IF(Inputs!D26="Y",1-Prices!$L$21,1), 0))</f>
        <v>0</v>
      </c>
      <c r="E71" s="20">
        <f>IF(Inputs!E27="Y", Prices!$C26 * IF(Inputs!E26="Y",1-Prices!$L$21,1), IF(Inputs!E27="Monthly", Prices!$C26 * Prices!$L$30 * IF(Inputs!E26="Y",1-Prices!$L$21,1), 0))</f>
        <v>0</v>
      </c>
      <c r="F71" s="20">
        <f>IF(Inputs!F27="Y", Prices!$C26 * IF(Inputs!F26="Y",1-Prices!$L$21,1), IF(Inputs!F27="Monthly", Prices!$C26 * Prices!$L$30 * IF(Inputs!F26="Y",1-Prices!$L$21,1), 0))</f>
        <v>0</v>
      </c>
      <c r="G71" s="20">
        <f>IF(Inputs!G27="Y", Prices!$C26 * IF(Inputs!G26="Y",1-Prices!$L$21,1), IF(Inputs!G27="Monthly", Prices!$C26 * Prices!$L$30 * IF(Inputs!G26="Y",1-Prices!$L$21,1), 0))</f>
        <v>0</v>
      </c>
      <c r="H71" s="20">
        <f>IF(Inputs!H27="Y", Prices!$C26 * IF(Inputs!H26="Y",1-Prices!$L$21,1), IF(Inputs!H27="Monthly", Prices!$C26 * Prices!$L$30 * IF(Inputs!H26="Y",1-Prices!$L$21,1), 0))</f>
        <v>0</v>
      </c>
    </row>
    <row r="72" spans="2:15" x14ac:dyDescent="0.25">
      <c r="C72" s="19" t="s">
        <v>150</v>
      </c>
      <c r="D72" s="20">
        <f>IF(Inputs!D28="Y", Prices!$C27, 0)</f>
        <v>0</v>
      </c>
      <c r="E72" s="20">
        <f>IF(Inputs!E28="Y", Prices!$C27, 0)</f>
        <v>33600</v>
      </c>
      <c r="F72" s="20">
        <f>IF(Inputs!F28="Y", Prices!$C27, 0)</f>
        <v>33600</v>
      </c>
      <c r="G72" s="20">
        <f>IF(Inputs!G28="Y", Prices!$C27, 0)</f>
        <v>0</v>
      </c>
      <c r="H72" s="20">
        <f>IF(Inputs!H28="Y", Prices!$C27, 0)</f>
        <v>0</v>
      </c>
    </row>
    <row r="73" spans="2:15" x14ac:dyDescent="0.25">
      <c r="C73" s="19" t="s">
        <v>98</v>
      </c>
      <c r="D73" s="20">
        <f>IF(Inputs!D29="Y", Prices!$C28, 0)</f>
        <v>0</v>
      </c>
      <c r="E73" s="20">
        <f>IF(Inputs!E29="Y", Prices!$C28, 0)</f>
        <v>0</v>
      </c>
      <c r="F73" s="20">
        <f>IF(Inputs!F29="Y", Prices!$C28, 0)</f>
        <v>0</v>
      </c>
      <c r="G73" s="20">
        <f>IF(Inputs!G29="Y", Prices!$C28, 0)</f>
        <v>0</v>
      </c>
      <c r="H73" s="20">
        <f>IF(Inputs!H29="Y", Prices!$C28, 0)</f>
        <v>0</v>
      </c>
    </row>
    <row r="74" spans="2:15" x14ac:dyDescent="0.25">
      <c r="C74" s="81" t="s">
        <v>96</v>
      </c>
      <c r="D74" s="84">
        <f>IF(Inputs!D12="Y", Prices!$C29, IF(Inputs!D12="Monthly", Prices!C29 * Prices!$L$30, 0))</f>
        <v>0</v>
      </c>
      <c r="E74" s="84">
        <f>IF(Inputs!E12="Y", Prices!$C29, IF(Inputs!E12="Monthly", Prices!D29 * Prices!$L$30, 0))</f>
        <v>0</v>
      </c>
      <c r="F74" s="84">
        <f>IF(Inputs!F12="Y", Prices!$C29, IF(Inputs!F12="Monthly", Prices!E29 * Prices!$L$30, 0))</f>
        <v>11520</v>
      </c>
      <c r="G74" s="84">
        <f>IF(Inputs!G12="Y", Prices!$C29, IF(Inputs!G12="Monthly", Prices!F29 * Prices!$L$30, 0))</f>
        <v>0</v>
      </c>
      <c r="H74" s="84">
        <f>IF(Inputs!H12="Y", Prices!$C29, IF(Inputs!H12="Monthly", Prices!G29 * Prices!$L$30, 0))</f>
        <v>0</v>
      </c>
    </row>
    <row r="76" spans="2:15" x14ac:dyDescent="0.25">
      <c r="B76" s="6" t="s">
        <v>45</v>
      </c>
      <c r="J76" s="89" t="s">
        <v>104</v>
      </c>
    </row>
    <row r="77" spans="2:15" x14ac:dyDescent="0.2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5" si="2">D66+D77+$J77</f>
        <v>10200.001</v>
      </c>
      <c r="L77" s="23">
        <f t="shared" ref="L77:L85" si="3">E66+E77+$J77</f>
        <v>1E-3</v>
      </c>
      <c r="M77" s="23">
        <f t="shared" ref="M77:M85" si="4">F66+F77+$J77</f>
        <v>1E-3</v>
      </c>
      <c r="N77" s="23">
        <f t="shared" ref="N77:N85" si="5">G66+G77+$J77</f>
        <v>1E-3</v>
      </c>
      <c r="O77" s="23">
        <f t="shared" ref="O77:O85" si="6">H66+H77+$J77</f>
        <v>1E-3</v>
      </c>
    </row>
    <row r="78" spans="2:15" x14ac:dyDescent="0.25">
      <c r="C78" s="17" t="s">
        <v>14</v>
      </c>
      <c r="D78" s="18">
        <f>IF(Inputs!D$6="Y", 0, IF(D$11 = "", 0, IF(Inputs!D23 = "Y", D$11*Prices!$E22, 0)))*D$10</f>
        <v>0</v>
      </c>
      <c r="E78" s="18">
        <f>IF(Inputs!E$6="Y", 0, IF(E$11 = "", 0, IF(Inputs!E23 = "Y", E$11*Prices!$E22, 0)))*E$10</f>
        <v>0</v>
      </c>
      <c r="F78" s="18">
        <f>IF(Inputs!F$6="Y", 0, IF(F$11 = "", 0, IF(Inputs!F23 = "Y", F$11*Prices!$E22, 0)))*F$10</f>
        <v>0</v>
      </c>
      <c r="G78" s="18">
        <f>IF(Inputs!G$6="Y", 0, IF(G$11 = "", 0, IF(Inputs!G23 = "Y", G$11*Prices!$E22, 0)))*G$10</f>
        <v>0</v>
      </c>
      <c r="H78" s="18">
        <f>IF(Inputs!H$6="Y", 0, IF(H$11 = "", 0, IF(Inputs!H23 = "Y", H$11*Prices!$E22, 0)))*H$10</f>
        <v>0</v>
      </c>
      <c r="J78" s="90">
        <f>J77+0.0001</f>
        <v>1.1000000000000001E-3</v>
      </c>
      <c r="K78" s="23">
        <f t="shared" si="2"/>
        <v>1.1000000000000001E-3</v>
      </c>
      <c r="L78" s="23">
        <f t="shared" si="3"/>
        <v>1.1000000000000001E-3</v>
      </c>
      <c r="M78" s="23">
        <f t="shared" si="4"/>
        <v>1.1000000000000001E-3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25">
      <c r="C79" s="19" t="s">
        <v>15</v>
      </c>
      <c r="D79" s="20">
        <f>IF(Inputs!D$6="Y", 0, IF(D$11 = "", 0, IF(Inputs!D24 = "Y", D$11*Prices!$E23, 0)))*D$10</f>
        <v>0</v>
      </c>
      <c r="E79" s="20">
        <f>IF(Inputs!E$6="Y", 0, IF(E$11 = "", 0, IF(Inputs!E24 = "Y", E$11*Prices!$E23, 0)))*E$10</f>
        <v>0</v>
      </c>
      <c r="F79" s="20">
        <f>IF(Inputs!F$6="Y", 0, IF(F$11 = "", 0, IF(Inputs!F24 = "Y", F$11*Prices!$E23, 0)))*F$10</f>
        <v>0</v>
      </c>
      <c r="G79" s="20">
        <f>IF(Inputs!G$6="Y", 0, IF(G$11 = "", 0, IF(Inputs!G24 = "Y", G$11*Prices!$E23, 0)))*G$10</f>
        <v>0</v>
      </c>
      <c r="H79" s="20">
        <f>IF(Inputs!H$6="Y", 0, IF(H$11 = "", 0, IF(Inputs!H24 = "Y", H$11*Prices!$E23, 0)))*H$10</f>
        <v>0</v>
      </c>
      <c r="J79" s="90">
        <f t="shared" ref="J79:J85" si="7">J78+0.0001</f>
        <v>1.2000000000000001E-3</v>
      </c>
      <c r="K79" s="23">
        <f t="shared" si="2"/>
        <v>1.2000000000000001E-3</v>
      </c>
      <c r="L79" s="23">
        <f t="shared" si="3"/>
        <v>42000.001199999999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25">
      <c r="C80" s="19" t="s">
        <v>129</v>
      </c>
      <c r="D80" s="20">
        <f>IF(Inputs!D$6="Y", 0, IF(D$11 = "", 0, IF(Inputs!D25 = "Y", D$11*Prices!$E24, 0)))*D$10</f>
        <v>0</v>
      </c>
      <c r="E80" s="20">
        <f>IF(Inputs!E$6="Y", 0, IF(E$11 = "", 0, IF(Inputs!E25 = "Y", E$11*Prices!$E24, 0)))*E$10</f>
        <v>0</v>
      </c>
      <c r="F80" s="20">
        <f>IF(Inputs!F$6="Y", 0, IF(F$11 = "", 0, IF(Inputs!F25 = "Y", F$11*Prices!$E24, 0)))*F$10</f>
        <v>0</v>
      </c>
      <c r="G80" s="20">
        <f>IF(Inputs!G$6="Y", 0, IF(G$11 = "", 0, IF(Inputs!G25 = "Y", G$11*Prices!$E24, 0)))*G$10</f>
        <v>0</v>
      </c>
      <c r="H80" s="20">
        <f>IF(Inputs!H$6="Y", 0, IF(H$11 = "", 0, IF(Inputs!H25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42000.001300000004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25">
      <c r="C81" s="19" t="s">
        <v>16</v>
      </c>
      <c r="D81" s="20">
        <f>IF(Inputs!D$6="Y", 0, IF(D$11 = "", 0, IF(Inputs!D26 = "Y", D$11*Prices!$E25, 0)))*D$10</f>
        <v>0</v>
      </c>
      <c r="E81" s="20">
        <f>IF(Inputs!E$6="Y", 0, IF(E$11 = "", 0, IF(Inputs!E26 = "Y", E$11*Prices!$E25, 0)))*E$10</f>
        <v>0</v>
      </c>
      <c r="F81" s="20">
        <f>IF(Inputs!F$6="Y", 0, IF(F$11 = "", 0, IF(Inputs!F26 = "Y", F$11*Prices!$E25, 0)))*F$10</f>
        <v>0</v>
      </c>
      <c r="G81" s="20">
        <f>IF(Inputs!G$6="Y", 0, IF(G$11 = "", 0, IF(Inputs!G26 = "Y", G$11*Prices!$E25, 0)))*G$10</f>
        <v>0</v>
      </c>
      <c r="H81" s="20">
        <f>IF(Inputs!H$6="Y", 0, IF(H$11 = "", 0, IF(Inputs!H26 = "Y", H$11*Prices!$E25, 0)))*H$10</f>
        <v>0</v>
      </c>
      <c r="J81" s="90">
        <f t="shared" si="7"/>
        <v>1.4000000000000002E-3</v>
      </c>
      <c r="K81" s="23">
        <f t="shared" si="2"/>
        <v>1.4000000000000002E-3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25">
      <c r="C82" s="19" t="s">
        <v>99</v>
      </c>
      <c r="D82" s="20">
        <f>IF(Inputs!D$6="Y", 0, IF(D$11 = "", 0, IF(Inputs!D27 = "Y", D$11*Prices!$E26 * IF(Inputs!D26="Y",1-Prices!$L$21,1),IF(Inputs!D27="Monthly", D$11*Prices!$E26 * Prices!$L$30 * IF(Inputs!D26="Y",1-Prices!$L$21,1), 0))))*D$10</f>
        <v>0</v>
      </c>
      <c r="E82" s="20">
        <f>IF(Inputs!E$6="Y", 0, IF(E$11 = "", 0, IF(Inputs!E27 = "Y", E$11*Prices!$E26 * IF(Inputs!E26="Y",1-Prices!$L$21,1),IF(Inputs!E27="Monthly", E$11*Prices!$E26 * Prices!$L$30 * IF(Inputs!E26="Y",1-Prices!$L$21,1), 0))))*E$10</f>
        <v>0</v>
      </c>
      <c r="F82" s="20">
        <f>IF(Inputs!F$6="Y", 0, IF(F$11 = "", 0, IF(Inputs!F27 = "Y", F$11*Prices!$E26 * IF(Inputs!F26="Y",1-Prices!$L$21,1),IF(Inputs!F27="Monthly", F$11*Prices!$E26 * Prices!$L$30 * IF(Inputs!F26="Y",1-Prices!$L$21,1), 0))))*F$10</f>
        <v>0</v>
      </c>
      <c r="G82" s="20">
        <f>IF(Inputs!G$6="Y", 0, IF(G$11 = "", 0, IF(Inputs!G27 = "Y", G$11*Prices!$E26 * IF(Inputs!G26="Y",1-Prices!$L$21,1),IF(Inputs!G27="Monthly", G$11*Prices!$E26 * Prices!$L$30 * IF(Inputs!G26="Y",1-Prices!$L$21,1), 0))))*G$10</f>
        <v>0</v>
      </c>
      <c r="H82" s="20">
        <f>IF(Inputs!H$6="Y", 0, IF(H$11 = "", 0, IF(Inputs!H27 = "Y", H$11*Prices!$E26 * IF(Inputs!H26="Y",1-Prices!$L$21,1),IF(Inputs!H27="Monthly", H$11*Prices!$E26 * Prices!$L$30 * IF(Inputs!H26="Y",1-Prices!$L$21,1),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25">
      <c r="C83" s="19" t="s">
        <v>150</v>
      </c>
      <c r="D83" s="20">
        <f>IF(Inputs!D$6="Y", 0, IF(D$11 = "", 0, IF(Inputs!D28 = "Y", D$11*Prices!$E27, 0)))*D$10</f>
        <v>0</v>
      </c>
      <c r="E83" s="20">
        <f>IF(Inputs!E$6="Y", 0, IF(E$11 = "", 0, IF(Inputs!E28 = "Y", E$11*Prices!$E27, 0)))*E$10</f>
        <v>0</v>
      </c>
      <c r="F83" s="20">
        <f>IF(Inputs!F$6="Y", 0, IF(F$11 = "", 0, IF(Inputs!F28 = "Y", F$11*Prices!$E27, 0)))*F$10</f>
        <v>22750</v>
      </c>
      <c r="G83" s="20">
        <f>IF(Inputs!G$6="Y", 0, IF(G$11 = "", 0, IF(Inputs!G28 = "Y", G$11*Prices!$E27, 0)))*G$10</f>
        <v>0</v>
      </c>
      <c r="H83" s="20">
        <f>IF(Inputs!H$6="Y", 0, IF(H$11 = "", 0, IF(Inputs!H28 = "Y", H$11*Prices!$E27, 0)))*H$10</f>
        <v>0</v>
      </c>
      <c r="J83" s="90">
        <f t="shared" si="7"/>
        <v>1.6000000000000003E-3</v>
      </c>
      <c r="K83" s="23">
        <f t="shared" si="2"/>
        <v>1.6000000000000003E-3</v>
      </c>
      <c r="L83" s="23">
        <f t="shared" si="3"/>
        <v>33600.001600000003</v>
      </c>
      <c r="M83" s="23">
        <f t="shared" si="4"/>
        <v>56350.001600000003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25">
      <c r="C84" s="19" t="s">
        <v>98</v>
      </c>
      <c r="D84" s="20">
        <f>IF(Inputs!D$6="Y", 0, IF(D$11 = "", 0, IF(Inputs!D29 = "Y", D$11*Prices!$E28, 0)))*D$10</f>
        <v>0</v>
      </c>
      <c r="E84" s="20">
        <f>IF(Inputs!E$6="Y", 0, IF(E$11 = "", 0, IF(Inputs!E29 = "Y", E$11*Prices!$E28, 0)))*E$10</f>
        <v>0</v>
      </c>
      <c r="F84" s="20">
        <f>IF(Inputs!F$6="Y", 0, IF(F$11 = "", 0, IF(Inputs!F29 = "Y", F$11*Prices!$E28, 0)))*F$10</f>
        <v>0</v>
      </c>
      <c r="G84" s="20">
        <f>IF(Inputs!G$6="Y", 0, IF(G$11 = "", 0, IF(Inputs!G29 = "Y", G$11*Prices!$E28, 0)))*G$10</f>
        <v>0</v>
      </c>
      <c r="H84" s="20">
        <f>IF(Inputs!H$6="Y", 0, IF(H$11 = "", 0, IF(Inputs!H29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25">
      <c r="C85" s="81" t="s">
        <v>96</v>
      </c>
      <c r="D85" s="84">
        <f>IF(Inputs!D$6="Y", 0, IF(D$11 = "", 0, IF(Inputs!D12 = "Y", D$11*Prices!$E29, IF(Inputs!D12="Monthly", D$11*Prices!$E29*Prices!$L$30,0))))*D$10</f>
        <v>0</v>
      </c>
      <c r="E85" s="84">
        <f>IF(Inputs!E$6="Y", 0, IF(E$11 = "", 0, IF(Inputs!E12 = "Y", E$11*Prices!$E29, IF(Inputs!E12="Monthly", E$11*Prices!$E29*Prices!$L$30,0))))*E$10</f>
        <v>0</v>
      </c>
      <c r="F85" s="84">
        <f>IF(Inputs!F$6="Y", 0, IF(F$11 = "", 0, IF(Inputs!F12 = "Y", F$11*Prices!$E29, IF(Inputs!F12="Monthly", F$11*Prices!$E29*Prices!$L$30,0))))*F$10</f>
        <v>54600</v>
      </c>
      <c r="G85" s="84">
        <f>IF(Inputs!G$6="Y", 0, IF(G$11 = "", 0, IF(Inputs!G12 = "Y", G$11*Prices!$E29, IF(Inputs!G12="Monthly", G$11*Prices!$E29*Prices!$L$30,0))))*G$10</f>
        <v>0</v>
      </c>
      <c r="H85" s="84">
        <f>IF(Inputs!H$6="Y", 0, IF(H$11 = "", 0, IF(Inputs!H12 = "Y", H$11*Prices!$E29, IF(Inputs!H12="Monthly", H$11*Prices!$E29*Prices!$L$30,0))))*H$10</f>
        <v>0</v>
      </c>
      <c r="J85" s="90">
        <f t="shared" si="7"/>
        <v>1.8000000000000004E-3</v>
      </c>
      <c r="K85" s="23">
        <f t="shared" si="2"/>
        <v>1.8000000000000004E-3</v>
      </c>
      <c r="L85" s="23">
        <f t="shared" si="3"/>
        <v>1.8000000000000004E-3</v>
      </c>
      <c r="M85" s="23">
        <f t="shared" si="4"/>
        <v>66120.001799999998</v>
      </c>
      <c r="N85" s="23">
        <f t="shared" si="5"/>
        <v>1.8000000000000004E-3</v>
      </c>
      <c r="O85" s="23">
        <f t="shared" si="6"/>
        <v>1.8000000000000004E-3</v>
      </c>
    </row>
    <row r="86" spans="2:15" x14ac:dyDescent="0.25">
      <c r="D86" s="1"/>
      <c r="E86" s="1"/>
      <c r="F86" s="1"/>
      <c r="G86" s="1"/>
      <c r="H86" s="1"/>
    </row>
    <row r="87" spans="2:15" x14ac:dyDescent="0.25">
      <c r="B87" s="6" t="s">
        <v>46</v>
      </c>
    </row>
    <row r="88" spans="2:15" x14ac:dyDescent="0.25">
      <c r="C88" s="17" t="s">
        <v>13</v>
      </c>
      <c r="D88" s="18">
        <f>D66</f>
        <v>10200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1</v>
      </c>
      <c r="L88" s="21">
        <f t="shared" ref="L88:O88" si="9">IF(COUNTIF(L$77:L$85,"")&gt;2,"",IFERROR(RANK(L77,L$77:L$85),8))</f>
        <v>9</v>
      </c>
      <c r="M88" s="21">
        <f t="shared" si="9"/>
        <v>9</v>
      </c>
      <c r="N88" s="21">
        <f t="shared" si="9"/>
        <v>9</v>
      </c>
      <c r="O88" s="21">
        <f t="shared" si="9"/>
        <v>9</v>
      </c>
    </row>
    <row r="89" spans="2:15" x14ac:dyDescent="0.25">
      <c r="C89" s="17" t="s">
        <v>14</v>
      </c>
      <c r="D89" s="18">
        <f>IF(D67=0,0,D67-SUM(D15:D21))</f>
        <v>0</v>
      </c>
      <c r="E89" s="18">
        <f t="shared" ref="E89:H89" si="10">IF(E67=0,0,E67-SUM(E15:E21))</f>
        <v>0</v>
      </c>
      <c r="F89" s="18">
        <f>IF(F67=0,0,F67-SUM(F15:F21))</f>
        <v>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9</v>
      </c>
      <c r="L89" s="21">
        <f t="shared" si="11"/>
        <v>8</v>
      </c>
      <c r="M89" s="21">
        <f t="shared" si="11"/>
        <v>8</v>
      </c>
      <c r="N89" s="21">
        <f t="shared" si="11"/>
        <v>8</v>
      </c>
      <c r="O89" s="21">
        <f t="shared" si="11"/>
        <v>8</v>
      </c>
    </row>
    <row r="90" spans="2:15" x14ac:dyDescent="0.25">
      <c r="C90" s="19" t="s">
        <v>15</v>
      </c>
      <c r="D90" s="20">
        <f>IF(D68=0,0,D68-SUM(D22:D24))</f>
        <v>0</v>
      </c>
      <c r="E90" s="20">
        <f>IF(E68=0,0,E68-SUM(E22:E24))</f>
        <v>16200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8</v>
      </c>
      <c r="L90" s="21">
        <f t="shared" si="12"/>
        <v>2</v>
      </c>
      <c r="M90" s="21">
        <f t="shared" si="12"/>
        <v>7</v>
      </c>
      <c r="N90" s="21">
        <f t="shared" si="12"/>
        <v>7</v>
      </c>
      <c r="O90" s="21">
        <f t="shared" si="12"/>
        <v>7</v>
      </c>
    </row>
    <row r="91" spans="2:15" x14ac:dyDescent="0.25">
      <c r="C91" s="19" t="s">
        <v>129</v>
      </c>
      <c r="D91" s="20">
        <f>IF(D69=0,0,D69-IF(Inputs!D24="Y", 0, SUM(D22:D24)))</f>
        <v>0</v>
      </c>
      <c r="E91" s="20">
        <f>IF(E69=0,0,E69-IF(Inputs!E24="Y", 0, SUM(E22:E24)))</f>
        <v>42000</v>
      </c>
      <c r="F91" s="20">
        <f>IF(F69=0,0,F69-IF(Inputs!F24="Y", 0, SUM(F22:F24)))</f>
        <v>0</v>
      </c>
      <c r="G91" s="20">
        <f>IF(G69=0,0,G69-IF(Inputs!G24="Y", 0, SUM(G22:G24)))</f>
        <v>0</v>
      </c>
      <c r="H91" s="20">
        <f>IF(H69=0,0,H69-IF(Inputs!H24="Y", 0, SUM(H22:H24)))</f>
        <v>0</v>
      </c>
      <c r="K91" s="21">
        <f t="shared" ref="K91:O91" si="13">IF(COUNTIF(K$77:K$85,"")&gt;2,"",IFERROR(RANK(K80,K$77:K$85),8))</f>
        <v>7</v>
      </c>
      <c r="L91" s="21">
        <f t="shared" si="13"/>
        <v>1</v>
      </c>
      <c r="M91" s="21">
        <f t="shared" si="13"/>
        <v>6</v>
      </c>
      <c r="N91" s="21">
        <f t="shared" si="13"/>
        <v>6</v>
      </c>
      <c r="O91" s="21">
        <f t="shared" si="13"/>
        <v>6</v>
      </c>
    </row>
    <row r="92" spans="2:15" x14ac:dyDescent="0.25">
      <c r="C92" s="19" t="s">
        <v>16</v>
      </c>
      <c r="D92" s="20">
        <f>D70</f>
        <v>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6</v>
      </c>
      <c r="L92" s="21">
        <f t="shared" si="14"/>
        <v>7</v>
      </c>
      <c r="M92" s="21">
        <f t="shared" si="14"/>
        <v>5</v>
      </c>
      <c r="N92" s="21">
        <f t="shared" si="14"/>
        <v>5</v>
      </c>
      <c r="O92" s="21">
        <f t="shared" si="14"/>
        <v>5</v>
      </c>
    </row>
    <row r="93" spans="2:15" x14ac:dyDescent="0.2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5</v>
      </c>
      <c r="L93" s="21">
        <f t="shared" si="16"/>
        <v>6</v>
      </c>
      <c r="M93" s="21">
        <f t="shared" si="16"/>
        <v>4</v>
      </c>
      <c r="N93" s="21">
        <f t="shared" si="16"/>
        <v>4</v>
      </c>
      <c r="O93" s="21">
        <f t="shared" si="16"/>
        <v>4</v>
      </c>
    </row>
    <row r="94" spans="2:15" x14ac:dyDescent="0.25">
      <c r="C94" s="19" t="s">
        <v>150</v>
      </c>
      <c r="D94" s="20">
        <f>IF(D72=0,0,D72-IF(OR(Inputs!D24="Y",Inputs!D25="Y"), 0, D23))</f>
        <v>0</v>
      </c>
      <c r="E94" s="20">
        <f>IF(E72=0,0,E72-IF(OR(Inputs!E24="Y",Inputs!E25="Y"), 0, E23))</f>
        <v>33600</v>
      </c>
      <c r="F94" s="20">
        <f>IF(F72=0,0,F72-IF(OR(Inputs!F24="Y",Inputs!F25="Y"), 0, F23))</f>
        <v>21600</v>
      </c>
      <c r="G94" s="20">
        <f>IF(G72=0,0,G72-IF(OR(Inputs!G24="Y",Inputs!G25="Y"), 0, G23))</f>
        <v>0</v>
      </c>
      <c r="H94" s="20">
        <f>IF(H72=0,0,H72-IF(OR(Inputs!H24="Y",Inputs!H25="Y"), 0, H23))</f>
        <v>0</v>
      </c>
      <c r="K94" s="21">
        <f t="shared" ref="K94:O94" si="17">IF(COUNTIF(K$77:K$85,"")&gt;2,"",IFERROR(RANK(K83,K$77:K$85),8))</f>
        <v>4</v>
      </c>
      <c r="L94" s="21">
        <f t="shared" si="17"/>
        <v>3</v>
      </c>
      <c r="M94" s="21">
        <f t="shared" si="17"/>
        <v>2</v>
      </c>
      <c r="N94" s="21">
        <f t="shared" si="17"/>
        <v>3</v>
      </c>
      <c r="O94" s="21">
        <f t="shared" si="17"/>
        <v>3</v>
      </c>
    </row>
    <row r="95" spans="2:15" x14ac:dyDescent="0.2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 t="shared" ref="K95:O95" si="19">IF(COUNTIF(K$77:K$85,"")&gt;2,"",IFERROR(RANK(K84,K$77:K$85),8))</f>
        <v>3</v>
      </c>
      <c r="L95" s="21">
        <f t="shared" si="19"/>
        <v>5</v>
      </c>
      <c r="M95" s="21">
        <f t="shared" si="19"/>
        <v>3</v>
      </c>
      <c r="N95" s="21">
        <f t="shared" si="19"/>
        <v>2</v>
      </c>
      <c r="O95" s="21">
        <f t="shared" si="19"/>
        <v>2</v>
      </c>
    </row>
    <row r="96" spans="2:15" x14ac:dyDescent="0.25">
      <c r="C96" s="81" t="s">
        <v>96</v>
      </c>
      <c r="D96" s="84">
        <f t="shared" ref="D96:H96" si="20">D74</f>
        <v>0</v>
      </c>
      <c r="E96" s="84">
        <f t="shared" si="20"/>
        <v>0</v>
      </c>
      <c r="F96" s="84">
        <f t="shared" si="20"/>
        <v>11520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2</v>
      </c>
      <c r="L96" s="21">
        <f t="shared" si="21"/>
        <v>4</v>
      </c>
      <c r="M96" s="21">
        <f t="shared" si="21"/>
        <v>1</v>
      </c>
      <c r="N96" s="21">
        <f t="shared" si="21"/>
        <v>1</v>
      </c>
      <c r="O96" s="21">
        <f t="shared" si="21"/>
        <v>1</v>
      </c>
    </row>
    <row r="98" spans="1:8" x14ac:dyDescent="0.25">
      <c r="B98" s="6" t="s">
        <v>47</v>
      </c>
    </row>
    <row r="99" spans="1:8" x14ac:dyDescent="0.2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25">
      <c r="C100" s="17" t="s">
        <v>14</v>
      </c>
      <c r="D100" s="18">
        <f>IF(D78=0,0,D78-SUM(D28:D34))</f>
        <v>0</v>
      </c>
      <c r="E100" s="18">
        <f t="shared" ref="E100:H100" si="22">IF(E78=0,0,E78-SUM(E28:E34))</f>
        <v>0</v>
      </c>
      <c r="F100" s="18">
        <f>IF(F78=0,0,F78-SUM(F28:F34))</f>
        <v>0</v>
      </c>
      <c r="G100" s="18">
        <f t="shared" si="22"/>
        <v>0</v>
      </c>
      <c r="H100" s="18">
        <f t="shared" si="22"/>
        <v>0</v>
      </c>
    </row>
    <row r="101" spans="1:8" x14ac:dyDescent="0.2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25">
      <c r="C102" s="19" t="s">
        <v>129</v>
      </c>
      <c r="D102" s="20">
        <f>IF(D80=0,0,D80-IF(Inputs!D24="Y", 0,SUM(D35:D36)))</f>
        <v>0</v>
      </c>
      <c r="E102" s="20">
        <f>IF(E80=0,0,E80-IF(Inputs!E24="Y", 0,SUM(E35:E36)))</f>
        <v>0</v>
      </c>
      <c r="F102" s="20">
        <f>IF(F80=0,0,F80-IF(Inputs!F24="Y", 0,SUM(F35:F36)))</f>
        <v>0</v>
      </c>
      <c r="G102" s="20">
        <f>IF(G80=0,0,G80-IF(Inputs!G24="Y", 0,SUM(G35:G36)))</f>
        <v>0</v>
      </c>
      <c r="H102" s="20">
        <f>IF(H80=0,0,H80-IF(Inputs!H24="Y", 0,SUM(H35:H36)))</f>
        <v>0</v>
      </c>
    </row>
    <row r="103" spans="1:8" x14ac:dyDescent="0.2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2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25">
      <c r="C105" s="19" t="s">
        <v>150</v>
      </c>
      <c r="D105" s="20">
        <f>IF(D83=0,0,D83-IF(OR(Inputs!D24="Y",Inputs!D25="Y"), 0, D36))</f>
        <v>0</v>
      </c>
      <c r="E105" s="20">
        <f>IF(E83=0,0,E83-IF(OR(Inputs!E24="Y",Inputs!E25="Y"), 0, E36))</f>
        <v>0</v>
      </c>
      <c r="F105" s="20">
        <f>IF(F83=0,0,F83-IF(OR(Inputs!F24="Y",Inputs!F25="Y"), 0, F36))</f>
        <v>0</v>
      </c>
      <c r="G105" s="20">
        <f>IF(G83=0,0,G83-IF(OR(Inputs!G24="Y",Inputs!G25="Y"), 0, G36))</f>
        <v>0</v>
      </c>
      <c r="H105" s="20">
        <f>IF(H83=0,0,H83-IF(OR(Inputs!H24="Y",Inputs!H25="Y"), 0, H36))</f>
        <v>0</v>
      </c>
    </row>
    <row r="106" spans="1:8" x14ac:dyDescent="0.2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2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54600</v>
      </c>
      <c r="G107" s="84">
        <f t="shared" si="25"/>
        <v>0</v>
      </c>
      <c r="H107" s="84">
        <f t="shared" si="25"/>
        <v>0</v>
      </c>
    </row>
    <row r="109" spans="1:8" x14ac:dyDescent="0.25">
      <c r="B109" s="6" t="s">
        <v>29</v>
      </c>
    </row>
    <row r="110" spans="1:8" x14ac:dyDescent="0.2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0</v>
      </c>
      <c r="E110" s="1">
        <f>_xlfn.IFNA(SUM(INDEX(E$66:E$74, MATCH($A110, L$88:L$96, 0)), INDEX(E$77:E$85, MATCH($A110, L$88:L$96, 0)))*Prices!$L$5*-1, 0)</f>
        <v>-12600</v>
      </c>
      <c r="F110" s="1">
        <f>_xlfn.IFNA(SUM(INDEX(F$66:F$74, MATCH($A110, M$88:M$96, 0)), INDEX(F$77:F$85, MATCH($A110, M$88:M$96, 0)))*Prices!$L$5*-1, 0)</f>
        <v>-16905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2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0</v>
      </c>
      <c r="E111" s="1">
        <f>_xlfn.IFNA(SUM(INDEX(E$66:E$74, MATCH($A111, L$88:L$96, 0)), INDEX(E$77:E$85, MATCH($A111, L$88:L$96, 0)))*Prices!$L$6*-1, 0)</f>
        <v>-15120</v>
      </c>
      <c r="F111" s="1">
        <f>_xlfn.IFNA(SUM(INDEX(F$66:F$74, MATCH($A111, M$88:M$96, 0)), INDEX(F$77:F$85, MATCH($A111, M$88:M$96, 0)))*Prices!$L$6*-1, 0)</f>
        <v>0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2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0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2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2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2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2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25">
      <c r="B118" s="6" t="s">
        <v>112</v>
      </c>
      <c r="D118" s="7">
        <f>SUM(D40:D50, D53:D63, D66:D74, D77:D85, D110:D116)</f>
        <v>28200</v>
      </c>
      <c r="E118" s="7">
        <f>SUM(E40:E50, E53:E63, E66:E74, E77:E85, E110:E116)</f>
        <v>107880</v>
      </c>
      <c r="F118" s="7">
        <f>SUM(F40:F50, F53:F63, F66:F74, F77:F85, F110:F116)</f>
        <v>185535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25">
      <c r="D119" s="1"/>
    </row>
    <row r="120" spans="1:8" x14ac:dyDescent="0.25">
      <c r="B120" s="6" t="s">
        <v>42</v>
      </c>
      <c r="D120" s="1">
        <f>IF(D130=1, 0, IF(D130=2, $E$133, IF(D130=3, $E$134, IF(D130=4, $E$135, IF(D130=5, $E$136, "")))))</f>
        <v>-14100</v>
      </c>
      <c r="E120" s="1">
        <f t="shared" ref="E120:H120" si="26">IF(E130=1, 0, IF(E130=2, $E$133, IF(E130=3, $E$134, IF(E130=4, $E$135, IF(E130=5, $E$136, "")))))</f>
        <v>-48546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25">
      <c r="D121" s="1"/>
      <c r="E121" s="1"/>
      <c r="F121" s="1"/>
      <c r="G121" s="1"/>
      <c r="H121" s="1"/>
    </row>
    <row r="122" spans="1:8" x14ac:dyDescent="0.25">
      <c r="B122" s="6" t="s">
        <v>82</v>
      </c>
      <c r="D122" s="1">
        <f>IF(Inputs!$D$7 = "Y", Prices!$L$19, 0)*-1</f>
        <v>-3525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25">
      <c r="B124" s="6" t="s">
        <v>113</v>
      </c>
      <c r="D124" s="7">
        <f>SUM(D118, D120,D122)</f>
        <v>10575</v>
      </c>
      <c r="E124" s="7">
        <f t="shared" ref="E124:H124" si="27">SUM(E118, E120,E122)</f>
        <v>59334</v>
      </c>
      <c r="F124" s="7">
        <f t="shared" si="27"/>
        <v>185535</v>
      </c>
      <c r="G124" s="7">
        <f t="shared" si="27"/>
        <v>0</v>
      </c>
      <c r="H124" s="7">
        <f t="shared" si="27"/>
        <v>0</v>
      </c>
    </row>
    <row r="127" spans="1:8" s="21" customFormat="1" x14ac:dyDescent="0.25">
      <c r="B127" s="27"/>
      <c r="C127" s="21" t="s">
        <v>114</v>
      </c>
      <c r="D127" s="21">
        <f>IFERROR(_xlfn.RANK.EQ(D118,$D$118:$H$118),5)</f>
        <v>3</v>
      </c>
      <c r="E127" s="21">
        <f t="shared" ref="E127:H127" si="28">IFERROR(_xlfn.RANK.EQ(E118,$D$118:$H$118),5)</f>
        <v>2</v>
      </c>
      <c r="F127" s="21">
        <f t="shared" si="28"/>
        <v>1</v>
      </c>
      <c r="G127" s="21">
        <f t="shared" si="28"/>
        <v>4</v>
      </c>
      <c r="H127" s="21">
        <f t="shared" si="28"/>
        <v>4</v>
      </c>
    </row>
    <row r="128" spans="1:8" s="21" customFormat="1" x14ac:dyDescent="0.2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25">
      <c r="B129" s="27"/>
      <c r="D129" s="21">
        <f>SUM(D127:D128)</f>
        <v>3.1</v>
      </c>
      <c r="E129" s="21">
        <f t="shared" ref="E129:H129" si="29">SUM(E127:E128)</f>
        <v>2.2000000000000002</v>
      </c>
      <c r="F129" s="21">
        <f t="shared" si="29"/>
        <v>1.3</v>
      </c>
      <c r="G129" s="21">
        <f t="shared" si="29"/>
        <v>4.4000000000000004</v>
      </c>
      <c r="H129" s="21">
        <f t="shared" si="29"/>
        <v>4.5</v>
      </c>
    </row>
    <row r="130" spans="2:8" s="21" customFormat="1" x14ac:dyDescent="0.25">
      <c r="B130" s="27"/>
      <c r="D130" s="21">
        <f>_xlfn.RANK.EQ(D129, $D$129:$H$129, 5)</f>
        <v>3</v>
      </c>
      <c r="E130" s="21">
        <f t="shared" ref="E130:H130" si="30">_xlfn.RANK.EQ(E129, $D$129:$H$129, 5)</f>
        <v>2</v>
      </c>
      <c r="F130" s="21">
        <f t="shared" si="30"/>
        <v>1</v>
      </c>
      <c r="G130" s="21">
        <f t="shared" si="30"/>
        <v>4</v>
      </c>
      <c r="H130" s="21">
        <f t="shared" si="30"/>
        <v>5</v>
      </c>
    </row>
    <row r="131" spans="2:8" s="21" customFormat="1" x14ac:dyDescent="0.25">
      <c r="B131" s="27"/>
    </row>
    <row r="132" spans="2:8" s="21" customFormat="1" x14ac:dyDescent="0.25">
      <c r="B132" s="27"/>
      <c r="C132" s="21" t="s">
        <v>115</v>
      </c>
    </row>
    <row r="133" spans="2:8" s="21" customFormat="1" x14ac:dyDescent="0.25">
      <c r="B133" s="27"/>
      <c r="D133" s="21" t="s">
        <v>116</v>
      </c>
      <c r="E133" s="98">
        <f>INDEX($D$118:$H$118, 1, MATCH(2, $D$130:$H$130, 0))*Prices!$L$10*-1</f>
        <v>-48546</v>
      </c>
    </row>
    <row r="134" spans="2:8" s="21" customFormat="1" x14ac:dyDescent="0.25">
      <c r="B134" s="27"/>
      <c r="D134" s="21" t="s">
        <v>117</v>
      </c>
      <c r="E134" s="23">
        <f>INDEX($D$118:$H$118, 1, MATCH(3, $D$130:$H$130, 0))*Prices!$L$11*-1</f>
        <v>-14100</v>
      </c>
    </row>
    <row r="135" spans="2:8" s="21" customFormat="1" x14ac:dyDescent="0.2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2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2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$L$28*15000</f>
        <v>18000</v>
      </c>
      <c r="D6" s="42">
        <f>IF(Inputs!$C$3="Monthly",33000,30000)</f>
        <v>33000</v>
      </c>
      <c r="E6" s="38">
        <f>ROUND(IF(Inputs!$C$3="Monthly",0.4,0.27), 2)</f>
        <v>0.4</v>
      </c>
      <c r="F6" s="38">
        <f>ROUND($E6*F$4, 2)</f>
        <v>0.24</v>
      </c>
      <c r="G6" s="38">
        <f>ROUND($E6*G$4, 2)</f>
        <v>0.1</v>
      </c>
      <c r="H6" s="38">
        <f>MAX(ROUND($E6*H$4, 2) + IF(ROUND($E6*H$4, 2) = G6, -0.01, 0), 0.01)</f>
        <v>0.08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$L$28*1000</f>
        <v>1200</v>
      </c>
      <c r="E10" s="40">
        <f>ROUND($L$28*0.04, 2)</f>
        <v>0.05</v>
      </c>
      <c r="F10" s="40">
        <f t="shared" ref="F10:H19" si="0">ROUND($E10*F$4, 2)</f>
        <v>0.03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$L$28*4000</f>
        <v>4800</v>
      </c>
      <c r="E11" s="40">
        <f>ROUND(IF(Inputs!$C$3="Monthly",0.07,0.05), 2)</f>
        <v>7.0000000000000007E-2</v>
      </c>
      <c r="F11" s="40">
        <f t="shared" si="0"/>
        <v>0.04</v>
      </c>
      <c r="G11" s="40">
        <f t="shared" si="0"/>
        <v>0.02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$L$28*2000</f>
        <v>2400</v>
      </c>
      <c r="E12" s="40">
        <f>ROUND($L$28*0.04, 2)</f>
        <v>0.05</v>
      </c>
      <c r="F12" s="40">
        <f t="shared" si="0"/>
        <v>0.03</v>
      </c>
      <c r="G12" s="40">
        <f t="shared" si="0"/>
        <v>0.01</v>
      </c>
      <c r="H12" s="40">
        <f t="shared" si="1"/>
        <v>0.01</v>
      </c>
    </row>
    <row r="13" spans="2:12" x14ac:dyDescent="0.25">
      <c r="B13" s="17" t="s">
        <v>9</v>
      </c>
      <c r="C13" s="44">
        <f>$L$28*2000</f>
        <v>2400</v>
      </c>
      <c r="E13" s="40">
        <f>ROUND($L$28*0.04, 2)</f>
        <v>0.05</v>
      </c>
      <c r="F13" s="40">
        <f t="shared" si="0"/>
        <v>0.03</v>
      </c>
      <c r="G13" s="40">
        <f t="shared" si="0"/>
        <v>0.01</v>
      </c>
      <c r="H13" s="40">
        <f t="shared" si="1"/>
        <v>0.01</v>
      </c>
      <c r="K13" s="4"/>
    </row>
    <row r="14" spans="2:12" x14ac:dyDescent="0.25">
      <c r="B14" s="17" t="s">
        <v>10</v>
      </c>
      <c r="C14" s="44">
        <f>$L$28*6000</f>
        <v>7200</v>
      </c>
      <c r="E14" s="40">
        <f>ROUND(IF(Inputs!$C$3="Monthly",0.07,0.05), 2)</f>
        <v>7.0000000000000007E-2</v>
      </c>
      <c r="F14" s="40">
        <f t="shared" si="0"/>
        <v>0.04</v>
      </c>
      <c r="G14" s="40">
        <f t="shared" si="0"/>
        <v>0.02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$L$28*4000</f>
        <v>4800</v>
      </c>
      <c r="E15" s="40">
        <f>ROUND(IF(Inputs!$C$3="Monthly",0.07,0.05), 2)</f>
        <v>7.0000000000000007E-2</v>
      </c>
      <c r="F15" s="40">
        <f t="shared" si="0"/>
        <v>0.04</v>
      </c>
      <c r="G15" s="40">
        <f t="shared" si="0"/>
        <v>0.02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25">
      <c r="B16" s="17" t="s">
        <v>154</v>
      </c>
      <c r="C16" s="44">
        <f>$L$28*3500</f>
        <v>4200</v>
      </c>
      <c r="E16" s="108">
        <f>ROUND(IF(Inputs!$C$3="Monthly",0.07,0.05), 2)</f>
        <v>7.0000000000000007E-2</v>
      </c>
      <c r="F16" s="108">
        <f t="shared" si="0"/>
        <v>0.04</v>
      </c>
      <c r="G16" s="108">
        <f t="shared" si="0"/>
        <v>0.02</v>
      </c>
      <c r="H16" s="108">
        <f>MAX(ROUND($E16*H$4, 2) + IF(ROUND($E16*H$4, 2) = G16, -0.01, 0), 0.01)</f>
        <v>0.01</v>
      </c>
      <c r="K16" s="4"/>
      <c r="L16" s="54"/>
    </row>
    <row r="17" spans="2:12" x14ac:dyDescent="0.25">
      <c r="B17" s="19" t="s">
        <v>11</v>
      </c>
      <c r="C17" s="45">
        <f>$L$28*10000</f>
        <v>12000</v>
      </c>
      <c r="E17" s="41">
        <f>ROUND(IF(Inputs!$C$3="Monthly",0.25,0.18), 2)</f>
        <v>0.25</v>
      </c>
      <c r="F17" s="41">
        <f t="shared" si="0"/>
        <v>0.15</v>
      </c>
      <c r="G17" s="41">
        <f t="shared" si="0"/>
        <v>0.06</v>
      </c>
      <c r="H17" s="41">
        <f t="shared" ref="H17:H29" si="2">MAX(ROUND($E17*H$4, 2) + IF(ROUND($E17*H$4, 2) = G17, -0.01, 0), 0.01)</f>
        <v>0.05</v>
      </c>
      <c r="K17" s="4"/>
      <c r="L17" s="3"/>
    </row>
    <row r="18" spans="2:12" x14ac:dyDescent="0.25">
      <c r="B18" s="19" t="s">
        <v>149</v>
      </c>
      <c r="C18" s="45">
        <f>$L$28*10000</f>
        <v>12000</v>
      </c>
      <c r="E18" s="41">
        <f>ROUND(IF(Inputs!$C$3="Monthly",0.25,0.18), 2)</f>
        <v>0.25</v>
      </c>
      <c r="F18" s="41">
        <f t="shared" si="0"/>
        <v>0.15</v>
      </c>
      <c r="G18" s="41">
        <f t="shared" si="0"/>
        <v>0.06</v>
      </c>
      <c r="H18" s="109">
        <f t="shared" si="2"/>
        <v>0.05</v>
      </c>
    </row>
    <row r="19" spans="2:12" x14ac:dyDescent="0.25">
      <c r="B19" s="19" t="s">
        <v>155</v>
      </c>
      <c r="C19" s="45">
        <f>$L$28*1500</f>
        <v>1800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25">
      <c r="C20" s="43"/>
      <c r="E20" s="39"/>
      <c r="F20" s="39"/>
      <c r="G20" s="39"/>
      <c r="H20" s="39"/>
    </row>
    <row r="21" spans="2:12" x14ac:dyDescent="0.25">
      <c r="B21" s="17" t="s">
        <v>13</v>
      </c>
      <c r="C21" s="44">
        <f>$L$28*8500</f>
        <v>10200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25">
      <c r="B22" s="17" t="s">
        <v>14</v>
      </c>
      <c r="C22" s="44">
        <f>$L$28*33000</f>
        <v>39600</v>
      </c>
      <c r="E22" s="40">
        <f>ROUND(IF(Inputs!$C$3="Monthly",0.4,0.28), 2)</f>
        <v>0.4</v>
      </c>
      <c r="F22" s="40">
        <f t="shared" si="3"/>
        <v>0.24</v>
      </c>
      <c r="G22" s="40">
        <f t="shared" si="3"/>
        <v>0.1</v>
      </c>
      <c r="H22" s="40">
        <f t="shared" si="2"/>
        <v>0.08</v>
      </c>
    </row>
    <row r="23" spans="2:12" x14ac:dyDescent="0.25">
      <c r="B23" s="19" t="s">
        <v>15</v>
      </c>
      <c r="C23" s="45">
        <f>$L$28*35000</f>
        <v>42000</v>
      </c>
      <c r="E23" s="41">
        <f>ROUND(IF(Inputs!$C$3="Monthly",0.42,0.29), 2)</f>
        <v>0.42</v>
      </c>
      <c r="F23" s="41">
        <f t="shared" si="3"/>
        <v>0.25</v>
      </c>
      <c r="G23" s="41">
        <f t="shared" si="3"/>
        <v>0.1</v>
      </c>
      <c r="H23" s="41">
        <f t="shared" si="2"/>
        <v>0.08</v>
      </c>
    </row>
    <row r="24" spans="2:12" x14ac:dyDescent="0.25">
      <c r="B24" s="19" t="s">
        <v>129</v>
      </c>
      <c r="C24" s="45">
        <f>$L$28*35000</f>
        <v>42000</v>
      </c>
      <c r="E24" s="41">
        <f>ROUND(IF(Inputs!$C$3="Monthly",0.42,0.29), 2)</f>
        <v>0.42</v>
      </c>
      <c r="F24" s="41">
        <f t="shared" si="3"/>
        <v>0.25</v>
      </c>
      <c r="G24" s="41">
        <f t="shared" si="3"/>
        <v>0.1</v>
      </c>
      <c r="H24" s="41">
        <f t="shared" si="2"/>
        <v>0.08</v>
      </c>
    </row>
    <row r="25" spans="2:12" x14ac:dyDescent="0.25">
      <c r="B25" s="19" t="s">
        <v>16</v>
      </c>
      <c r="C25" s="45">
        <f>$L$28*28000</f>
        <v>33600</v>
      </c>
      <c r="E25" s="41">
        <f>ROUND(IF(Inputs!$C$3="Monthly",0.25,0.18), 2)</f>
        <v>0.25</v>
      </c>
      <c r="F25" s="41">
        <f t="shared" si="3"/>
        <v>0.15</v>
      </c>
      <c r="G25" s="41">
        <f t="shared" si="3"/>
        <v>0.06</v>
      </c>
      <c r="H25" s="41">
        <f t="shared" si="2"/>
        <v>0.05</v>
      </c>
      <c r="K25" s="6" t="s">
        <v>125</v>
      </c>
      <c r="L25" s="96">
        <f>18000/15000</f>
        <v>1.2</v>
      </c>
    </row>
    <row r="26" spans="2:12" x14ac:dyDescent="0.25">
      <c r="B26" s="19" t="s">
        <v>99</v>
      </c>
      <c r="C26" s="45">
        <f>$L$28*33600</f>
        <v>40320</v>
      </c>
      <c r="E26" s="41">
        <f>ROUND($L$28*0.25, 2)</f>
        <v>0.3</v>
      </c>
      <c r="F26" s="41">
        <f t="shared" si="3"/>
        <v>0.18</v>
      </c>
      <c r="G26" s="41">
        <f t="shared" si="3"/>
        <v>7.0000000000000007E-2</v>
      </c>
      <c r="H26" s="41">
        <f t="shared" si="2"/>
        <v>0.06</v>
      </c>
    </row>
    <row r="27" spans="2:12" x14ac:dyDescent="0.25">
      <c r="B27" s="19" t="s">
        <v>150</v>
      </c>
      <c r="C27" s="45">
        <f>$L$28*28000</f>
        <v>33600</v>
      </c>
      <c r="E27" s="41">
        <f>ROUND(IF(Inputs!$C$3="Monthly",0.25,0.18), 2)</f>
        <v>0.25</v>
      </c>
      <c r="F27" s="41">
        <f t="shared" si="3"/>
        <v>0.15</v>
      </c>
      <c r="G27" s="41">
        <f t="shared" si="3"/>
        <v>0.06</v>
      </c>
      <c r="H27" s="41">
        <f t="shared" si="2"/>
        <v>0.05</v>
      </c>
    </row>
    <row r="28" spans="2:12" x14ac:dyDescent="0.25">
      <c r="B28" s="19" t="s">
        <v>98</v>
      </c>
      <c r="C28" s="45">
        <f>$L$28*20000</f>
        <v>24000</v>
      </c>
      <c r="E28" s="41">
        <f>ROUND($L$28*0.14, 2)</f>
        <v>0.17</v>
      </c>
      <c r="F28" s="41">
        <f t="shared" si="3"/>
        <v>0.1</v>
      </c>
      <c r="G28" s="41">
        <f t="shared" si="3"/>
        <v>0.04</v>
      </c>
      <c r="H28" s="41">
        <f t="shared" si="2"/>
        <v>0.03</v>
      </c>
      <c r="K28" s="6" t="s">
        <v>126</v>
      </c>
      <c r="L28" s="97">
        <f>IF(Inputs!$C$3="Monthly",Prices!$L$25,1)</f>
        <v>1.2</v>
      </c>
    </row>
    <row r="29" spans="2:12" x14ac:dyDescent="0.25">
      <c r="B29" s="81" t="s">
        <v>96</v>
      </c>
      <c r="C29" s="82">
        <f>$L$28*9600</f>
        <v>11520</v>
      </c>
      <c r="E29" s="83">
        <f>ROUND(IF(Inputs!$C$3="Monthly",0.6,0.42), 2)</f>
        <v>0.6</v>
      </c>
      <c r="F29" s="83">
        <f t="shared" si="3"/>
        <v>0.36</v>
      </c>
      <c r="G29" s="83">
        <f t="shared" si="3"/>
        <v>0.14000000000000001</v>
      </c>
      <c r="H29" s="83">
        <f t="shared" si="2"/>
        <v>0.12</v>
      </c>
    </row>
    <row r="30" spans="2:12" x14ac:dyDescent="0.25">
      <c r="K30" t="s">
        <v>133</v>
      </c>
      <c r="L30" s="102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/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IF(Inputs!D$10 &gt; $B2, $A3-$A2, MAX(0, Inputs!D$10-$A2))</f>
        <v>25000</v>
      </c>
      <c r="I2" s="5">
        <f>IF(Inputs!E$10 &gt; $B2, $A3-$A2, MAX(0, Inputs!E$10-$A2))</f>
        <v>50000</v>
      </c>
      <c r="J2" s="5">
        <f>IF(Inputs!F$10 &gt; $B2, $A3-$A2, MAX(0, Inputs!F$10-$A2))</f>
        <v>50000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0</v>
      </c>
      <c r="J3" s="5">
        <f>IF(Inputs!F$10 &gt; $B3, $A4-$A3, MAX(0, Inputs!F$10-$A3))</f>
        <v>50000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0</v>
      </c>
      <c r="J4" s="5">
        <f>IF(Inputs!F$10 &gt; $B4, $A5-$A4, MAX(0, Inputs!F$10-$A4))</f>
        <v>150000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10000</v>
      </c>
      <c r="J10" s="106">
        <f t="shared" si="1"/>
        <v>10000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8500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21000.000000000004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IF(Inputs!D$9 = "Y", SUM(H10:H16), 0)</f>
        <v>0</v>
      </c>
      <c r="I20" s="106">
        <f>IF(Inputs!E$9 = "Y", SUM(I10:I16), 0)</f>
        <v>10000</v>
      </c>
      <c r="J20" s="106">
        <f>IF(Inputs!F$9 = "Y", SUM(J10:J16), 0)</f>
        <v>39500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833.33333333333337</v>
      </c>
      <c r="J21" s="106">
        <f>J20/12</f>
        <v>3291.6666666666665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2019-03-18T19:42:33Z</dcterms:modified>
</cp:coreProperties>
</file>