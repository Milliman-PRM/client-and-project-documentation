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 activeTab="6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Inputs!$D$21:$D$22</definedName>
    <definedName name="_xlnm.Print_Area" localSheetId="2">Outputs_Internal!$B$1:$M$64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9" l="1"/>
  <c r="L7" i="9"/>
  <c r="L6" i="9"/>
  <c r="L5" i="9"/>
  <c r="L4" i="9"/>
  <c r="L3" i="9"/>
  <c r="L2" i="9"/>
  <c r="K8" i="9"/>
  <c r="K7" i="9"/>
  <c r="K6" i="9"/>
  <c r="K5" i="9"/>
  <c r="K4" i="9"/>
  <c r="K3" i="9"/>
  <c r="K2" i="9"/>
  <c r="J8" i="9"/>
  <c r="J7" i="9"/>
  <c r="J6" i="9"/>
  <c r="J5" i="9"/>
  <c r="J4" i="9"/>
  <c r="J3" i="9"/>
  <c r="J2" i="9"/>
  <c r="I8" i="9"/>
  <c r="I7" i="9"/>
  <c r="I6" i="9"/>
  <c r="I5" i="9"/>
  <c r="I4" i="9"/>
  <c r="I3" i="9"/>
  <c r="I2" i="9"/>
  <c r="H8" i="9"/>
  <c r="H7" i="9"/>
  <c r="H6" i="9"/>
  <c r="H5" i="9"/>
  <c r="H4" i="9"/>
  <c r="H3" i="9"/>
  <c r="H2" i="9"/>
  <c r="F21" i="9" l="1"/>
  <c r="F18" i="9"/>
  <c r="F16" i="9"/>
  <c r="F15" i="9"/>
  <c r="D21" i="9"/>
  <c r="D20" i="9"/>
  <c r="F20" i="9" s="1"/>
  <c r="D19" i="9"/>
  <c r="F19" i="9" s="1"/>
  <c r="D18" i="9"/>
  <c r="D17" i="9"/>
  <c r="F17" i="9" s="1"/>
  <c r="D16" i="9"/>
  <c r="D15" i="9"/>
  <c r="H79" i="1" l="1"/>
  <c r="G79" i="1"/>
  <c r="F79" i="1"/>
  <c r="H77" i="1"/>
  <c r="G77" i="1"/>
  <c r="F77" i="1"/>
  <c r="E77" i="1"/>
  <c r="H67" i="1"/>
  <c r="G67" i="1"/>
  <c r="F67" i="1"/>
  <c r="E67" i="1"/>
  <c r="D67" i="1"/>
  <c r="E79" i="1"/>
  <c r="H69" i="1"/>
  <c r="G69" i="1"/>
  <c r="F69" i="1"/>
  <c r="D69" i="1"/>
  <c r="E69" i="1"/>
  <c r="L28" i="3"/>
  <c r="D87" i="1" l="1"/>
  <c r="F26" i="7" l="1"/>
  <c r="E10" i="1"/>
  <c r="H47" i="1" l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E26" i="1" s="1"/>
  <c r="L26" i="3"/>
  <c r="C6" i="3" l="1"/>
  <c r="C27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F52" i="7" s="1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D11" i="1"/>
  <c r="F10" i="1"/>
  <c r="G10" i="1"/>
  <c r="H10" i="1"/>
  <c r="D10" i="1"/>
  <c r="D77" i="1" l="1"/>
  <c r="K77" i="1" s="1"/>
  <c r="D79" i="1"/>
  <c r="N77" i="1"/>
  <c r="O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L77" i="1"/>
  <c r="E75" i="1"/>
  <c r="E58" i="1"/>
  <c r="E34" i="1"/>
  <c r="E57" i="1"/>
  <c r="E33" i="1"/>
  <c r="H56" i="1"/>
  <c r="H75" i="1"/>
  <c r="G75" i="1"/>
  <c r="D75" i="1"/>
  <c r="F75" i="1"/>
  <c r="E24" i="5"/>
  <c r="F24" i="5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L79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G24" i="5" l="1"/>
  <c r="D72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3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4" i="7"/>
  <c r="D24" i="7"/>
  <c r="D93" i="1"/>
  <c r="D31" i="7"/>
  <c r="D58" i="7"/>
  <c r="H26" i="7"/>
  <c r="G26" i="7"/>
  <c r="I26" i="7" s="1"/>
  <c r="D49" i="7" l="1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3" i="7" l="1"/>
  <c r="K73" i="7" s="1"/>
  <c r="H72" i="7"/>
  <c r="M72" i="7" s="1"/>
  <c r="F72" i="7"/>
  <c r="K72" i="7" s="1"/>
  <c r="G73" i="7"/>
  <c r="L73" i="7" s="1"/>
  <c r="H73" i="7"/>
  <c r="M73" i="7" s="1"/>
  <c r="I73" i="7"/>
  <c r="N73" i="7" s="1"/>
  <c r="I72" i="7"/>
  <c r="N72" i="7" s="1"/>
  <c r="G72" i="7"/>
  <c r="L72" i="7" s="1"/>
  <c r="I68" i="7"/>
  <c r="G47" i="7"/>
  <c r="G46" i="7"/>
  <c r="H36" i="7"/>
  <c r="H68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H24" i="7" l="1"/>
  <c r="L24" i="7"/>
  <c r="F48" i="7"/>
  <c r="H48" i="7"/>
  <c r="H53" i="7"/>
  <c r="M53" i="7" s="1"/>
  <c r="F53" i="7"/>
  <c r="K53" i="7" s="1"/>
  <c r="D5" i="8"/>
  <c r="D6" i="8" s="1"/>
  <c r="J4" i="8"/>
  <c r="K4" i="8"/>
  <c r="I4" i="8"/>
  <c r="H4" i="8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68" i="7"/>
  <c r="F68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9" i="7" l="1"/>
  <c r="K39" i="7"/>
  <c r="L39" i="7"/>
  <c r="N39" i="7"/>
  <c r="I6" i="8"/>
  <c r="J6" i="8"/>
  <c r="H6" i="8"/>
  <c r="K6" i="8"/>
  <c r="K5" i="8"/>
  <c r="J5" i="8"/>
  <c r="I5" i="8"/>
  <c r="H5" i="8"/>
  <c r="D7" i="8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K74" i="1" l="1"/>
  <c r="D84" i="1"/>
  <c r="L74" i="1"/>
  <c r="E84" i="1"/>
  <c r="D83" i="1"/>
  <c r="F83" i="1"/>
  <c r="L19" i="7"/>
  <c r="N19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7" i="7"/>
  <c r="N37" i="7" s="1"/>
  <c r="D9" i="8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8" i="7"/>
  <c r="D66" i="1"/>
  <c r="K76" i="1" s="1"/>
  <c r="H14" i="1"/>
  <c r="G14" i="1"/>
  <c r="F14" i="1"/>
  <c r="E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1" i="7"/>
  <c r="N68" i="7"/>
  <c r="K68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G86" i="1"/>
  <c r="H19" i="5"/>
  <c r="H86" i="1"/>
  <c r="L68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8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F107" i="1" l="1"/>
  <c r="N10" i="7"/>
  <c r="K10" i="7"/>
  <c r="L10" i="7"/>
  <c r="H107" i="1"/>
  <c r="E107" i="1"/>
  <c r="D40" i="7"/>
  <c r="L40" i="7" s="1"/>
  <c r="G107" i="1"/>
  <c r="D107" i="1"/>
  <c r="D106" i="1"/>
  <c r="D70" i="7"/>
  <c r="K36" i="7"/>
  <c r="M36" i="7"/>
  <c r="N36" i="7"/>
  <c r="I9" i="8"/>
  <c r="E10" i="8"/>
  <c r="F9" i="8"/>
  <c r="K10" i="8"/>
  <c r="I10" i="8"/>
  <c r="J10" i="8"/>
  <c r="H10" i="8"/>
  <c r="N43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69" i="7"/>
  <c r="D96" i="1"/>
  <c r="D50" i="7" s="1"/>
  <c r="N50" i="7" s="1"/>
  <c r="D20" i="5"/>
  <c r="L36" i="7"/>
  <c r="K9" i="8"/>
  <c r="D102" i="1" l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I11" i="8"/>
  <c r="J11" i="8"/>
  <c r="K11" i="8"/>
  <c r="H11" i="8"/>
  <c r="E11" i="8"/>
  <c r="F10" i="8"/>
  <c r="F48" i="8"/>
  <c r="D12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F71" i="7" l="1"/>
  <c r="G71" i="7"/>
  <c r="I71" i="7"/>
  <c r="H71" i="7"/>
  <c r="D29" i="5"/>
  <c r="H29" i="5"/>
  <c r="E29" i="5"/>
  <c r="G29" i="5"/>
  <c r="F29" i="5"/>
  <c r="E109" i="1"/>
  <c r="G109" i="1"/>
  <c r="F109" i="1"/>
  <c r="H109" i="1"/>
  <c r="D109" i="1"/>
  <c r="K47" i="7"/>
  <c r="N47" i="7"/>
  <c r="I12" i="8"/>
  <c r="J12" i="8"/>
  <c r="K12" i="8"/>
  <c r="H12" i="8"/>
  <c r="E12" i="8"/>
  <c r="F11" i="8"/>
  <c r="F49" i="8"/>
  <c r="D13" i="8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F74" i="7" l="1"/>
  <c r="K74" i="7" s="1"/>
  <c r="I74" i="7"/>
  <c r="N74" i="7" s="1"/>
  <c r="G74" i="7"/>
  <c r="L74" i="7" s="1"/>
  <c r="H74" i="7"/>
  <c r="M74" i="7" s="1"/>
  <c r="F69" i="7"/>
  <c r="K69" i="7" s="1"/>
  <c r="H70" i="7"/>
  <c r="M70" i="7" s="1"/>
  <c r="N71" i="7"/>
  <c r="G69" i="7"/>
  <c r="L69" i="7" s="1"/>
  <c r="L71" i="7"/>
  <c r="M71" i="7"/>
  <c r="F70" i="7"/>
  <c r="K70" i="7" s="1"/>
  <c r="K71" i="7"/>
  <c r="G70" i="7"/>
  <c r="L70" i="7" s="1"/>
  <c r="I70" i="7"/>
  <c r="N70" i="7" s="1"/>
  <c r="H69" i="7"/>
  <c r="M69" i="7" s="1"/>
  <c r="I69" i="7"/>
  <c r="N69" i="7" s="1"/>
  <c r="E13" i="8"/>
  <c r="F12" i="8"/>
  <c r="J13" i="8"/>
  <c r="K13" i="8"/>
  <c r="I13" i="8"/>
  <c r="H13" i="8"/>
  <c r="F50" i="8"/>
  <c r="D14" i="8"/>
  <c r="D56" i="7"/>
  <c r="D118" i="1"/>
  <c r="D120" i="1" s="1"/>
  <c r="F118" i="1"/>
  <c r="F120" i="1" s="1"/>
  <c r="G118" i="1"/>
  <c r="H118" i="1"/>
  <c r="E118" i="1"/>
  <c r="I56" i="7" l="1"/>
  <c r="N56" i="7" s="1"/>
  <c r="F56" i="7"/>
  <c r="K56" i="7" s="1"/>
  <c r="H56" i="7"/>
  <c r="M56" i="7" s="1"/>
  <c r="G56" i="7"/>
  <c r="L56" i="7" s="1"/>
  <c r="K14" i="8"/>
  <c r="I14" i="8"/>
  <c r="H14" i="8"/>
  <c r="J14" i="8"/>
  <c r="E14" i="8"/>
  <c r="F13" i="8"/>
  <c r="F51" i="8"/>
  <c r="D15" i="8"/>
  <c r="E120" i="1"/>
  <c r="H120" i="1"/>
  <c r="G120" i="1"/>
  <c r="H57" i="7" l="1"/>
  <c r="F57" i="7"/>
  <c r="G57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7" i="7" l="1"/>
  <c r="I16" i="8"/>
  <c r="J16" i="8"/>
  <c r="K16" i="8"/>
  <c r="H16" i="8"/>
  <c r="E16" i="8"/>
  <c r="F15" i="8"/>
  <c r="F53" i="8"/>
  <c r="D17" i="8"/>
  <c r="E127" i="1"/>
  <c r="H111" i="1" s="1"/>
  <c r="H115" i="1" s="1"/>
  <c r="E125" i="1"/>
  <c r="E126" i="1"/>
  <c r="J17" i="8" l="1"/>
  <c r="K17" i="8"/>
  <c r="I17" i="8"/>
  <c r="H17" i="8"/>
  <c r="E17" i="8"/>
  <c r="F16" i="8"/>
  <c r="F54" i="8"/>
  <c r="D18" i="8"/>
  <c r="E111" i="1"/>
  <c r="F111" i="1"/>
  <c r="D111" i="1"/>
  <c r="G111" i="1"/>
  <c r="G115" i="1" s="1"/>
  <c r="H30" i="5"/>
  <c r="H33" i="5" s="1"/>
  <c r="H38" i="5" s="1"/>
  <c r="D30" i="5" l="1"/>
  <c r="D33" i="5" s="1"/>
  <c r="D115" i="1"/>
  <c r="F30" i="5"/>
  <c r="F33" i="5" s="1"/>
  <c r="F38" i="5" s="1"/>
  <c r="F115" i="1"/>
  <c r="E30" i="5"/>
  <c r="E33" i="5" s="1"/>
  <c r="E38" i="5" s="1"/>
  <c r="E115" i="1"/>
  <c r="K18" i="8"/>
  <c r="I18" i="8"/>
  <c r="H18" i="8"/>
  <c r="J18" i="8"/>
  <c r="E18" i="8"/>
  <c r="F17" i="8"/>
  <c r="F55" i="8"/>
  <c r="D19" i="8"/>
  <c r="G30" i="5"/>
  <c r="D57" i="7" l="1"/>
  <c r="N57" i="7" s="1"/>
  <c r="N60" i="7" s="1"/>
  <c r="Q3" i="8" s="1"/>
  <c r="D38" i="5"/>
  <c r="I19" i="8"/>
  <c r="J19" i="8"/>
  <c r="H19" i="8"/>
  <c r="K19" i="8"/>
  <c r="E19" i="8"/>
  <c r="F18" i="8"/>
  <c r="F56" i="8"/>
  <c r="D20" i="8"/>
  <c r="G33" i="5"/>
  <c r="G38" i="5" s="1"/>
  <c r="Q12" i="8" l="1"/>
  <c r="Q5" i="8"/>
  <c r="Q15" i="8"/>
  <c r="M57" i="7"/>
  <c r="M60" i="7" s="1"/>
  <c r="P86" i="8" s="1"/>
  <c r="Q10" i="8"/>
  <c r="Q51" i="8"/>
  <c r="Q50" i="8"/>
  <c r="Q49" i="8"/>
  <c r="Q78" i="8"/>
  <c r="L57" i="7"/>
  <c r="L60" i="7" s="1"/>
  <c r="O92" i="8" s="1"/>
  <c r="Q93" i="8"/>
  <c r="Q89" i="8"/>
  <c r="Q86" i="8"/>
  <c r="Q16" i="8"/>
  <c r="Q52" i="8"/>
  <c r="Q91" i="8"/>
  <c r="Q88" i="8"/>
  <c r="Q79" i="8"/>
  <c r="Q48" i="8"/>
  <c r="K57" i="7"/>
  <c r="K60" i="7" s="1"/>
  <c r="N52" i="8" s="1"/>
  <c r="Q13" i="8"/>
  <c r="Q90" i="8"/>
  <c r="Q8" i="8"/>
  <c r="Q14" i="8"/>
  <c r="Q17" i="8"/>
  <c r="Q81" i="8"/>
  <c r="Q85" i="8"/>
  <c r="Q83" i="8"/>
  <c r="Q87" i="8"/>
  <c r="Q7" i="8"/>
  <c r="Q80" i="8"/>
  <c r="Q84" i="8"/>
  <c r="Q4" i="8"/>
  <c r="Q82" i="8"/>
  <c r="Q56" i="8"/>
  <c r="Q53" i="8"/>
  <c r="Q6" i="8"/>
  <c r="Q11" i="8"/>
  <c r="Q47" i="8"/>
  <c r="Q92" i="8"/>
  <c r="Q54" i="8"/>
  <c r="Q18" i="8"/>
  <c r="Q55" i="8"/>
  <c r="Q9" i="8"/>
  <c r="Q94" i="8"/>
  <c r="Q45" i="8"/>
  <c r="Q46" i="8"/>
  <c r="W47" i="8" s="1"/>
  <c r="C43" i="5"/>
  <c r="D60" i="7"/>
  <c r="M9" i="8" s="1"/>
  <c r="I20" i="8"/>
  <c r="J20" i="8"/>
  <c r="K20" i="8"/>
  <c r="H20" i="8"/>
  <c r="D21" i="8"/>
  <c r="E20" i="8"/>
  <c r="F19" i="8"/>
  <c r="F57" i="8"/>
  <c r="Q57" i="8" s="1"/>
  <c r="N93" i="8" l="1"/>
  <c r="N47" i="8"/>
  <c r="N17" i="8"/>
  <c r="P84" i="8"/>
  <c r="N19" i="8"/>
  <c r="N94" i="8"/>
  <c r="N87" i="8"/>
  <c r="N51" i="8"/>
  <c r="P51" i="8"/>
  <c r="N5" i="8"/>
  <c r="O12" i="8"/>
  <c r="O94" i="8"/>
  <c r="O52" i="8"/>
  <c r="O13" i="8"/>
  <c r="O14" i="8"/>
  <c r="O81" i="8"/>
  <c r="W14" i="8"/>
  <c r="O45" i="8"/>
  <c r="O8" i="8"/>
  <c r="O6" i="8"/>
  <c r="O85" i="8"/>
  <c r="O82" i="8"/>
  <c r="O83" i="8"/>
  <c r="O88" i="8"/>
  <c r="O18" i="8"/>
  <c r="O10" i="8"/>
  <c r="O49" i="8"/>
  <c r="O80" i="8"/>
  <c r="O84" i="8"/>
  <c r="O56" i="8"/>
  <c r="O90" i="8"/>
  <c r="O16" i="8"/>
  <c r="O87" i="8"/>
  <c r="O86" i="8"/>
  <c r="N3" i="8"/>
  <c r="N49" i="8"/>
  <c r="N9" i="8"/>
  <c r="N46" i="8"/>
  <c r="P92" i="8"/>
  <c r="P7" i="8"/>
  <c r="P55" i="8"/>
  <c r="P48" i="8"/>
  <c r="P82" i="8"/>
  <c r="N48" i="8"/>
  <c r="N81" i="8"/>
  <c r="P87" i="8"/>
  <c r="P4" i="8"/>
  <c r="P11" i="8"/>
  <c r="P5" i="8"/>
  <c r="N54" i="8"/>
  <c r="N55" i="8"/>
  <c r="N78" i="8"/>
  <c r="P47" i="8"/>
  <c r="P9" i="8"/>
  <c r="P83" i="8"/>
  <c r="P45" i="8"/>
  <c r="D61" i="7"/>
  <c r="N89" i="8"/>
  <c r="N8" i="8"/>
  <c r="N92" i="8"/>
  <c r="P79" i="8"/>
  <c r="P49" i="8"/>
  <c r="P6" i="8"/>
  <c r="P80" i="8"/>
  <c r="P56" i="8"/>
  <c r="P91" i="8"/>
  <c r="N83" i="8"/>
  <c r="P15" i="8"/>
  <c r="P94" i="8"/>
  <c r="P93" i="8"/>
  <c r="P17" i="8"/>
  <c r="P53" i="8"/>
  <c r="N79" i="8"/>
  <c r="N13" i="8"/>
  <c r="N10" i="8"/>
  <c r="P14" i="8"/>
  <c r="N91" i="8"/>
  <c r="N12" i="8"/>
  <c r="N15" i="8"/>
  <c r="N18" i="8"/>
  <c r="P18" i="8"/>
  <c r="P88" i="8"/>
  <c r="P54" i="8"/>
  <c r="W89" i="8"/>
  <c r="N84" i="8"/>
  <c r="N56" i="8"/>
  <c r="N82" i="8"/>
  <c r="N86" i="8"/>
  <c r="P10" i="8"/>
  <c r="P89" i="8"/>
  <c r="N6" i="8"/>
  <c r="N53" i="8"/>
  <c r="P50" i="8"/>
  <c r="P81" i="8"/>
  <c r="N88" i="8"/>
  <c r="N11" i="8"/>
  <c r="N45" i="8"/>
  <c r="N16" i="8"/>
  <c r="N7" i="8"/>
  <c r="N14" i="8"/>
  <c r="N80" i="8"/>
  <c r="N4" i="8"/>
  <c r="N85" i="8"/>
  <c r="P8" i="8"/>
  <c r="P78" i="8"/>
  <c r="P90" i="8"/>
  <c r="P12" i="8"/>
  <c r="W83" i="8"/>
  <c r="P85" i="8"/>
  <c r="W53" i="8"/>
  <c r="N50" i="8"/>
  <c r="P52" i="8"/>
  <c r="P16" i="8"/>
  <c r="P46" i="8"/>
  <c r="P13" i="8"/>
  <c r="P3" i="8"/>
  <c r="N90" i="8"/>
  <c r="W92" i="8"/>
  <c r="W8" i="8"/>
  <c r="W11" i="8"/>
  <c r="W56" i="8"/>
  <c r="W86" i="8"/>
  <c r="W50" i="8"/>
  <c r="W17" i="8"/>
  <c r="W80" i="8"/>
  <c r="W5" i="8"/>
  <c r="O46" i="8"/>
  <c r="O54" i="8"/>
  <c r="O50" i="8"/>
  <c r="O89" i="8"/>
  <c r="O48" i="8"/>
  <c r="O7" i="8"/>
  <c r="O5" i="8"/>
  <c r="O15" i="8"/>
  <c r="O9" i="8"/>
  <c r="O51" i="8"/>
  <c r="O79" i="8"/>
  <c r="O93" i="8"/>
  <c r="O47" i="8"/>
  <c r="O17" i="8"/>
  <c r="O78" i="8"/>
  <c r="O3" i="8"/>
  <c r="O53" i="8"/>
  <c r="O11" i="8"/>
  <c r="O4" i="8"/>
  <c r="O91" i="8"/>
  <c r="O55" i="8"/>
  <c r="M16" i="8"/>
  <c r="N57" i="8"/>
  <c r="M84" i="8"/>
  <c r="P57" i="8"/>
  <c r="M82" i="8"/>
  <c r="M8" i="8"/>
  <c r="M89" i="8"/>
  <c r="O57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F58" i="8"/>
  <c r="Q58" i="8" s="1"/>
  <c r="D22" i="8"/>
  <c r="U8" i="8" l="1"/>
  <c r="V14" i="8"/>
  <c r="T8" i="8"/>
  <c r="T11" i="8"/>
  <c r="U14" i="8"/>
  <c r="V11" i="8"/>
  <c r="T14" i="8"/>
  <c r="V8" i="8"/>
  <c r="T5" i="8"/>
  <c r="V17" i="8"/>
  <c r="T17" i="8"/>
  <c r="V5" i="8"/>
  <c r="U11" i="8"/>
  <c r="U5" i="8"/>
  <c r="U17" i="8"/>
  <c r="S8" i="8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3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3" i="7" s="1"/>
  <c r="J92" i="8"/>
  <c r="U92" i="8" s="1"/>
  <c r="L63" i="7" s="1"/>
  <c r="K92" i="8"/>
  <c r="V92" i="8" s="1"/>
  <c r="M63" i="7" s="1"/>
  <c r="H92" i="8"/>
  <c r="S92" i="8" s="1"/>
  <c r="D93" i="8"/>
  <c r="C42" i="5" l="1"/>
  <c r="D63" i="7"/>
  <c r="J93" i="8"/>
  <c r="K93" i="8"/>
  <c r="H93" i="8"/>
  <c r="I93" i="8"/>
  <c r="D94" i="8"/>
  <c r="M64" i="7" l="1"/>
  <c r="N64" i="7"/>
  <c r="K94" i="8"/>
  <c r="H94" i="8"/>
  <c r="I94" i="8"/>
  <c r="J94" i="8"/>
  <c r="K64" i="7"/>
  <c r="L64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<sst xmlns="http://schemas.openxmlformats.org/spreadsheetml/2006/main" count="381" uniqueCount="140">
  <si>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</si>
  <si>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</si>
  <si>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</si>
  <si>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</si>
  <si>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</si>
  <si>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</si>
  <si>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</si>
  <si>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</si>
  <si>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</si>
  <si>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</si>
  <si>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</si>
  <si>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</si>
  <si>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</si>
  <si>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</si>
  <si>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</si>
  <si>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</si>
  <si>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</si>
  <si>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</si>
  <si>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</si>
  <si>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</si>
  <si>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</si>
  <si>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</si>
  <si>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</si>
  <si>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</si>
  <si>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</si>
  <si>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</si>
  <si>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</si>
  <si>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</si>
  <si>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</si>
  <si>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</si>
  <si>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</si>
  <si>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</si>
  <si>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</si>
  <si>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</si>
  <si>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</si>
  <si>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</si>
  <si>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</si>
  <si>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</si>
  <si>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</si>
  <si>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</si>
  <si>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</si>
  <si>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</si>
  <si>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</si>
  <si>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</si>
  <si>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</si>
  <si>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</si>
  <si>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</si>
  <si>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</si>
  <si>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</si>
  <si>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</si>
  <si>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</si>
  <si>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</si>
  <si>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</si>
  <si>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</si>
  <si>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</si>
  <si>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</si>
  <si>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</si>
  <si>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</si>
  <si>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</si>
  <si>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</si>
  <si>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</si>
  <si>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</si>
  <si>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</si>
  <si>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</si>
  <si>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</si>
  <si>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</si>
  <si>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</si>
  <si>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</si>
  <si>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</si>
  <si>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</si>
  <si>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</si>
  <si>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</si>
  <si>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</si>
  <si>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</si>
  <si>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</si>
  <si>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</si>
  <si>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</si>
  <si>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</si>
  <si>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</si>
  <si>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</si>
  <si>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</si>
  <si>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</si>
  <si>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</si>
  <si>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</si>
  <si>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</si>
  <si>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</si>
  <si>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</si>
  <si>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</si>
  <si>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</si>
  <si>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</si>
  <si>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</si>
  <si>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</si>
  <si>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</si>
  <si>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</si>
  <si>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</si>
  <si>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</si>
  <si>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</si>
  <si>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</si>
  <si>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</si>
  <si>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</si>
  <si>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</si>
  <si>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</si>
  <si>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</si>
  <si>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</si>
  <si>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</si>
  <si>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</si>
  <si>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</si>
  <si>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</si>
  <si>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</si>
  <si>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</si>
  <si>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</si>
  <si>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</si>
  <si>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</si>
  <si>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</si>
  <si>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</si>
  <si>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</si>
  <si>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</si>
  <si>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</si>
  <si>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</si>
  <si>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</si>
  <si>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</si>
  <si>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</si>
  <si>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</si>
  <si>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</si>
  <si>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</si>
  <si>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</si>
  <si>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</si>
  <si>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</si>
  <si>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</si>
  <si>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</si>
  <si>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</si>
  <si>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</si>
  <si>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</si>
  <si>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</si>
  <si>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</si>
  <si>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</si>
  <si>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</si>
  <si>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</si>
  <si>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</si>
  <si>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Our 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</si>
</sst>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4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7"/>
  <sheetViews>
    <sheetView showGridLines="0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D10" sqref="D10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59</v>
      </c>
      <c r="C1" s="70">
        <v>43101</v>
      </c>
    </row>
    <row r="2" spans="2:12" x14ac:dyDescent="0.35">
      <c r="B2" s="67" t="s">
        <v>73</v>
      </c>
      <c r="C2" s="71">
        <v>36</v>
      </c>
    </row>
    <row r="3" spans="2:12" x14ac:dyDescent="0.35">
      <c r="B3" s="67" t="s">
        <v>123</v>
      </c>
      <c r="C3" s="55" t="s">
        <v>125</v>
      </c>
    </row>
    <row r="4" spans="2:12" x14ac:dyDescent="0.35">
      <c r="B4" s="67" t="s">
        <v>132</v>
      </c>
      <c r="C4" s="55" t="s">
        <v>41</v>
      </c>
    </row>
    <row r="5" spans="2:12" x14ac:dyDescent="0.3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3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3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3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35">
      <c r="B9" s="69" t="s">
        <v>4</v>
      </c>
      <c r="D9" s="55">
        <v>273000</v>
      </c>
      <c r="E9" s="55">
        <v>250000</v>
      </c>
      <c r="F9" s="55"/>
      <c r="G9" s="55"/>
      <c r="H9" s="56"/>
      <c r="L9" t="s">
        <v>124</v>
      </c>
    </row>
    <row r="10" spans="2:12" ht="18" customHeight="1" x14ac:dyDescent="0.35">
      <c r="B10" s="69" t="s">
        <v>111</v>
      </c>
      <c r="D10" s="55">
        <v>1</v>
      </c>
      <c r="E10" s="55">
        <v>3</v>
      </c>
      <c r="F10" s="55"/>
      <c r="G10" s="55"/>
      <c r="H10" s="56"/>
      <c r="L10" t="s">
        <v>125</v>
      </c>
    </row>
    <row r="11" spans="2:12" ht="18" customHeight="1" x14ac:dyDescent="0.35">
      <c r="B11" s="69" t="s">
        <v>98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35">
      <c r="B12" s="69" t="s">
        <v>7</v>
      </c>
      <c r="D12" s="55" t="s">
        <v>29</v>
      </c>
      <c r="E12" s="55" t="s">
        <v>29</v>
      </c>
      <c r="F12" s="55"/>
      <c r="G12" s="55"/>
      <c r="H12" s="56"/>
      <c r="L12" t="s">
        <v>41</v>
      </c>
    </row>
    <row r="13" spans="2:12" ht="18" customHeight="1" x14ac:dyDescent="0.35">
      <c r="B13" s="69" t="s">
        <v>8</v>
      </c>
      <c r="D13" s="55" t="s">
        <v>29</v>
      </c>
      <c r="E13" s="55" t="s">
        <v>29</v>
      </c>
      <c r="F13" s="55"/>
      <c r="G13" s="55"/>
      <c r="H13" s="56"/>
      <c r="L13" t="s">
        <v>42</v>
      </c>
    </row>
    <row r="14" spans="2:12" ht="18" customHeight="1" x14ac:dyDescent="0.35">
      <c r="B14" s="69" t="s">
        <v>22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35">
      <c r="B15" s="69" t="s">
        <v>9</v>
      </c>
      <c r="D15" s="55" t="s">
        <v>29</v>
      </c>
      <c r="E15" s="55" t="s">
        <v>29</v>
      </c>
      <c r="F15" s="55"/>
      <c r="G15" s="55"/>
      <c r="H15" s="56"/>
      <c r="L15" t="s">
        <v>3</v>
      </c>
    </row>
    <row r="16" spans="2:12" ht="18" customHeight="1" x14ac:dyDescent="0.35">
      <c r="B16" s="69" t="s">
        <v>10</v>
      </c>
      <c r="D16" s="55" t="s">
        <v>29</v>
      </c>
      <c r="E16" s="55" t="s">
        <v>29</v>
      </c>
      <c r="F16" s="55"/>
      <c r="G16" s="55"/>
      <c r="H16" s="56"/>
      <c r="L16" t="s">
        <v>29</v>
      </c>
    </row>
    <row r="17" spans="2:12" ht="18" customHeight="1" x14ac:dyDescent="0.35">
      <c r="B17" s="69" t="s">
        <v>78</v>
      </c>
      <c r="D17" s="55" t="s">
        <v>29</v>
      </c>
      <c r="E17" s="55" t="s">
        <v>29</v>
      </c>
      <c r="F17" s="55"/>
      <c r="G17" s="55"/>
      <c r="H17" s="56"/>
      <c r="L17" t="s">
        <v>124</v>
      </c>
    </row>
    <row r="18" spans="2:12" ht="18" customHeight="1" x14ac:dyDescent="0.35">
      <c r="B18" s="69" t="s">
        <v>11</v>
      </c>
      <c r="D18" s="55" t="s">
        <v>29</v>
      </c>
      <c r="E18" s="55" t="s">
        <v>3</v>
      </c>
      <c r="F18" s="55"/>
      <c r="G18" s="55"/>
      <c r="H18" s="56"/>
    </row>
    <row r="19" spans="2:12" ht="18" customHeight="1" x14ac:dyDescent="0.35">
      <c r="B19" s="69" t="s">
        <v>12</v>
      </c>
      <c r="D19" s="55" t="s">
        <v>29</v>
      </c>
      <c r="E19" s="55" t="s">
        <v>29</v>
      </c>
      <c r="F19" s="55"/>
      <c r="G19" s="55"/>
      <c r="H19" s="56"/>
    </row>
    <row r="20" spans="2:12" ht="18" customHeight="1" x14ac:dyDescent="0.35">
      <c r="B20" s="69" t="s">
        <v>13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35">
      <c r="B21" s="69" t="s">
        <v>14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35">
      <c r="B22" s="69" t="s">
        <v>15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35">
      <c r="B23" s="69" t="s">
        <v>16</v>
      </c>
      <c r="D23" s="55" t="s">
        <v>3</v>
      </c>
      <c r="E23" s="55" t="s">
        <v>3</v>
      </c>
      <c r="F23" s="55"/>
      <c r="G23" s="55"/>
      <c r="H23" s="56"/>
    </row>
    <row r="24" spans="2:12" ht="18" customHeight="1" x14ac:dyDescent="0.35">
      <c r="B24" s="69" t="s">
        <v>130</v>
      </c>
      <c r="D24" s="55" t="s">
        <v>29</v>
      </c>
      <c r="E24" s="55" t="s">
        <v>3</v>
      </c>
      <c r="F24" s="55"/>
      <c r="G24" s="55"/>
      <c r="H24" s="56"/>
    </row>
    <row r="25" spans="2:12" ht="18" customHeight="1" x14ac:dyDescent="0.35">
      <c r="B25" s="69" t="s">
        <v>17</v>
      </c>
      <c r="D25" s="55" t="s">
        <v>29</v>
      </c>
      <c r="E25" s="55" t="s">
        <v>29</v>
      </c>
      <c r="F25" s="55"/>
      <c r="G25" s="55"/>
      <c r="H25" s="56"/>
    </row>
    <row r="26" spans="2:12" ht="18" customHeight="1" x14ac:dyDescent="0.35">
      <c r="B26" s="69" t="s">
        <v>100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35">
      <c r="B27" s="92" t="s">
        <v>99</v>
      </c>
      <c r="C27" s="93"/>
      <c r="D27" s="94" t="s">
        <v>29</v>
      </c>
      <c r="E27" s="94" t="s">
        <v>29</v>
      </c>
      <c r="F27" s="94"/>
      <c r="G27" s="94"/>
      <c r="H27" s="95"/>
    </row>
  </sheetData>
  <dataValidations count="5">
    <dataValidation type="list" allowBlank="1" showInputMessage="1" showErrorMessage="1" sqref="D12:H25 D6:H8 D27">
      <formula1>$L$6:$L$7</formula1>
    </dataValidation>
    <dataValidation type="whole" operator="greaterThan" allowBlank="1" showInputMessage="1" showErrorMessage="1" sqref="D9:H10">
      <formula1>0</formula1>
    </dataValidation>
    <dataValidation type="list" allowBlank="1" showInputMessage="1" showErrorMessage="1" sqref="C3">
      <formula1>$L$9:$L$10</formula1>
    </dataValidation>
    <dataValidation type="list" allowBlank="1" showInputMessage="1" showErrorMessage="1" sqref="C4">
      <formula1>$L$12:$L$13</formula1>
    </dataValidation>
    <dataValidation type="list" allowBlank="1" showInputMessage="1" showErrorMessage="1" sqref="D11:H11 D26:H26">
      <formula1>$L$15:$L$17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36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37</v>
      </c>
    </row>
    <row r="19" spans="2:21" x14ac:dyDescent="0.3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16</v>
      </c>
      <c r="D21" s="1">
        <f>SUM(Calcs!D64, Calcs!D74)</f>
        <v>35000</v>
      </c>
      <c r="E21" s="1">
        <f>SUM(Calcs!E64, Calcs!E74)</f>
        <v>61390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130</v>
      </c>
      <c r="D22" s="1">
        <f>SUM(Calcs!D65, Calcs!D75)</f>
        <v>0</v>
      </c>
      <c r="E22" s="1">
        <f>SUM(Calcs!E65, Calcs!E75)</f>
        <v>61390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35">
      <c r="B28" s="6" t="s">
        <v>38</v>
      </c>
    </row>
    <row r="29" spans="2:21" x14ac:dyDescent="0.35">
      <c r="C29" t="s">
        <v>39</v>
      </c>
      <c r="D29" s="1">
        <f>SUM(Calcs!D102:D106)</f>
        <v>0</v>
      </c>
      <c r="E29" s="1">
        <f>SUM(Calcs!E102:E106)</f>
        <v>-18417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3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3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35">
      <c r="B33" s="6" t="s">
        <v>40</v>
      </c>
      <c r="D33" s="7">
        <f>SUM(D7:D16, D19:D26, D29:D31)</f>
        <v>27500</v>
      </c>
      <c r="E33" s="7">
        <f>SUM(E7:E16, E19:E26, E29:E30)</f>
        <v>158933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3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3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35">
      <c r="C36" s="64">
        <f>INDEX(Outputs_Timeline!$D$3:$D$94,MATCH(Inputs!$C$1,Outputs_Timeline!$B$3:$B$94,0),1)</f>
        <v>1</v>
      </c>
    </row>
    <row r="38" spans="2:21" x14ac:dyDescent="0.35">
      <c r="B38" s="6" t="s">
        <v>74</v>
      </c>
      <c r="D38" s="7">
        <f>(D33/12*Inputs!$C$2+D4)*$C$36</f>
        <v>92500</v>
      </c>
      <c r="E38" s="7">
        <f>(E33/12*Inputs!$C$2+E4)*$C$36</f>
        <v>536799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3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35">
      <c r="B41" s="6" t="s">
        <v>71</v>
      </c>
    </row>
    <row r="42" spans="2:21" x14ac:dyDescent="0.35">
      <c r="C42" s="7">
        <f>SUM(Outputs_Timeline!S:S)</f>
        <v>629299</v>
      </c>
    </row>
    <row r="43" spans="2:21" x14ac:dyDescent="0.35">
      <c r="C43" s="52">
        <f>SUM(D38:H38)</f>
        <v>629299</v>
      </c>
      <c r="D43" s="1"/>
      <c r="G43" s="1"/>
    </row>
    <row r="44" spans="2:21" x14ac:dyDescent="0.35">
      <c r="D44" s="1"/>
      <c r="E44" s="1"/>
      <c r="F44" s="1"/>
    </row>
    <row r="45" spans="2:21" x14ac:dyDescent="0.35">
      <c r="D45" s="2"/>
      <c r="E45" s="1"/>
      <c r="F45" s="1"/>
    </row>
    <row r="46" spans="2:21" x14ac:dyDescent="0.3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58</v>
      </c>
      <c r="G1" s="50"/>
      <c r="H1" s="50"/>
      <c r="I1" s="50"/>
    </row>
    <row r="2" spans="2:17" x14ac:dyDescent="0.3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35">
      <c r="B3" s="6" t="s">
        <v>0</v>
      </c>
    </row>
    <row r="4" spans="2:17" x14ac:dyDescent="0.3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5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3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3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16380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409.50000000000034</v>
      </c>
      <c r="L31" s="20">
        <f t="shared" si="9"/>
        <v>15970.5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12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3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3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35">
      <c r="K44" s="9"/>
      <c r="L44" s="9"/>
      <c r="M44" s="9"/>
    </row>
    <row r="45" spans="2:14" x14ac:dyDescent="0.3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3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3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35">
      <c r="C48" s="19" t="s">
        <v>16</v>
      </c>
      <c r="D48" s="20">
        <f>SUM(Calcs!D94:H94)</f>
        <v>3639.9999999999964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90.999999999999986</v>
      </c>
      <c r="L48" s="20">
        <f t="shared" si="31"/>
        <v>3548.9999999999964</v>
      </c>
      <c r="M48" s="20">
        <f t="shared" si="32"/>
        <v>0</v>
      </c>
      <c r="N48" s="20">
        <f t="shared" si="32"/>
        <v>0</v>
      </c>
    </row>
    <row r="49" spans="2:14" x14ac:dyDescent="0.35">
      <c r="C49" s="19" t="s">
        <v>130</v>
      </c>
      <c r="D49" s="20">
        <f>SUM(Calcs!D95:H95)</f>
        <v>26389.999999999996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659.75000000000045</v>
      </c>
      <c r="L49" s="20">
        <f t="shared" ref="L49" si="35">G49*$D49</f>
        <v>25730.249999999996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3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3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3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3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35">
      <c r="K54" s="9"/>
      <c r="L54" s="9"/>
      <c r="M54" s="9"/>
    </row>
    <row r="55" spans="2:14" x14ac:dyDescent="0.35">
      <c r="B55" s="6" t="s">
        <v>38</v>
      </c>
      <c r="K55" s="9"/>
      <c r="L55" s="9"/>
      <c r="M55" s="9"/>
    </row>
    <row r="56" spans="2:14" x14ac:dyDescent="0.35">
      <c r="C56" t="s">
        <v>39</v>
      </c>
      <c r="D56" s="1">
        <f>SUM(Outputs_External!D29:'Outputs_External'!H29)</f>
        <v>-18417</v>
      </c>
      <c r="F56" s="8">
        <f>IFERROR(SUM(K68:K74)/SUM($K$68:$N$74), 0)</f>
        <v>7.9466230936819177E-2</v>
      </c>
      <c r="G56" s="8">
        <f t="shared" ref="G56:I56" si="49">IFERROR(SUM(L68:L74)/SUM($K$68:$N$74), 0)</f>
        <v>0.92053376906318085</v>
      </c>
      <c r="H56" s="8">
        <f t="shared" si="49"/>
        <v>0</v>
      </c>
      <c r="I56" s="8">
        <f t="shared" si="49"/>
        <v>0</v>
      </c>
      <c r="K56" s="12">
        <f>F56*$D$56</f>
        <v>-1463.5295751633987</v>
      </c>
      <c r="L56" s="12">
        <f>G56*$D$56</f>
        <v>-16953.470424836603</v>
      </c>
      <c r="M56" s="12">
        <f>H56*$D$56</f>
        <v>0</v>
      </c>
      <c r="N56" s="12">
        <f>I56*$D$56</f>
        <v>0</v>
      </c>
    </row>
    <row r="57" spans="2:14" x14ac:dyDescent="0.35">
      <c r="C57" t="s">
        <v>116</v>
      </c>
      <c r="D57" s="1">
        <f>SUM(Outputs_External!D30:'Outputs_External'!H30)</f>
        <v>-22500</v>
      </c>
      <c r="F57" s="3">
        <f>IFERROR(SUM(K10:K56)/SUM($K10:$N56), 0)</f>
        <v>0.19891051401567297</v>
      </c>
      <c r="G57" s="3">
        <f>IFERROR(SUM(L10:L56)/SUM($K10:$N56), 0)</f>
        <v>0.80108948598432694</v>
      </c>
      <c r="H57" s="3">
        <f>IFERROR(SUM(M10:M56)/SUM($K10:$N56), 0)</f>
        <v>0</v>
      </c>
      <c r="I57" s="3">
        <f>1-F57-G57-H57</f>
        <v>1.1102230246251565E-16</v>
      </c>
      <c r="K57" s="12">
        <f>F57*$D$57</f>
        <v>-4475.4865653526422</v>
      </c>
      <c r="L57" s="12">
        <f>G57*$D$57</f>
        <v>-18024.513434647357</v>
      </c>
      <c r="M57" s="12">
        <f>H57*$D$57</f>
        <v>0</v>
      </c>
      <c r="N57" s="12">
        <f>I57*$D$57</f>
        <v>-2.4980018054066022E-12</v>
      </c>
    </row>
    <row r="58" spans="2:14" x14ac:dyDescent="0.3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35">
      <c r="K59" s="9"/>
      <c r="L59" s="9"/>
      <c r="M59" s="9"/>
    </row>
    <row r="60" spans="2:14" x14ac:dyDescent="0.35">
      <c r="B60" s="6" t="s">
        <v>40</v>
      </c>
      <c r="D60" s="1">
        <f>SUM(Outputs_External!D33:'Outputs_External'!H33)</f>
        <v>186433</v>
      </c>
      <c r="K60" s="12">
        <f>SUM(K56:K58, K36:K43, K10:K19,K24:K33,K46:K53)</f>
        <v>37083.483859483968</v>
      </c>
      <c r="L60" s="12">
        <f>SUM(L56:L58, L36:L43, L10:L19,L24:L33,L46:L53)</f>
        <v>149349.51614051603</v>
      </c>
      <c r="M60" s="12">
        <f>SUM(M56:M58, M36:M43, M10:M19,M24:M33,M46:M53)</f>
        <v>0</v>
      </c>
      <c r="N60" s="12">
        <f>SUM(N56:N58, N36:N43, N10:N19,N24:N33,N46:N53)</f>
        <v>-2.4980018054066022E-12</v>
      </c>
    </row>
    <row r="61" spans="2:14" x14ac:dyDescent="0.35">
      <c r="C61" s="21" t="s">
        <v>57</v>
      </c>
      <c r="D61" s="23">
        <f>SUM(K60:N60)</f>
        <v>186433</v>
      </c>
      <c r="K61" s="12"/>
      <c r="L61" s="12"/>
      <c r="M61" s="12"/>
    </row>
    <row r="62" spans="2:14" x14ac:dyDescent="0.35">
      <c r="K62" s="9"/>
      <c r="L62" s="9"/>
      <c r="M62" s="9"/>
    </row>
    <row r="63" spans="2:14" x14ac:dyDescent="0.35">
      <c r="B63" s="6" t="s">
        <v>71</v>
      </c>
      <c r="D63" s="1">
        <f>SUM(Outputs_Timeline!S:S)</f>
        <v>629299</v>
      </c>
      <c r="K63" s="12">
        <f>SUM(Outputs_Timeline!T:T)</f>
        <v>122250.4515784519</v>
      </c>
      <c r="L63" s="12">
        <f>SUM(Outputs_Timeline!U:U)</f>
        <v>507048.54842154798</v>
      </c>
      <c r="M63" s="12">
        <f>SUM(Outputs_Timeline!V:V)</f>
        <v>0</v>
      </c>
      <c r="N63" s="12">
        <f>SUM(Outputs_Timeline!W:W)</f>
        <v>-7.4940054162198066E-12</v>
      </c>
    </row>
    <row r="64" spans="2:14" x14ac:dyDescent="0.35">
      <c r="D64" s="1"/>
      <c r="K64" s="53">
        <f>IFERROR(K63/$D$63, 0)</f>
        <v>0.1942644936325211</v>
      </c>
      <c r="L64" s="53">
        <f>IFERROR(L63/$D$63, 0)</f>
        <v>0.8057355063674787</v>
      </c>
      <c r="M64" s="53">
        <f>IFERROR(M63/$D$63, 0)</f>
        <v>0</v>
      </c>
      <c r="N64" s="53">
        <f>IFERROR(N63/$D$63, 0)</f>
        <v>-1.1908497258409446E-17</v>
      </c>
    </row>
    <row r="66" spans="2:14" x14ac:dyDescent="0.35">
      <c r="K66" s="9"/>
      <c r="L66" s="9"/>
      <c r="M66" s="9"/>
    </row>
    <row r="67" spans="2:14" x14ac:dyDescent="0.35">
      <c r="B67" s="27" t="s">
        <v>53</v>
      </c>
      <c r="C67" s="21"/>
      <c r="D67" s="21"/>
      <c r="E67" s="21"/>
      <c r="F67" s="21"/>
      <c r="G67" s="21"/>
      <c r="H67" s="21"/>
      <c r="I67" s="21"/>
      <c r="J67" s="21"/>
      <c r="K67" s="22"/>
      <c r="L67" s="22"/>
      <c r="M67" s="22"/>
    </row>
    <row r="68" spans="2:14" x14ac:dyDescent="0.35">
      <c r="B68" s="27"/>
      <c r="C68" s="21" t="s">
        <v>14</v>
      </c>
      <c r="D68" s="23">
        <f>SUM(Calcs!D62:H62)+SUM(Calcs!D72:H72)</f>
        <v>0</v>
      </c>
      <c r="E68" s="21"/>
      <c r="F68" s="24">
        <f>F36</f>
        <v>0.9</v>
      </c>
      <c r="G68" s="24">
        <f>G36</f>
        <v>0.1</v>
      </c>
      <c r="H68" s="24">
        <f>H36</f>
        <v>0</v>
      </c>
      <c r="I68" s="24">
        <f>I36</f>
        <v>0</v>
      </c>
      <c r="J68" s="21"/>
      <c r="K68" s="25">
        <f t="shared" ref="K68:N70" si="51">F68*$D68</f>
        <v>0</v>
      </c>
      <c r="L68" s="25">
        <f t="shared" si="51"/>
        <v>0</v>
      </c>
      <c r="M68" s="25">
        <f t="shared" si="51"/>
        <v>0</v>
      </c>
      <c r="N68" s="25">
        <f t="shared" si="51"/>
        <v>0</v>
      </c>
    </row>
    <row r="69" spans="2:14" x14ac:dyDescent="0.35">
      <c r="B69" s="27"/>
      <c r="C69" s="21" t="s">
        <v>15</v>
      </c>
      <c r="D69" s="23">
        <f>SUM(Calcs!D63:H63)+SUM(Calcs!D73:H73)</f>
        <v>0</v>
      </c>
      <c r="E69" s="21"/>
      <c r="F69" s="24">
        <f>IFERROR(SUM(K$37,K$11:K$16,K$47,K$25:K$30)/SUM($K$37:$N$37,$K$11:$N$16,$K$47:$N$47,$K$25:$N$30),0)</f>
        <v>0</v>
      </c>
      <c r="G69" s="24">
        <f>IFERROR(SUM(L$37,L$11:L$16,L$47,L$25:L$30)/SUM($K$37:$N$37,$K$11:$N$16,$K$47:$N$47,$K$25:$N$30),0)</f>
        <v>0</v>
      </c>
      <c r="H69" s="24">
        <f>IFERROR(SUM(M$37,M$11:M$16,M$47,M$25:M$30)/SUM($K$37:$N$37,$K$11:$N$16,$K$47:$N$47,$K$25:$N$30),0)</f>
        <v>0</v>
      </c>
      <c r="I69" s="24">
        <f>IFERROR(SUM(N$37,N$11:N$16,N$47,N$25:N$30)/SUM($K$37:$N$37,$K$11:$N$16,$K$47:$N$47,$K$25:$N$30),0)</f>
        <v>0</v>
      </c>
      <c r="J69" s="21"/>
      <c r="K69" s="25">
        <f t="shared" si="51"/>
        <v>0</v>
      </c>
      <c r="L69" s="25">
        <f t="shared" si="51"/>
        <v>0</v>
      </c>
      <c r="M69" s="25">
        <f t="shared" si="51"/>
        <v>0</v>
      </c>
      <c r="N69" s="25">
        <f t="shared" si="51"/>
        <v>0</v>
      </c>
    </row>
    <row r="70" spans="2:14" x14ac:dyDescent="0.35">
      <c r="B70" s="27"/>
      <c r="C70" s="21" t="s">
        <v>16</v>
      </c>
      <c r="D70" s="23">
        <f>SUM(Calcs!D64:H64)+SUM(Calcs!D74:H74)</f>
        <v>96390</v>
      </c>
      <c r="E70" s="21"/>
      <c r="F70" s="24">
        <f>IFERROR(SUM(K38,K17:K19,K48,K31:K33)/SUM($K$38:$N$38,$K$17:$M$19,$K$48:$N$48,$K$31:$N$33),0)</f>
        <v>7.9466230936819177E-2</v>
      </c>
      <c r="G70" s="24">
        <f>IFERROR(SUM(L38,L17:L19,L48,L31:L33)/SUM($K$38:$N$38,$K$17:$M$19,$K$48:$N$48,$K$31:$N$33),0)</f>
        <v>0.92053376906318085</v>
      </c>
      <c r="H70" s="24">
        <f>IFERROR(SUM(M38,M17:M19,M48,M31:M33)/SUM($K$38:$N$38,$K$17:$M$19,$K$48:$N$48,$K$31:$N$33),0)</f>
        <v>0</v>
      </c>
      <c r="I70" s="24">
        <f>IFERROR(SUM(N38,N17:N19,N48,N31:N33)/SUM($K$38:$N$38,$K$17:$M$19,$K$48:$N$48,$K$31:$N$33),0)</f>
        <v>0</v>
      </c>
      <c r="J70" s="21"/>
      <c r="K70" s="25">
        <f t="shared" si="51"/>
        <v>7659.75</v>
      </c>
      <c r="L70" s="25">
        <f t="shared" si="51"/>
        <v>88730.25</v>
      </c>
      <c r="M70" s="25">
        <f t="shared" si="51"/>
        <v>0</v>
      </c>
      <c r="N70" s="25">
        <f t="shared" si="51"/>
        <v>0</v>
      </c>
    </row>
    <row r="71" spans="2:14" x14ac:dyDescent="0.35">
      <c r="B71" s="27"/>
      <c r="C71" s="21" t="s">
        <v>17</v>
      </c>
      <c r="D71" s="23">
        <f>SUM(Calcs!D66:H66)+SUM(Calcs!D76:H76)</f>
        <v>0</v>
      </c>
      <c r="E71" s="21"/>
      <c r="F71" s="24">
        <f t="shared" ref="F71:I73" si="52">IFERROR(SUM(K40,K50)/SUM($K40:$N40,$K50:$N50),0)</f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ref="K71:K74" si="53">F71*$D71</f>
        <v>0</v>
      </c>
      <c r="L71" s="25">
        <f t="shared" ref="L71:L74" si="54">G71*$D71</f>
        <v>0</v>
      </c>
      <c r="M71" s="25">
        <f t="shared" ref="M71:M74" si="55">H71*$D71</f>
        <v>0</v>
      </c>
      <c r="N71" s="25">
        <f t="shared" ref="N71:N74" si="56">I71*$D71</f>
        <v>0</v>
      </c>
    </row>
    <row r="72" spans="2:14" x14ac:dyDescent="0.35">
      <c r="B72" s="27"/>
      <c r="C72" s="21" t="s">
        <v>100</v>
      </c>
      <c r="D72" s="23">
        <f>SUM(Calcs!D67:H67)+SUM(Calcs!D77:H77)</f>
        <v>0</v>
      </c>
      <c r="E72" s="21"/>
      <c r="F72" s="24">
        <f t="shared" si="52"/>
        <v>0</v>
      </c>
      <c r="G72" s="24">
        <f t="shared" si="52"/>
        <v>0</v>
      </c>
      <c r="H72" s="24">
        <f t="shared" si="52"/>
        <v>0</v>
      </c>
      <c r="I72" s="24">
        <f t="shared" si="52"/>
        <v>0</v>
      </c>
      <c r="J72" s="21"/>
      <c r="K72" s="25">
        <f t="shared" ref="K72:K73" si="57">F72*$D72</f>
        <v>0</v>
      </c>
      <c r="L72" s="25">
        <f t="shared" ref="L72:L73" si="58">G72*$D72</f>
        <v>0</v>
      </c>
      <c r="M72" s="25">
        <f t="shared" ref="M72:M73" si="59">H72*$D72</f>
        <v>0</v>
      </c>
      <c r="N72" s="25">
        <f t="shared" ref="N72:N73" si="60">I72*$D72</f>
        <v>0</v>
      </c>
    </row>
    <row r="73" spans="2:14" x14ac:dyDescent="0.35">
      <c r="B73" s="27"/>
      <c r="C73" s="21" t="s">
        <v>99</v>
      </c>
      <c r="D73" s="23">
        <f>SUM(Calcs!D68:H68)+SUM(Calcs!D78:H78)</f>
        <v>0</v>
      </c>
      <c r="E73" s="21"/>
      <c r="F73" s="24">
        <f t="shared" si="52"/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si="57"/>
        <v>0</v>
      </c>
      <c r="L73" s="25">
        <f t="shared" si="58"/>
        <v>0</v>
      </c>
      <c r="M73" s="25">
        <f t="shared" si="59"/>
        <v>0</v>
      </c>
      <c r="N73" s="25">
        <f t="shared" si="60"/>
        <v>0</v>
      </c>
    </row>
    <row r="74" spans="2:14" x14ac:dyDescent="0.35">
      <c r="B74" s="27"/>
      <c r="C74" s="21" t="s">
        <v>98</v>
      </c>
      <c r="D74" s="23">
        <f>SUM(Calcs!D69:H69)+SUM(Calcs!D79:H79)</f>
        <v>0</v>
      </c>
      <c r="E74" s="21"/>
      <c r="F74" s="24">
        <f t="shared" ref="F74" si="61">IFERROR(SUM(K43,K53)/SUM($K43:$N43,$K53:$N53),0)</f>
        <v>0</v>
      </c>
      <c r="G74" s="24">
        <f t="shared" ref="G74" si="62">IFERROR(SUM(L43,L53)/SUM($K43:$N43,$K53:$N53),0)</f>
        <v>0</v>
      </c>
      <c r="H74" s="24">
        <f t="shared" ref="H74" si="63">IFERROR(SUM(M43,M53)/SUM($K43:$N43,$K53:$N53),0)</f>
        <v>0</v>
      </c>
      <c r="I74" s="24">
        <f t="shared" ref="I74" si="64">IFERROR(SUM(N43,N53)/SUM($K43:$N43,$K53:$N53),0)</f>
        <v>0</v>
      </c>
      <c r="J74" s="21"/>
      <c r="K74" s="25">
        <f t="shared" si="53"/>
        <v>0</v>
      </c>
      <c r="L74" s="25">
        <f t="shared" si="54"/>
        <v>0</v>
      </c>
      <c r="M74" s="25">
        <f t="shared" si="55"/>
        <v>0</v>
      </c>
      <c r="N74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60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4.54296875" style="60" customWidth="1"/>
    <col min="8" max="11" width="8.7265625" style="63"/>
    <col min="12" max="12" width="5.453125" customWidth="1"/>
    <col min="13" max="13" width="10.453125" style="63" bestFit="1" customWidth="1"/>
    <col min="14" max="15" width="8.7265625" style="63"/>
    <col min="16" max="16" width="11.81640625" style="63" bestFit="1" customWidth="1"/>
    <col min="17" max="17" width="14.81640625" style="63" bestFit="1" customWidth="1"/>
    <col min="18" max="18" width="3.54296875" customWidth="1"/>
    <col min="22" max="23" width="14.81640625" bestFit="1" customWidth="1"/>
  </cols>
  <sheetData>
    <row r="1" spans="2:23" x14ac:dyDescent="0.3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3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$F3*Outputs_Internal!$D$60/12</f>
        <v>0</v>
      </c>
      <c r="N3" s="63">
        <f>$F3*Outputs_Internal!K$60/12</f>
        <v>0</v>
      </c>
      <c r="O3" s="63">
        <f>$F3*Outputs_Internal!L$60/12</f>
        <v>0</v>
      </c>
      <c r="P3" s="63">
        <f>$F3*Outputs_Internal!M$60/12</f>
        <v>0</v>
      </c>
      <c r="Q3" s="63">
        <f>$F3*Outputs_Internal!N$60/12</f>
        <v>0</v>
      </c>
      <c r="S3" s="63"/>
      <c r="T3" s="63"/>
      <c r="U3" s="63"/>
      <c r="V3" s="63"/>
    </row>
    <row r="4" spans="2:23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$F4*Outputs_Internal!$D$60/12</f>
        <v>0</v>
      </c>
      <c r="N4" s="63">
        <f>$F4*Outputs_Internal!K$60/12</f>
        <v>0</v>
      </c>
      <c r="O4" s="63">
        <f>$F4*Outputs_Internal!L$60/12</f>
        <v>0</v>
      </c>
      <c r="P4" s="63">
        <f>$F4*Outputs_Internal!M$60/12</f>
        <v>0</v>
      </c>
      <c r="Q4" s="63">
        <f>$F4*Outputs_Internal!N$60/12</f>
        <v>0</v>
      </c>
    </row>
    <row r="5" spans="2:23" x14ac:dyDescent="0.3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$F5*Outputs_Internal!$D$60/12</f>
        <v>0</v>
      </c>
      <c r="N5" s="63">
        <f>$F5*Outputs_Internal!K$60/12</f>
        <v>0</v>
      </c>
      <c r="O5" s="63">
        <f>$F5*Outputs_Internal!L$60/12</f>
        <v>0</v>
      </c>
      <c r="P5" s="63">
        <f>$F5*Outputs_Internal!M$60/12</f>
        <v>0</v>
      </c>
      <c r="Q5" s="63">
        <f>$F5*Outputs_Internal!N$60/12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3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$F6*Outputs_Internal!$D$60/12</f>
        <v>0</v>
      </c>
      <c r="N6" s="63">
        <f>$F6*Outputs_Internal!K$60/12</f>
        <v>0</v>
      </c>
      <c r="O6" s="63">
        <f>$F6*Outputs_Internal!L$60/12</f>
        <v>0</v>
      </c>
      <c r="P6" s="63">
        <f>$F6*Outputs_Internal!M$60/12</f>
        <v>0</v>
      </c>
      <c r="Q6" s="63">
        <f>$F6*Outputs_Internal!N$60/12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3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$F7*Outputs_Internal!$D$60/12</f>
        <v>0</v>
      </c>
      <c r="N7" s="63">
        <f>$F7*Outputs_Internal!K$60/12</f>
        <v>0</v>
      </c>
      <c r="O7" s="63">
        <f>$F7*Outputs_Internal!L$60/12</f>
        <v>0</v>
      </c>
      <c r="P7" s="63">
        <f>$F7*Outputs_Internal!M$60/12</f>
        <v>0</v>
      </c>
      <c r="Q7" s="63">
        <f>$F7*Outputs_Internal!N$60/12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3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$F8*Outputs_Internal!$D$60/12</f>
        <v>0</v>
      </c>
      <c r="N8" s="63">
        <f>$F8*Outputs_Internal!K$60/12</f>
        <v>0</v>
      </c>
      <c r="O8" s="63">
        <f>$F8*Outputs_Internal!L$60/12</f>
        <v>0</v>
      </c>
      <c r="P8" s="63">
        <f>$F8*Outputs_Internal!M$60/12</f>
        <v>0</v>
      </c>
      <c r="Q8" s="63">
        <f>$F8*Outputs_Internal!N$60/12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3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$F9*Outputs_Internal!$D$60/12</f>
        <v>15536.083333333334</v>
      </c>
      <c r="N9" s="63">
        <f>$F9*Outputs_Internal!K$60/12</f>
        <v>3090.2903216236641</v>
      </c>
      <c r="O9" s="63">
        <f>$F9*Outputs_Internal!L$60/12</f>
        <v>12445.793011709669</v>
      </c>
      <c r="P9" s="63">
        <f>$F9*Outputs_Internal!M$60/12</f>
        <v>0</v>
      </c>
      <c r="Q9" s="63">
        <f>$F9*Outputs_Internal!N$60/12</f>
        <v>-2.0816681711721685E-13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3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$F10*Outputs_Internal!$D$60/12</f>
        <v>15536.083333333334</v>
      </c>
      <c r="N10" s="63">
        <f>$F10*Outputs_Internal!K$60/12</f>
        <v>3090.2903216236641</v>
      </c>
      <c r="O10" s="63">
        <f>$F10*Outputs_Internal!L$60/12</f>
        <v>12445.793011709669</v>
      </c>
      <c r="P10" s="63">
        <f>$F10*Outputs_Internal!M$60/12</f>
        <v>0</v>
      </c>
      <c r="Q10" s="63">
        <f>$F10*Outputs_Internal!N$60/12</f>
        <v>-2.0816681711721685E-13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3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$F11*Outputs_Internal!$D$60/12</f>
        <v>15536.083333333334</v>
      </c>
      <c r="N11" s="63">
        <f>$F11*Outputs_Internal!K$60/12</f>
        <v>3090.2903216236641</v>
      </c>
      <c r="O11" s="63">
        <f>$F11*Outputs_Internal!L$60/12</f>
        <v>12445.793011709669</v>
      </c>
      <c r="P11" s="63">
        <f>$F11*Outputs_Internal!M$60/12</f>
        <v>0</v>
      </c>
      <c r="Q11" s="63">
        <f>$F11*Outputs_Internal!N$60/12</f>
        <v>-2.0816681711721685E-13</v>
      </c>
      <c r="S11" s="63">
        <f t="shared" si="1"/>
        <v>116608.24999999999</v>
      </c>
      <c r="T11" s="63">
        <f t="shared" si="2"/>
        <v>20270.870964870992</v>
      </c>
      <c r="U11" s="63">
        <f>IF(MOD(MONTH($B11),3)=0,SUM(J9:J11,O9:O11),0)</f>
        <v>96337.379035129008</v>
      </c>
      <c r="V11" s="63">
        <f t="shared" si="4"/>
        <v>0</v>
      </c>
      <c r="W11" s="63">
        <f t="shared" si="5"/>
        <v>-6.2450045135165055E-13</v>
      </c>
    </row>
    <row r="12" spans="2:23" x14ac:dyDescent="0.3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$F12*Outputs_Internal!$D$60/12</f>
        <v>15536.083333333334</v>
      </c>
      <c r="N12" s="63">
        <f>$F12*Outputs_Internal!K$60/12</f>
        <v>3090.2903216236641</v>
      </c>
      <c r="O12" s="63">
        <f>$F12*Outputs_Internal!L$60/12</f>
        <v>12445.793011709669</v>
      </c>
      <c r="P12" s="63">
        <f>$F12*Outputs_Internal!M$60/12</f>
        <v>0</v>
      </c>
      <c r="Q12" s="63">
        <f>$F12*Outputs_Internal!N$60/12</f>
        <v>-2.0816681711721685E-13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3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$F13*Outputs_Internal!$D$60/12</f>
        <v>15536.083333333334</v>
      </c>
      <c r="N13" s="63">
        <f>$F13*Outputs_Internal!K$60/12</f>
        <v>3090.2903216236641</v>
      </c>
      <c r="O13" s="63">
        <f>$F13*Outputs_Internal!L$60/12</f>
        <v>12445.793011709669</v>
      </c>
      <c r="P13" s="63">
        <f>$F13*Outputs_Internal!M$60/12</f>
        <v>0</v>
      </c>
      <c r="Q13" s="63">
        <f>$F13*Outputs_Internal!N$60/12</f>
        <v>-2.0816681711721685E-13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3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$F14*Outputs_Internal!$D$60/12</f>
        <v>15536.083333333334</v>
      </c>
      <c r="N14" s="63">
        <f>$F14*Outputs_Internal!K$60/12</f>
        <v>3090.2903216236641</v>
      </c>
      <c r="O14" s="63">
        <f>$F14*Outputs_Internal!L$60/12</f>
        <v>12445.793011709669</v>
      </c>
      <c r="P14" s="63">
        <f>$F14*Outputs_Internal!M$60/12</f>
        <v>0</v>
      </c>
      <c r="Q14" s="63">
        <f>$F14*Outputs_Internal!N$60/12</f>
        <v>-2.0816681711721685E-13</v>
      </c>
      <c r="S14" s="63">
        <f t="shared" si="1"/>
        <v>46608.25</v>
      </c>
      <c r="T14" s="63">
        <f t="shared" si="2"/>
        <v>9270.8709648709919</v>
      </c>
      <c r="U14" s="63">
        <f t="shared" si="3"/>
        <v>37337.379035129008</v>
      </c>
      <c r="V14" s="63">
        <f t="shared" si="4"/>
        <v>0</v>
      </c>
      <c r="W14" s="63">
        <f t="shared" si="5"/>
        <v>-6.2450045135165055E-13</v>
      </c>
    </row>
    <row r="15" spans="2:23" x14ac:dyDescent="0.3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$F15*Outputs_Internal!$D$60/12</f>
        <v>15536.083333333334</v>
      </c>
      <c r="N15" s="63">
        <f>$F15*Outputs_Internal!K$60/12</f>
        <v>3090.2903216236641</v>
      </c>
      <c r="O15" s="63">
        <f>$F15*Outputs_Internal!L$60/12</f>
        <v>12445.793011709669</v>
      </c>
      <c r="P15" s="63">
        <f>$F15*Outputs_Internal!M$60/12</f>
        <v>0</v>
      </c>
      <c r="Q15" s="63">
        <f>$F15*Outputs_Internal!N$60/12</f>
        <v>-2.0816681711721685E-13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3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$F16*Outputs_Internal!$D$60/12</f>
        <v>15536.083333333334</v>
      </c>
      <c r="N16" s="63">
        <f>$F16*Outputs_Internal!K$60/12</f>
        <v>3090.2903216236641</v>
      </c>
      <c r="O16" s="63">
        <f>$F16*Outputs_Internal!L$60/12</f>
        <v>12445.793011709669</v>
      </c>
      <c r="P16" s="63">
        <f>$F16*Outputs_Internal!M$60/12</f>
        <v>0</v>
      </c>
      <c r="Q16" s="63">
        <f>$F16*Outputs_Internal!N$60/12</f>
        <v>-2.0816681711721685E-13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3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$F17*Outputs_Internal!$D$60/12</f>
        <v>15536.083333333334</v>
      </c>
      <c r="N17" s="63">
        <f>$F17*Outputs_Internal!K$60/12</f>
        <v>3090.2903216236641</v>
      </c>
      <c r="O17" s="63">
        <f>$F17*Outputs_Internal!L$60/12</f>
        <v>12445.793011709669</v>
      </c>
      <c r="P17" s="63">
        <f>$F17*Outputs_Internal!M$60/12</f>
        <v>0</v>
      </c>
      <c r="Q17" s="63">
        <f>$F17*Outputs_Internal!N$60/12</f>
        <v>-2.0816681711721685E-13</v>
      </c>
      <c r="S17" s="63">
        <f t="shared" si="1"/>
        <v>46608.25</v>
      </c>
      <c r="T17" s="63">
        <f t="shared" si="2"/>
        <v>9270.8709648709919</v>
      </c>
      <c r="U17" s="63">
        <f t="shared" si="3"/>
        <v>37337.379035129008</v>
      </c>
      <c r="V17" s="63">
        <f t="shared" si="4"/>
        <v>0</v>
      </c>
      <c r="W17" s="63">
        <f t="shared" si="5"/>
        <v>-6.2450045135165055E-13</v>
      </c>
    </row>
    <row r="18" spans="2:23" x14ac:dyDescent="0.3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$F18*Outputs_Internal!$D$60/12</f>
        <v>15536.083333333334</v>
      </c>
      <c r="N18" s="63">
        <f>$F18*Outputs_Internal!K$60/12</f>
        <v>3090.2903216236641</v>
      </c>
      <c r="O18" s="63">
        <f>$F18*Outputs_Internal!L$60/12</f>
        <v>12445.793011709669</v>
      </c>
      <c r="P18" s="63">
        <f>$F18*Outputs_Internal!M$60/12</f>
        <v>0</v>
      </c>
      <c r="Q18" s="63">
        <f>$F18*Outputs_Internal!N$60/12</f>
        <v>-2.0816681711721685E-13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3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$F19*Outputs_Internal!$D$60/12</f>
        <v>15536.083333333334</v>
      </c>
      <c r="N19" s="63">
        <f>$F19*Outputs_Internal!K$60/12</f>
        <v>3090.2903216236641</v>
      </c>
      <c r="O19" s="63">
        <f>$F19*Outputs_Internal!L$60/12</f>
        <v>12445.793011709669</v>
      </c>
      <c r="P19" s="63">
        <f>$F19*Outputs_Internal!M$60/12</f>
        <v>0</v>
      </c>
      <c r="Q19" s="63">
        <f>$F19*Outputs_Internal!N$60/12</f>
        <v>-2.0816681711721685E-13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3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$F20*Outputs_Internal!$D$60/12</f>
        <v>15536.083333333334</v>
      </c>
      <c r="N20" s="63">
        <f>$F20*Outputs_Internal!K$60/12</f>
        <v>3090.2903216236641</v>
      </c>
      <c r="O20" s="63">
        <f>$F20*Outputs_Internal!L$60/12</f>
        <v>12445.793011709669</v>
      </c>
      <c r="P20" s="63">
        <f>$F20*Outputs_Internal!M$60/12</f>
        <v>0</v>
      </c>
      <c r="Q20" s="63">
        <f>$F20*Outputs_Internal!N$60/12</f>
        <v>-2.0816681711721685E-13</v>
      </c>
      <c r="S20" s="63">
        <f t="shared" si="1"/>
        <v>46608.25</v>
      </c>
      <c r="T20" s="63">
        <f t="shared" si="2"/>
        <v>9270.8709648709919</v>
      </c>
      <c r="U20" s="63">
        <f t="shared" si="3"/>
        <v>37337.379035129008</v>
      </c>
      <c r="V20" s="63">
        <f t="shared" si="4"/>
        <v>0</v>
      </c>
      <c r="W20" s="63">
        <f t="shared" si="5"/>
        <v>-6.2450045135165055E-13</v>
      </c>
    </row>
    <row r="21" spans="2:23" x14ac:dyDescent="0.3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$F21*Outputs_Internal!$D$60/12</f>
        <v>15536.083333333334</v>
      </c>
      <c r="N21" s="63">
        <f>$F21*Outputs_Internal!K$60/12</f>
        <v>3090.2903216236641</v>
      </c>
      <c r="O21" s="63">
        <f>$F21*Outputs_Internal!L$60/12</f>
        <v>12445.793011709669</v>
      </c>
      <c r="P21" s="63">
        <f>$F21*Outputs_Internal!M$60/12</f>
        <v>0</v>
      </c>
      <c r="Q21" s="63">
        <f>$F21*Outputs_Internal!N$60/12</f>
        <v>-2.0816681711721685E-13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3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$F22*Outputs_Internal!$D$60/12</f>
        <v>15536.083333333334</v>
      </c>
      <c r="N22" s="63">
        <f>$F22*Outputs_Internal!K$60/12</f>
        <v>3090.2903216236641</v>
      </c>
      <c r="O22" s="63">
        <f>$F22*Outputs_Internal!L$60/12</f>
        <v>12445.793011709669</v>
      </c>
      <c r="P22" s="63">
        <f>$F22*Outputs_Internal!M$60/12</f>
        <v>0</v>
      </c>
      <c r="Q22" s="63">
        <f>$F22*Outputs_Internal!N$60/12</f>
        <v>-2.0816681711721685E-13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3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$F23*Outputs_Internal!$D$60/12</f>
        <v>15536.083333333334</v>
      </c>
      <c r="N23" s="63">
        <f>$F23*Outputs_Internal!K$60/12</f>
        <v>3090.2903216236641</v>
      </c>
      <c r="O23" s="63">
        <f>$F23*Outputs_Internal!L$60/12</f>
        <v>12445.793011709669</v>
      </c>
      <c r="P23" s="63">
        <f>$F23*Outputs_Internal!M$60/12</f>
        <v>0</v>
      </c>
      <c r="Q23" s="63">
        <f>$F23*Outputs_Internal!N$60/12</f>
        <v>-2.0816681711721685E-13</v>
      </c>
      <c r="S23" s="63">
        <f t="shared" si="1"/>
        <v>46608.25</v>
      </c>
      <c r="T23" s="63">
        <f t="shared" si="2"/>
        <v>9270.8709648709919</v>
      </c>
      <c r="U23" s="63">
        <f t="shared" si="3"/>
        <v>37337.379035129008</v>
      </c>
      <c r="V23" s="63">
        <f t="shared" si="4"/>
        <v>0</v>
      </c>
      <c r="W23" s="63">
        <f t="shared" si="5"/>
        <v>-6.2450045135165055E-13</v>
      </c>
    </row>
    <row r="24" spans="2:23" x14ac:dyDescent="0.3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$F24*Outputs_Internal!$D$60/12</f>
        <v>15536.083333333334</v>
      </c>
      <c r="N24" s="63">
        <f>$F24*Outputs_Internal!K$60/12</f>
        <v>3090.2903216236641</v>
      </c>
      <c r="O24" s="63">
        <f>$F24*Outputs_Internal!L$60/12</f>
        <v>12445.793011709669</v>
      </c>
      <c r="P24" s="63">
        <f>$F24*Outputs_Internal!M$60/12</f>
        <v>0</v>
      </c>
      <c r="Q24" s="63">
        <f>$F24*Outputs_Internal!N$60/12</f>
        <v>-2.0816681711721685E-13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3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$F25*Outputs_Internal!$D$60/12</f>
        <v>15536.083333333334</v>
      </c>
      <c r="N25" s="63">
        <f>$F25*Outputs_Internal!K$60/12</f>
        <v>3090.2903216236641</v>
      </c>
      <c r="O25" s="63">
        <f>$F25*Outputs_Internal!L$60/12</f>
        <v>12445.793011709669</v>
      </c>
      <c r="P25" s="63">
        <f>$F25*Outputs_Internal!M$60/12</f>
        <v>0</v>
      </c>
      <c r="Q25" s="63">
        <f>$F25*Outputs_Internal!N$60/12</f>
        <v>-2.0816681711721685E-13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3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$F26*Outputs_Internal!$D$60/12</f>
        <v>15536.083333333334</v>
      </c>
      <c r="N26" s="63">
        <f>$F26*Outputs_Internal!K$60/12</f>
        <v>3090.2903216236641</v>
      </c>
      <c r="O26" s="63">
        <f>$F26*Outputs_Internal!L$60/12</f>
        <v>12445.793011709669</v>
      </c>
      <c r="P26" s="63">
        <f>$F26*Outputs_Internal!M$60/12</f>
        <v>0</v>
      </c>
      <c r="Q26" s="63">
        <f>$F26*Outputs_Internal!N$60/12</f>
        <v>-2.0816681711721685E-13</v>
      </c>
      <c r="S26" s="63">
        <f t="shared" si="1"/>
        <v>46608.25</v>
      </c>
      <c r="T26" s="63">
        <f t="shared" si="2"/>
        <v>9270.8709648709919</v>
      </c>
      <c r="U26" s="63">
        <f t="shared" si="3"/>
        <v>37337.379035129008</v>
      </c>
      <c r="V26" s="63">
        <f t="shared" si="4"/>
        <v>0</v>
      </c>
      <c r="W26" s="63">
        <f t="shared" si="5"/>
        <v>-6.2450045135165055E-13</v>
      </c>
    </row>
    <row r="27" spans="2:23" x14ac:dyDescent="0.3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$F27*Outputs_Internal!$D$60/12</f>
        <v>15536.083333333334</v>
      </c>
      <c r="N27" s="63">
        <f>$F27*Outputs_Internal!K$60/12</f>
        <v>3090.2903216236641</v>
      </c>
      <c r="O27" s="63">
        <f>$F27*Outputs_Internal!L$60/12</f>
        <v>12445.793011709669</v>
      </c>
      <c r="P27" s="63">
        <f>$F27*Outputs_Internal!M$60/12</f>
        <v>0</v>
      </c>
      <c r="Q27" s="63">
        <f>$F27*Outputs_Internal!N$60/12</f>
        <v>-2.0816681711721685E-13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3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$F28*Outputs_Internal!$D$60/12</f>
        <v>15536.083333333334</v>
      </c>
      <c r="N28" s="63">
        <f>$F28*Outputs_Internal!K$60/12</f>
        <v>3090.2903216236641</v>
      </c>
      <c r="O28" s="63">
        <f>$F28*Outputs_Internal!L$60/12</f>
        <v>12445.793011709669</v>
      </c>
      <c r="P28" s="63">
        <f>$F28*Outputs_Internal!M$60/12</f>
        <v>0</v>
      </c>
      <c r="Q28" s="63">
        <f>$F28*Outputs_Internal!N$60/12</f>
        <v>-2.0816681711721685E-13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3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$F29*Outputs_Internal!$D$60/12</f>
        <v>15536.083333333334</v>
      </c>
      <c r="N29" s="63">
        <f>$F29*Outputs_Internal!K$60/12</f>
        <v>3090.2903216236641</v>
      </c>
      <c r="O29" s="63">
        <f>$F29*Outputs_Internal!L$60/12</f>
        <v>12445.793011709669</v>
      </c>
      <c r="P29" s="63">
        <f>$F29*Outputs_Internal!M$60/12</f>
        <v>0</v>
      </c>
      <c r="Q29" s="63">
        <f>$F29*Outputs_Internal!N$60/12</f>
        <v>-2.0816681711721685E-13</v>
      </c>
      <c r="S29" s="63">
        <f t="shared" si="1"/>
        <v>46608.25</v>
      </c>
      <c r="T29" s="63">
        <f t="shared" si="2"/>
        <v>9270.8709648709919</v>
      </c>
      <c r="U29" s="63">
        <f t="shared" si="3"/>
        <v>37337.379035129008</v>
      </c>
      <c r="V29" s="63">
        <f t="shared" si="4"/>
        <v>0</v>
      </c>
      <c r="W29" s="63">
        <f t="shared" si="5"/>
        <v>-6.2450045135165055E-13</v>
      </c>
    </row>
    <row r="30" spans="2:23" x14ac:dyDescent="0.3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$F30*Outputs_Internal!$D$60/12</f>
        <v>15536.083333333334</v>
      </c>
      <c r="N30" s="63">
        <f>$F30*Outputs_Internal!K$60/12</f>
        <v>3090.2903216236641</v>
      </c>
      <c r="O30" s="63">
        <f>$F30*Outputs_Internal!L$60/12</f>
        <v>12445.793011709669</v>
      </c>
      <c r="P30" s="63">
        <f>$F30*Outputs_Internal!M$60/12</f>
        <v>0</v>
      </c>
      <c r="Q30" s="63">
        <f>$F30*Outputs_Internal!N$60/12</f>
        <v>-2.0816681711721685E-13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3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$F31*Outputs_Internal!$D$60/12</f>
        <v>15536.083333333334</v>
      </c>
      <c r="N31" s="63">
        <f>$F31*Outputs_Internal!K$60/12</f>
        <v>3090.2903216236641</v>
      </c>
      <c r="O31" s="63">
        <f>$F31*Outputs_Internal!L$60/12</f>
        <v>12445.793011709669</v>
      </c>
      <c r="P31" s="63">
        <f>$F31*Outputs_Internal!M$60/12</f>
        <v>0</v>
      </c>
      <c r="Q31" s="63">
        <f>$F31*Outputs_Internal!N$60/12</f>
        <v>-2.0816681711721685E-13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3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$F32*Outputs_Internal!$D$60/12</f>
        <v>15536.083333333334</v>
      </c>
      <c r="N32" s="63">
        <f>$F32*Outputs_Internal!K$60/12</f>
        <v>3090.2903216236641</v>
      </c>
      <c r="O32" s="63">
        <f>$F32*Outputs_Internal!L$60/12</f>
        <v>12445.793011709669</v>
      </c>
      <c r="P32" s="63">
        <f>$F32*Outputs_Internal!M$60/12</f>
        <v>0</v>
      </c>
      <c r="Q32" s="63">
        <f>$F32*Outputs_Internal!N$60/12</f>
        <v>-2.0816681711721685E-13</v>
      </c>
      <c r="S32" s="63">
        <f t="shared" si="1"/>
        <v>46608.25</v>
      </c>
      <c r="T32" s="63">
        <f t="shared" si="2"/>
        <v>9270.8709648709919</v>
      </c>
      <c r="U32" s="63">
        <f t="shared" si="3"/>
        <v>37337.379035129008</v>
      </c>
      <c r="V32" s="63">
        <f t="shared" si="4"/>
        <v>0</v>
      </c>
      <c r="W32" s="63">
        <f t="shared" si="5"/>
        <v>-6.2450045135165055E-13</v>
      </c>
    </row>
    <row r="33" spans="2:23" x14ac:dyDescent="0.3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$F33*Outputs_Internal!$D$60/12</f>
        <v>15536.083333333334</v>
      </c>
      <c r="N33" s="63">
        <f>$F33*Outputs_Internal!K$60/12</f>
        <v>3090.2903216236641</v>
      </c>
      <c r="O33" s="63">
        <f>$F33*Outputs_Internal!L$60/12</f>
        <v>12445.793011709669</v>
      </c>
      <c r="P33" s="63">
        <f>$F33*Outputs_Internal!M$60/12</f>
        <v>0</v>
      </c>
      <c r="Q33" s="63">
        <f>$F33*Outputs_Internal!N$60/12</f>
        <v>-2.0816681711721685E-13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3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$F34*Outputs_Internal!$D$60/12</f>
        <v>15536.083333333334</v>
      </c>
      <c r="N34" s="63">
        <f>$F34*Outputs_Internal!K$60/12</f>
        <v>3090.2903216236641</v>
      </c>
      <c r="O34" s="63">
        <f>$F34*Outputs_Internal!L$60/12</f>
        <v>12445.793011709669</v>
      </c>
      <c r="P34" s="63">
        <f>$F34*Outputs_Internal!M$60/12</f>
        <v>0</v>
      </c>
      <c r="Q34" s="63">
        <f>$F34*Outputs_Internal!N$60/12</f>
        <v>-2.0816681711721685E-13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3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$F35*Outputs_Internal!$D$60/12</f>
        <v>15536.083333333334</v>
      </c>
      <c r="N35" s="63">
        <f>$F35*Outputs_Internal!K$60/12</f>
        <v>3090.2903216236641</v>
      </c>
      <c r="O35" s="63">
        <f>$F35*Outputs_Internal!L$60/12</f>
        <v>12445.793011709669</v>
      </c>
      <c r="P35" s="63">
        <f>$F35*Outputs_Internal!M$60/12</f>
        <v>0</v>
      </c>
      <c r="Q35" s="63">
        <f>$F35*Outputs_Internal!N$60/12</f>
        <v>-2.0816681711721685E-13</v>
      </c>
      <c r="S35" s="63">
        <f t="shared" si="1"/>
        <v>46608.25</v>
      </c>
      <c r="T35" s="63">
        <f t="shared" si="2"/>
        <v>9270.8709648709919</v>
      </c>
      <c r="U35" s="63">
        <f t="shared" si="3"/>
        <v>37337.379035129008</v>
      </c>
      <c r="V35" s="63">
        <f t="shared" si="4"/>
        <v>0</v>
      </c>
      <c r="W35" s="63">
        <f t="shared" si="5"/>
        <v>-6.2450045135165055E-13</v>
      </c>
    </row>
    <row r="36" spans="2:23" x14ac:dyDescent="0.3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$F36*Outputs_Internal!$D$60/12</f>
        <v>15536.083333333334</v>
      </c>
      <c r="N36" s="63">
        <f>$F36*Outputs_Internal!K$60/12</f>
        <v>3090.2903216236641</v>
      </c>
      <c r="O36" s="63">
        <f>$F36*Outputs_Internal!L$60/12</f>
        <v>12445.793011709669</v>
      </c>
      <c r="P36" s="63">
        <f>$F36*Outputs_Internal!M$60/12</f>
        <v>0</v>
      </c>
      <c r="Q36" s="63">
        <f>$F36*Outputs_Internal!N$60/12</f>
        <v>-2.0816681711721685E-13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3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$F37*Outputs_Internal!$D$60/12</f>
        <v>15536.083333333334</v>
      </c>
      <c r="N37" s="63">
        <f>$F37*Outputs_Internal!K$60/12</f>
        <v>3090.2903216236641</v>
      </c>
      <c r="O37" s="63">
        <f>$F37*Outputs_Internal!L$60/12</f>
        <v>12445.793011709669</v>
      </c>
      <c r="P37" s="63">
        <f>$F37*Outputs_Internal!M$60/12</f>
        <v>0</v>
      </c>
      <c r="Q37" s="63">
        <f>$F37*Outputs_Internal!N$60/12</f>
        <v>-2.0816681711721685E-13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3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$F38*Outputs_Internal!$D$60/12</f>
        <v>15536.083333333334</v>
      </c>
      <c r="N38" s="63">
        <f>$F38*Outputs_Internal!K$60/12</f>
        <v>3090.2903216236641</v>
      </c>
      <c r="O38" s="63">
        <f>$F38*Outputs_Internal!L$60/12</f>
        <v>12445.793011709669</v>
      </c>
      <c r="P38" s="63">
        <f>$F38*Outputs_Internal!M$60/12</f>
        <v>0</v>
      </c>
      <c r="Q38" s="63">
        <f>$F38*Outputs_Internal!N$60/12</f>
        <v>-2.0816681711721685E-13</v>
      </c>
      <c r="S38" s="63">
        <f t="shared" si="1"/>
        <v>46608.25</v>
      </c>
      <c r="T38" s="63">
        <f t="shared" si="2"/>
        <v>9270.8709648709919</v>
      </c>
      <c r="U38" s="63">
        <f t="shared" si="3"/>
        <v>37337.379035129008</v>
      </c>
      <c r="V38" s="63">
        <f t="shared" si="4"/>
        <v>0</v>
      </c>
      <c r="W38" s="63">
        <f t="shared" si="5"/>
        <v>-6.2450045135165055E-13</v>
      </c>
    </row>
    <row r="39" spans="2:23" x14ac:dyDescent="0.3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$F39*Outputs_Internal!$D$60/12</f>
        <v>15536.083333333334</v>
      </c>
      <c r="N39" s="63">
        <f>$F39*Outputs_Internal!K$60/12</f>
        <v>3090.2903216236641</v>
      </c>
      <c r="O39" s="63">
        <f>$F39*Outputs_Internal!L$60/12</f>
        <v>12445.793011709669</v>
      </c>
      <c r="P39" s="63">
        <f>$F39*Outputs_Internal!M$60/12</f>
        <v>0</v>
      </c>
      <c r="Q39" s="63">
        <f>$F39*Outputs_Internal!N$60/12</f>
        <v>-2.0816681711721685E-13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3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$F40*Outputs_Internal!$D$60/12</f>
        <v>15536.083333333334</v>
      </c>
      <c r="N40" s="63">
        <f>$F40*Outputs_Internal!K$60/12</f>
        <v>3090.2903216236641</v>
      </c>
      <c r="O40" s="63">
        <f>$F40*Outputs_Internal!L$60/12</f>
        <v>12445.793011709669</v>
      </c>
      <c r="P40" s="63">
        <f>$F40*Outputs_Internal!M$60/12</f>
        <v>0</v>
      </c>
      <c r="Q40" s="63">
        <f>$F40*Outputs_Internal!N$60/12</f>
        <v>-2.0816681711721685E-13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3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$F41*Outputs_Internal!$D$60/12</f>
        <v>15536.083333333334</v>
      </c>
      <c r="N41" s="63">
        <f>$F41*Outputs_Internal!K$60/12</f>
        <v>3090.2903216236641</v>
      </c>
      <c r="O41" s="63">
        <f>$F41*Outputs_Internal!L$60/12</f>
        <v>12445.793011709669</v>
      </c>
      <c r="P41" s="63">
        <f>$F41*Outputs_Internal!M$60/12</f>
        <v>0</v>
      </c>
      <c r="Q41" s="63">
        <f>$F41*Outputs_Internal!N$60/12</f>
        <v>-2.0816681711721685E-13</v>
      </c>
      <c r="S41" s="63">
        <f t="shared" si="1"/>
        <v>46608.25</v>
      </c>
      <c r="T41" s="63">
        <f t="shared" si="2"/>
        <v>9270.8709648709919</v>
      </c>
      <c r="U41" s="63">
        <f t="shared" si="3"/>
        <v>37337.379035129008</v>
      </c>
      <c r="V41" s="63">
        <f t="shared" si="4"/>
        <v>0</v>
      </c>
      <c r="W41" s="63">
        <f t="shared" si="5"/>
        <v>-6.2450045135165055E-13</v>
      </c>
    </row>
    <row r="42" spans="2:23" x14ac:dyDescent="0.3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$F42*Outputs_Internal!$D$60/12</f>
        <v>15536.083333333334</v>
      </c>
      <c r="N42" s="63">
        <f>$F42*Outputs_Internal!K$60/12</f>
        <v>3090.2903216236641</v>
      </c>
      <c r="O42" s="63">
        <f>$F42*Outputs_Internal!L$60/12</f>
        <v>12445.793011709669</v>
      </c>
      <c r="P42" s="63">
        <f>$F42*Outputs_Internal!M$60/12</f>
        <v>0</v>
      </c>
      <c r="Q42" s="63">
        <f>$F42*Outputs_Internal!N$60/12</f>
        <v>-2.0816681711721685E-13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3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$F43*Outputs_Internal!$D$60/12</f>
        <v>15536.083333333334</v>
      </c>
      <c r="N43" s="63">
        <f>$F43*Outputs_Internal!K$60/12</f>
        <v>3090.2903216236641</v>
      </c>
      <c r="O43" s="63">
        <f>$F43*Outputs_Internal!L$60/12</f>
        <v>12445.793011709669</v>
      </c>
      <c r="P43" s="63">
        <f>$F43*Outputs_Internal!M$60/12</f>
        <v>0</v>
      </c>
      <c r="Q43" s="63">
        <f>$F43*Outputs_Internal!N$60/12</f>
        <v>-2.0816681711721685E-13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3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$F44*Outputs_Internal!$D$60/12</f>
        <v>15536.083333333334</v>
      </c>
      <c r="N44" s="63">
        <f>$F44*Outputs_Internal!K$60/12</f>
        <v>3090.2903216236641</v>
      </c>
      <c r="O44" s="63">
        <f>$F44*Outputs_Internal!L$60/12</f>
        <v>12445.793011709669</v>
      </c>
      <c r="P44" s="63">
        <f>$F44*Outputs_Internal!M$60/12</f>
        <v>0</v>
      </c>
      <c r="Q44" s="63">
        <f>$F44*Outputs_Internal!N$60/12</f>
        <v>-2.0816681711721685E-13</v>
      </c>
      <c r="S44" s="63">
        <f>IF(MOD(MONTH($B44),3)=0,SUM(H42:H44,M42:M44),0)</f>
        <v>46608.25</v>
      </c>
      <c r="T44" s="63">
        <f t="shared" si="2"/>
        <v>9270.8709648709919</v>
      </c>
      <c r="U44" s="63">
        <f t="shared" si="3"/>
        <v>37337.379035129008</v>
      </c>
      <c r="V44" s="63">
        <f t="shared" si="4"/>
        <v>0</v>
      </c>
      <c r="W44" s="63">
        <f t="shared" si="5"/>
        <v>-6.2450045135165055E-13</v>
      </c>
    </row>
    <row r="45" spans="2:23" x14ac:dyDescent="0.3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$F45*Outputs_Internal!$D$60/12</f>
        <v>0</v>
      </c>
      <c r="N45" s="63">
        <f>$F45*Outputs_Internal!K$60/12</f>
        <v>0</v>
      </c>
      <c r="O45" s="63">
        <f>$F45*Outputs_Internal!L$60/12</f>
        <v>0</v>
      </c>
      <c r="P45" s="63">
        <f>$F45*Outputs_Internal!M$60/12</f>
        <v>0</v>
      </c>
      <c r="Q45" s="63">
        <f>$F45*Outputs_Internal!N$60/12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3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$F46*Outputs_Internal!$D$60/12</f>
        <v>0</v>
      </c>
      <c r="N46" s="63">
        <f>$F46*Outputs_Internal!K$60/12</f>
        <v>0</v>
      </c>
      <c r="O46" s="63">
        <f>$F46*Outputs_Internal!L$60/12</f>
        <v>0</v>
      </c>
      <c r="P46" s="63">
        <f>$F46*Outputs_Internal!M$60/12</f>
        <v>0</v>
      </c>
      <c r="Q46" s="63">
        <f>$F46*Outputs_Internal!N$60/12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3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$F47*Outputs_Internal!$D$60/12</f>
        <v>0</v>
      </c>
      <c r="N47" s="63">
        <f>$F47*Outputs_Internal!K$60/12</f>
        <v>0</v>
      </c>
      <c r="O47" s="63">
        <f>$F47*Outputs_Internal!L$60/12</f>
        <v>0</v>
      </c>
      <c r="P47" s="63">
        <f>$F47*Outputs_Internal!M$60/12</f>
        <v>0</v>
      </c>
      <c r="Q47" s="63">
        <f>$F47*Outputs_Internal!N$60/12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3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$F48*Outputs_Internal!$D$60/12</f>
        <v>0</v>
      </c>
      <c r="N48" s="63">
        <f>$F48*Outputs_Internal!K$60/12</f>
        <v>0</v>
      </c>
      <c r="O48" s="63">
        <f>$F48*Outputs_Internal!L$60/12</f>
        <v>0</v>
      </c>
      <c r="P48" s="63">
        <f>$F48*Outputs_Internal!M$60/12</f>
        <v>0</v>
      </c>
      <c r="Q48" s="63">
        <f>$F48*Outputs_Internal!N$60/12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3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$F49*Outputs_Internal!$D$60/12</f>
        <v>0</v>
      </c>
      <c r="N49" s="63">
        <f>$F49*Outputs_Internal!K$60/12</f>
        <v>0</v>
      </c>
      <c r="O49" s="63">
        <f>$F49*Outputs_Internal!L$60/12</f>
        <v>0</v>
      </c>
      <c r="P49" s="63">
        <f>$F49*Outputs_Internal!M$60/12</f>
        <v>0</v>
      </c>
      <c r="Q49" s="63">
        <f>$F49*Outputs_Internal!N$60/12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3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$F50*Outputs_Internal!$D$60/12</f>
        <v>0</v>
      </c>
      <c r="N50" s="63">
        <f>$F50*Outputs_Internal!K$60/12</f>
        <v>0</v>
      </c>
      <c r="O50" s="63">
        <f>$F50*Outputs_Internal!L$60/12</f>
        <v>0</v>
      </c>
      <c r="P50" s="63">
        <f>$F50*Outputs_Internal!M$60/12</f>
        <v>0</v>
      </c>
      <c r="Q50" s="63">
        <f>$F50*Outputs_Internal!N$60/12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3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$F51*Outputs_Internal!$D$60/12</f>
        <v>0</v>
      </c>
      <c r="N51" s="63">
        <f>$F51*Outputs_Internal!K$60/12</f>
        <v>0</v>
      </c>
      <c r="O51" s="63">
        <f>$F51*Outputs_Internal!L$60/12</f>
        <v>0</v>
      </c>
      <c r="P51" s="63">
        <f>$F51*Outputs_Internal!M$60/12</f>
        <v>0</v>
      </c>
      <c r="Q51" s="63">
        <f>$F51*Outputs_Internal!N$60/12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3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$F52*Outputs_Internal!$D$60/12</f>
        <v>0</v>
      </c>
      <c r="N52" s="63">
        <f>$F52*Outputs_Internal!K$60/12</f>
        <v>0</v>
      </c>
      <c r="O52" s="63">
        <f>$F52*Outputs_Internal!L$60/12</f>
        <v>0</v>
      </c>
      <c r="P52" s="63">
        <f>$F52*Outputs_Internal!M$60/12</f>
        <v>0</v>
      </c>
      <c r="Q52" s="63">
        <f>$F52*Outputs_Internal!N$60/12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3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$F53*Outputs_Internal!$D$60/12</f>
        <v>0</v>
      </c>
      <c r="N53" s="63">
        <f>$F53*Outputs_Internal!K$60/12</f>
        <v>0</v>
      </c>
      <c r="O53" s="63">
        <f>$F53*Outputs_Internal!L$60/12</f>
        <v>0</v>
      </c>
      <c r="P53" s="63">
        <f>$F53*Outputs_Internal!M$60/12</f>
        <v>0</v>
      </c>
      <c r="Q53" s="63">
        <f>$F53*Outputs_Internal!N$60/12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3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$F54*Outputs_Internal!$D$60/12</f>
        <v>0</v>
      </c>
      <c r="N54" s="63">
        <f>$F54*Outputs_Internal!K$60/12</f>
        <v>0</v>
      </c>
      <c r="O54" s="63">
        <f>$F54*Outputs_Internal!L$60/12</f>
        <v>0</v>
      </c>
      <c r="P54" s="63">
        <f>$F54*Outputs_Internal!M$60/12</f>
        <v>0</v>
      </c>
      <c r="Q54" s="63">
        <f>$F54*Outputs_Internal!N$60/12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3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$F55*Outputs_Internal!$D$60/12</f>
        <v>0</v>
      </c>
      <c r="N55" s="63">
        <f>$F55*Outputs_Internal!K$60/12</f>
        <v>0</v>
      </c>
      <c r="O55" s="63">
        <f>$F55*Outputs_Internal!L$60/12</f>
        <v>0</v>
      </c>
      <c r="P55" s="63">
        <f>$F55*Outputs_Internal!M$60/12</f>
        <v>0</v>
      </c>
      <c r="Q55" s="63">
        <f>$F55*Outputs_Internal!N$60/12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3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$F56*Outputs_Internal!$D$60/12</f>
        <v>0</v>
      </c>
      <c r="N56" s="63">
        <f>$F56*Outputs_Internal!K$60/12</f>
        <v>0</v>
      </c>
      <c r="O56" s="63">
        <f>$F56*Outputs_Internal!L$60/12</f>
        <v>0</v>
      </c>
      <c r="P56" s="63">
        <f>$F56*Outputs_Internal!M$60/12</f>
        <v>0</v>
      </c>
      <c r="Q56" s="63">
        <f>$F56*Outputs_Internal!N$60/12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3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$F57*Outputs_Internal!$D$60/12</f>
        <v>0</v>
      </c>
      <c r="N57" s="63">
        <f>$F57*Outputs_Internal!K$60/12</f>
        <v>0</v>
      </c>
      <c r="O57" s="63">
        <f>$F57*Outputs_Internal!L$60/12</f>
        <v>0</v>
      </c>
      <c r="P57" s="63">
        <f>$F57*Outputs_Internal!M$60/12</f>
        <v>0</v>
      </c>
      <c r="Q57" s="63">
        <f>$F57*Outputs_Internal!N$60/12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3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$F58*Outputs_Internal!$D$60/12</f>
        <v>0</v>
      </c>
      <c r="N58" s="63">
        <f>$F58*Outputs_Internal!K$60/12</f>
        <v>0</v>
      </c>
      <c r="O58" s="63">
        <f>$F58*Outputs_Internal!L$60/12</f>
        <v>0</v>
      </c>
      <c r="P58" s="63">
        <f>$F58*Outputs_Internal!M$60/12</f>
        <v>0</v>
      </c>
      <c r="Q58" s="63">
        <f>$F58*Outputs_Internal!N$60/12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3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$F59*Outputs_Internal!$D$60/12</f>
        <v>0</v>
      </c>
      <c r="N59" s="63">
        <f>$F59*Outputs_Internal!K$60/12</f>
        <v>0</v>
      </c>
      <c r="O59" s="63">
        <f>$F59*Outputs_Internal!L$60/12</f>
        <v>0</v>
      </c>
      <c r="P59" s="63">
        <f>$F59*Outputs_Internal!M$60/12</f>
        <v>0</v>
      </c>
      <c r="Q59" s="63">
        <f>$F59*Outputs_Internal!N$60/12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3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$F60*Outputs_Internal!$D$60/12</f>
        <v>0</v>
      </c>
      <c r="N60" s="63">
        <f>$F60*Outputs_Internal!K$60/12</f>
        <v>0</v>
      </c>
      <c r="O60" s="63">
        <f>$F60*Outputs_Internal!L$60/12</f>
        <v>0</v>
      </c>
      <c r="P60" s="63">
        <f>$F60*Outputs_Internal!M$60/12</f>
        <v>0</v>
      </c>
      <c r="Q60" s="63">
        <f>$F60*Outputs_Internal!N$60/12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3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$F61*Outputs_Internal!$D$60/12</f>
        <v>0</v>
      </c>
      <c r="N61" s="63">
        <f>$F61*Outputs_Internal!K$60/12</f>
        <v>0</v>
      </c>
      <c r="O61" s="63">
        <f>$F61*Outputs_Internal!L$60/12</f>
        <v>0</v>
      </c>
      <c r="P61" s="63">
        <f>$F61*Outputs_Internal!M$60/12</f>
        <v>0</v>
      </c>
      <c r="Q61" s="63">
        <f>$F61*Outputs_Internal!N$60/12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3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$F62*Outputs_Internal!$D$60/12</f>
        <v>0</v>
      </c>
      <c r="N62" s="63">
        <f>$F62*Outputs_Internal!K$60/12</f>
        <v>0</v>
      </c>
      <c r="O62" s="63">
        <f>$F62*Outputs_Internal!L$60/12</f>
        <v>0</v>
      </c>
      <c r="P62" s="63">
        <f>$F62*Outputs_Internal!M$60/12</f>
        <v>0</v>
      </c>
      <c r="Q62" s="63">
        <f>$F62*Outputs_Internal!N$60/12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3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$F63*Outputs_Internal!$D$60/12</f>
        <v>0</v>
      </c>
      <c r="N63" s="63">
        <f>$F63*Outputs_Internal!K$60/12</f>
        <v>0</v>
      </c>
      <c r="O63" s="63">
        <f>$F63*Outputs_Internal!L$60/12</f>
        <v>0</v>
      </c>
      <c r="P63" s="63">
        <f>$F63*Outputs_Internal!M$60/12</f>
        <v>0</v>
      </c>
      <c r="Q63" s="63">
        <f>$F63*Outputs_Internal!N$60/12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3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$F64*Outputs_Internal!$D$60/12</f>
        <v>0</v>
      </c>
      <c r="N64" s="63">
        <f>$F64*Outputs_Internal!K$60/12</f>
        <v>0</v>
      </c>
      <c r="O64" s="63">
        <f>$F64*Outputs_Internal!L$60/12</f>
        <v>0</v>
      </c>
      <c r="P64" s="63">
        <f>$F64*Outputs_Internal!M$60/12</f>
        <v>0</v>
      </c>
      <c r="Q64" s="63">
        <f>$F64*Outputs_Internal!N$60/12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3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$F65*Outputs_Internal!$D$60/12</f>
        <v>0</v>
      </c>
      <c r="N65" s="63">
        <f>$F65*Outputs_Internal!K$60/12</f>
        <v>0</v>
      </c>
      <c r="O65" s="63">
        <f>$F65*Outputs_Internal!L$60/12</f>
        <v>0</v>
      </c>
      <c r="P65" s="63">
        <f>$F65*Outputs_Internal!M$60/12</f>
        <v>0</v>
      </c>
      <c r="Q65" s="63">
        <f>$F65*Outputs_Internal!N$60/12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3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$F66*Outputs_Internal!$D$60/12</f>
        <v>0</v>
      </c>
      <c r="N66" s="63">
        <f>$F66*Outputs_Internal!K$60/12</f>
        <v>0</v>
      </c>
      <c r="O66" s="63">
        <f>$F66*Outputs_Internal!L$60/12</f>
        <v>0</v>
      </c>
      <c r="P66" s="63">
        <f>$F66*Outputs_Internal!M$60/12</f>
        <v>0</v>
      </c>
      <c r="Q66" s="63">
        <f>$F66*Outputs_Internal!N$60/12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3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$F67*Outputs_Internal!$D$60/12</f>
        <v>0</v>
      </c>
      <c r="N67" s="63">
        <f>$F67*Outputs_Internal!K$60/12</f>
        <v>0</v>
      </c>
      <c r="O67" s="63">
        <f>$F67*Outputs_Internal!L$60/12</f>
        <v>0</v>
      </c>
      <c r="P67" s="63">
        <f>$F67*Outputs_Internal!M$60/12</f>
        <v>0</v>
      </c>
      <c r="Q67" s="63">
        <f>$F67*Outputs_Internal!N$60/12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3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$F68*Outputs_Internal!$D$60/12</f>
        <v>0</v>
      </c>
      <c r="N68" s="63">
        <f>$F68*Outputs_Internal!K$60/12</f>
        <v>0</v>
      </c>
      <c r="O68" s="63">
        <f>$F68*Outputs_Internal!L$60/12</f>
        <v>0</v>
      </c>
      <c r="P68" s="63">
        <f>$F68*Outputs_Internal!M$60/12</f>
        <v>0</v>
      </c>
      <c r="Q68" s="63">
        <f>$F68*Outputs_Internal!N$60/12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3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$F69*Outputs_Internal!$D$60/12</f>
        <v>0</v>
      </c>
      <c r="N69" s="63">
        <f>$F69*Outputs_Internal!K$60/12</f>
        <v>0</v>
      </c>
      <c r="O69" s="63">
        <f>$F69*Outputs_Internal!L$60/12</f>
        <v>0</v>
      </c>
      <c r="P69" s="63">
        <f>$F69*Outputs_Internal!M$60/12</f>
        <v>0</v>
      </c>
      <c r="Q69" s="63">
        <f>$F69*Outputs_Internal!N$60/12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3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$F70*Outputs_Internal!$D$60/12</f>
        <v>0</v>
      </c>
      <c r="N70" s="63">
        <f>$F70*Outputs_Internal!K$60/12</f>
        <v>0</v>
      </c>
      <c r="O70" s="63">
        <f>$F70*Outputs_Internal!L$60/12</f>
        <v>0</v>
      </c>
      <c r="P70" s="63">
        <f>$F70*Outputs_Internal!M$60/12</f>
        <v>0</v>
      </c>
      <c r="Q70" s="63">
        <f>$F70*Outputs_Internal!N$60/12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3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$F71*Outputs_Internal!$D$60/12</f>
        <v>0</v>
      </c>
      <c r="N71" s="63">
        <f>$F71*Outputs_Internal!K$60/12</f>
        <v>0</v>
      </c>
      <c r="O71" s="63">
        <f>$F71*Outputs_Internal!L$60/12</f>
        <v>0</v>
      </c>
      <c r="P71" s="63">
        <f>$F71*Outputs_Internal!M$60/12</f>
        <v>0</v>
      </c>
      <c r="Q71" s="63">
        <f>$F71*Outputs_Internal!N$60/12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3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$F72*Outputs_Internal!$D$60/12</f>
        <v>0</v>
      </c>
      <c r="N72" s="63">
        <f>$F72*Outputs_Internal!K$60/12</f>
        <v>0</v>
      </c>
      <c r="O72" s="63">
        <f>$F72*Outputs_Internal!L$60/12</f>
        <v>0</v>
      </c>
      <c r="P72" s="63">
        <f>$F72*Outputs_Internal!M$60/12</f>
        <v>0</v>
      </c>
      <c r="Q72" s="63">
        <f>$F72*Outputs_Internal!N$60/12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3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$F73*Outputs_Internal!$D$60/12</f>
        <v>0</v>
      </c>
      <c r="N73" s="63">
        <f>$F73*Outputs_Internal!K$60/12</f>
        <v>0</v>
      </c>
      <c r="O73" s="63">
        <f>$F73*Outputs_Internal!L$60/12</f>
        <v>0</v>
      </c>
      <c r="P73" s="63">
        <f>$F73*Outputs_Internal!M$60/12</f>
        <v>0</v>
      </c>
      <c r="Q73" s="63">
        <f>$F73*Outputs_Internal!N$60/12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3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$F74*Outputs_Internal!$D$60/12</f>
        <v>0</v>
      </c>
      <c r="N74" s="63">
        <f>$F74*Outputs_Internal!K$60/12</f>
        <v>0</v>
      </c>
      <c r="O74" s="63">
        <f>$F74*Outputs_Internal!L$60/12</f>
        <v>0</v>
      </c>
      <c r="P74" s="63">
        <f>$F74*Outputs_Internal!M$60/12</f>
        <v>0</v>
      </c>
      <c r="Q74" s="63">
        <f>$F74*Outputs_Internal!N$60/12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3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$F75*Outputs_Internal!$D$60/12</f>
        <v>0</v>
      </c>
      <c r="N75" s="63">
        <f>$F75*Outputs_Internal!K$60/12</f>
        <v>0</v>
      </c>
      <c r="O75" s="63">
        <f>$F75*Outputs_Internal!L$60/12</f>
        <v>0</v>
      </c>
      <c r="P75" s="63">
        <f>$F75*Outputs_Internal!M$60/12</f>
        <v>0</v>
      </c>
      <c r="Q75" s="63">
        <f>$F75*Outputs_Internal!N$60/12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3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$F76*Outputs_Internal!$D$60/12</f>
        <v>0</v>
      </c>
      <c r="N76" s="63">
        <f>$F76*Outputs_Internal!K$60/12</f>
        <v>0</v>
      </c>
      <c r="O76" s="63">
        <f>$F76*Outputs_Internal!L$60/12</f>
        <v>0</v>
      </c>
      <c r="P76" s="63">
        <f>$F76*Outputs_Internal!M$60/12</f>
        <v>0</v>
      </c>
      <c r="Q76" s="63">
        <f>$F76*Outputs_Internal!N$60/12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3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$F77*Outputs_Internal!$D$60/12</f>
        <v>0</v>
      </c>
      <c r="N77" s="63">
        <f>$F77*Outputs_Internal!K$60/12</f>
        <v>0</v>
      </c>
      <c r="O77" s="63">
        <f>$F77*Outputs_Internal!L$60/12</f>
        <v>0</v>
      </c>
      <c r="P77" s="63">
        <f>$F77*Outputs_Internal!M$60/12</f>
        <v>0</v>
      </c>
      <c r="Q77" s="63">
        <f>$F77*Outputs_Internal!N$60/12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3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$F78*Outputs_Internal!$D$60/12</f>
        <v>0</v>
      </c>
      <c r="N78" s="63">
        <f>$F78*Outputs_Internal!K$60/12</f>
        <v>0</v>
      </c>
      <c r="O78" s="63">
        <f>$F78*Outputs_Internal!L$60/12</f>
        <v>0</v>
      </c>
      <c r="P78" s="63">
        <f>$F78*Outputs_Internal!M$60/12</f>
        <v>0</v>
      </c>
      <c r="Q78" s="63">
        <f>$F78*Outputs_Internal!N$60/12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3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$F79*Outputs_Internal!$D$60/12</f>
        <v>0</v>
      </c>
      <c r="N79" s="63">
        <f>$F79*Outputs_Internal!K$60/12</f>
        <v>0</v>
      </c>
      <c r="O79" s="63">
        <f>$F79*Outputs_Internal!L$60/12</f>
        <v>0</v>
      </c>
      <c r="P79" s="63">
        <f>$F79*Outputs_Internal!M$60/12</f>
        <v>0</v>
      </c>
      <c r="Q79" s="63">
        <f>$F79*Outputs_Internal!N$60/12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3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$F80*Outputs_Internal!$D$60/12</f>
        <v>0</v>
      </c>
      <c r="N80" s="63">
        <f>$F80*Outputs_Internal!K$60/12</f>
        <v>0</v>
      </c>
      <c r="O80" s="63">
        <f>$F80*Outputs_Internal!L$60/12</f>
        <v>0</v>
      </c>
      <c r="P80" s="63">
        <f>$F80*Outputs_Internal!M$60/12</f>
        <v>0</v>
      </c>
      <c r="Q80" s="63">
        <f>$F80*Outputs_Internal!N$60/12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3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$F81*Outputs_Internal!$D$60/12</f>
        <v>0</v>
      </c>
      <c r="N81" s="63">
        <f>$F81*Outputs_Internal!K$60/12</f>
        <v>0</v>
      </c>
      <c r="O81" s="63">
        <f>$F81*Outputs_Internal!L$60/12</f>
        <v>0</v>
      </c>
      <c r="P81" s="63">
        <f>$F81*Outputs_Internal!M$60/12</f>
        <v>0</v>
      </c>
      <c r="Q81" s="63">
        <f>$F81*Outputs_Internal!N$60/12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3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$F82*Outputs_Internal!$D$60/12</f>
        <v>0</v>
      </c>
      <c r="N82" s="63">
        <f>$F82*Outputs_Internal!K$60/12</f>
        <v>0</v>
      </c>
      <c r="O82" s="63">
        <f>$F82*Outputs_Internal!L$60/12</f>
        <v>0</v>
      </c>
      <c r="P82" s="63">
        <f>$F82*Outputs_Internal!M$60/12</f>
        <v>0</v>
      </c>
      <c r="Q82" s="63">
        <f>$F82*Outputs_Internal!N$60/12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3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$F83*Outputs_Internal!$D$60/12</f>
        <v>0</v>
      </c>
      <c r="N83" s="63">
        <f>$F83*Outputs_Internal!K$60/12</f>
        <v>0</v>
      </c>
      <c r="O83" s="63">
        <f>$F83*Outputs_Internal!L$60/12</f>
        <v>0</v>
      </c>
      <c r="P83" s="63">
        <f>$F83*Outputs_Internal!M$60/12</f>
        <v>0</v>
      </c>
      <c r="Q83" s="63">
        <f>$F83*Outputs_Internal!N$60/12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3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$F84*Outputs_Internal!$D$60/12</f>
        <v>0</v>
      </c>
      <c r="N84" s="63">
        <f>$F84*Outputs_Internal!K$60/12</f>
        <v>0</v>
      </c>
      <c r="O84" s="63">
        <f>$F84*Outputs_Internal!L$60/12</f>
        <v>0</v>
      </c>
      <c r="P84" s="63">
        <f>$F84*Outputs_Internal!M$60/12</f>
        <v>0</v>
      </c>
      <c r="Q84" s="63">
        <f>$F84*Outputs_Internal!N$60/12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3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$F85*Outputs_Internal!$D$60/12</f>
        <v>0</v>
      </c>
      <c r="N85" s="63">
        <f>$F85*Outputs_Internal!K$60/12</f>
        <v>0</v>
      </c>
      <c r="O85" s="63">
        <f>$F85*Outputs_Internal!L$60/12</f>
        <v>0</v>
      </c>
      <c r="P85" s="63">
        <f>$F85*Outputs_Internal!M$60/12</f>
        <v>0</v>
      </c>
      <c r="Q85" s="63">
        <f>$F85*Outputs_Internal!N$60/12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3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$F86*Outputs_Internal!$D$60/12</f>
        <v>0</v>
      </c>
      <c r="N86" s="63">
        <f>$F86*Outputs_Internal!K$60/12</f>
        <v>0</v>
      </c>
      <c r="O86" s="63">
        <f>$F86*Outputs_Internal!L$60/12</f>
        <v>0</v>
      </c>
      <c r="P86" s="63">
        <f>$F86*Outputs_Internal!M$60/12</f>
        <v>0</v>
      </c>
      <c r="Q86" s="63">
        <f>$F86*Outputs_Internal!N$60/12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3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$F87*Outputs_Internal!$D$60/12</f>
        <v>0</v>
      </c>
      <c r="N87" s="63">
        <f>$F87*Outputs_Internal!K$60/12</f>
        <v>0</v>
      </c>
      <c r="O87" s="63">
        <f>$F87*Outputs_Internal!L$60/12</f>
        <v>0</v>
      </c>
      <c r="P87" s="63">
        <f>$F87*Outputs_Internal!M$60/12</f>
        <v>0</v>
      </c>
      <c r="Q87" s="63">
        <f>$F87*Outputs_Internal!N$60/12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3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$F88*Outputs_Internal!$D$60/12</f>
        <v>0</v>
      </c>
      <c r="N88" s="63">
        <f>$F88*Outputs_Internal!K$60/12</f>
        <v>0</v>
      </c>
      <c r="O88" s="63">
        <f>$F88*Outputs_Internal!L$60/12</f>
        <v>0</v>
      </c>
      <c r="P88" s="63">
        <f>$F88*Outputs_Internal!M$60/12</f>
        <v>0</v>
      </c>
      <c r="Q88" s="63">
        <f>$F88*Outputs_Internal!N$60/12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3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$F89*Outputs_Internal!$D$60/12</f>
        <v>0</v>
      </c>
      <c r="N89" s="63">
        <f>$F89*Outputs_Internal!K$60/12</f>
        <v>0</v>
      </c>
      <c r="O89" s="63">
        <f>$F89*Outputs_Internal!L$60/12</f>
        <v>0</v>
      </c>
      <c r="P89" s="63">
        <f>$F89*Outputs_Internal!M$60/12</f>
        <v>0</v>
      </c>
      <c r="Q89" s="63">
        <f>$F89*Outputs_Internal!N$60/12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3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$F90*Outputs_Internal!$D$60/12</f>
        <v>0</v>
      </c>
      <c r="N90" s="63">
        <f>$F90*Outputs_Internal!K$60/12</f>
        <v>0</v>
      </c>
      <c r="O90" s="63">
        <f>$F90*Outputs_Internal!L$60/12</f>
        <v>0</v>
      </c>
      <c r="P90" s="63">
        <f>$F90*Outputs_Internal!M$60/12</f>
        <v>0</v>
      </c>
      <c r="Q90" s="63">
        <f>$F90*Outputs_Internal!N$60/12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3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$F91*Outputs_Internal!$D$60/12</f>
        <v>0</v>
      </c>
      <c r="N91" s="63">
        <f>$F91*Outputs_Internal!K$60/12</f>
        <v>0</v>
      </c>
      <c r="O91" s="63">
        <f>$F91*Outputs_Internal!L$60/12</f>
        <v>0</v>
      </c>
      <c r="P91" s="63">
        <f>$F91*Outputs_Internal!M$60/12</f>
        <v>0</v>
      </c>
      <c r="Q91" s="63">
        <f>$F91*Outputs_Internal!N$60/12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3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$F92*Outputs_Internal!$D$60/12</f>
        <v>0</v>
      </c>
      <c r="N92" s="63">
        <f>$F92*Outputs_Internal!K$60/12</f>
        <v>0</v>
      </c>
      <c r="O92" s="63">
        <f>$F92*Outputs_Internal!L$60/12</f>
        <v>0</v>
      </c>
      <c r="P92" s="63">
        <f>$F92*Outputs_Internal!M$60/12</f>
        <v>0</v>
      </c>
      <c r="Q92" s="63">
        <f>$F92*Outputs_Internal!N$60/12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3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$F93*Outputs_Internal!$D$60/12</f>
        <v>0</v>
      </c>
      <c r="N93" s="63">
        <f>$F93*Outputs_Internal!K$60/12</f>
        <v>0</v>
      </c>
      <c r="O93" s="63">
        <f>$F93*Outputs_Internal!L$60/12</f>
        <v>0</v>
      </c>
      <c r="P93" s="63">
        <f>$F93*Outputs_Internal!M$60/12</f>
        <v>0</v>
      </c>
      <c r="Q93" s="63">
        <f>$F93*Outputs_Internal!N$60/12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3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$F94*Outputs_Internal!$D$60/12</f>
        <v>0</v>
      </c>
      <c r="N94" s="63">
        <f>$F94*Outputs_Internal!K$60/12</f>
        <v>0</v>
      </c>
      <c r="O94" s="63">
        <f>$F94*Outputs_Internal!L$60/12</f>
        <v>0</v>
      </c>
      <c r="P94" s="63">
        <f>$F94*Outputs_Internal!M$60/12</f>
        <v>0</v>
      </c>
      <c r="Q94" s="63">
        <f>$F94*Outputs_Internal!N$60/12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44" activePane="bottomRight" state="frozen"/>
      <selection pane="topRight" activeCell="D1" sqref="D1"/>
      <selection pane="bottomLeft" activeCell="A3" sqref="A3"/>
      <selection pane="bottomRight" activeCell="D79" sqref="D79:H79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0)))*Inputs!D10</f>
        <v>10000</v>
      </c>
      <c r="E4" s="1">
        <f>IF(AND(Inputs!E7="Y",Inputs!E6="Y"), 0, IF(Inputs!E6="Y", SUM(Prices!$C$3, IF(Inputs!E$8 ="Y", Prices!$C$4, 0)), IF(Inputs!E6="N", Prices!$D$3, 0)))*Inputs!E10</f>
        <v>60000</v>
      </c>
      <c r="F4" s="1">
        <f>IF(AND(Inputs!F7="Y",Inputs!F6="Y"), 0, IF(Inputs!F6="Y", SUM(Prices!$C$3, IF(Inputs!F$8 ="Y", Prices!$C$4, 0)), IF(Inputs!F6="N", Prices!$D$3, 0)))*Inputs!F10</f>
        <v>0</v>
      </c>
      <c r="G4" s="1">
        <f>IF(AND(Inputs!G7="Y",Inputs!G6="Y"), 0, IF(Inputs!G6="Y", SUM(Prices!$C$3, IF(Inputs!G$8 ="Y", Prices!$C$4, 0)), IF(Inputs!G6="N", Prices!$D$3, 0)))*Inputs!G10</f>
        <v>0</v>
      </c>
      <c r="H4" s="1">
        <f>IF(AND(Inputs!H7="Y",Inputs!H6="Y"), 0, IF(Inputs!H6="Y", SUM(Prices!$C$3, IF(Inputs!H$8 ="Y", Prices!$C$4, 0)), IF(Inputs!H6="N", Prices!$D$3, 0)))*Inputs!H10</f>
        <v>0</v>
      </c>
    </row>
    <row r="5" spans="2:15" x14ac:dyDescent="0.3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35">
      <c r="B6" s="6" t="s">
        <v>87</v>
      </c>
      <c r="D6" s="5">
        <f>IF(Inputs!D$6="N",MIN(MAX(Inputs!D$9-$K6,0),$L6-$K6),0)</f>
        <v>0</v>
      </c>
      <c r="E6" s="5">
        <f>IF(Inputs!E$6="N",MIN(MAX(Inputs!E$9-$K6,0),$L6-$K6),0)</f>
        <v>25000</v>
      </c>
      <c r="F6" s="5">
        <f>IF(Inputs!F$6="N",MIN(MAX(Inputs!F$9-$K6,0),$L6-$K6),0)</f>
        <v>0</v>
      </c>
      <c r="G6" s="5">
        <f>IF(Inputs!G$6="N",MIN(MAX(Inputs!G$9-$K6,0),$L6-$K6),0)</f>
        <v>0</v>
      </c>
      <c r="H6" s="5">
        <f>IF(Inputs!H$6="N",MIN(MAX(Inputs!H$9-$K6,0),$L6-$K6),0)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88</v>
      </c>
      <c r="D7" s="5">
        <f>IF(Inputs!D$6="N",MIN(MAX(Inputs!D$9-$K7,0),$L7-$K7),0)</f>
        <v>0</v>
      </c>
      <c r="E7" s="5">
        <f>IF(Inputs!E$6="N",MIN(MAX(Inputs!E$9-$K7,0),$L7-$K7),0)</f>
        <v>50000</v>
      </c>
      <c r="F7" s="5">
        <f>IF(Inputs!F$6="N",MIN(MAX(Inputs!F$9-$K7,0),$L7-$K7),0)</f>
        <v>0</v>
      </c>
      <c r="G7" s="5">
        <f>IF(Inputs!G$6="N",MIN(MAX(Inputs!G$9-$K7,0),$L7-$K7),0)</f>
        <v>0</v>
      </c>
      <c r="H7" s="5">
        <f>IF(Inputs!H$6="N",MIN(MAX(Inputs!H$9-$K7,0),$L7-$K7),0)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89</v>
      </c>
      <c r="D8" s="5">
        <f>IF(Inputs!D$6="N",MIN(MAX(Inputs!D$9-$K8,0),$L8-$K8),0)</f>
        <v>0</v>
      </c>
      <c r="E8" s="5">
        <f>IF(Inputs!E$6="N",MIN(MAX(Inputs!E$9-$K8,0),$L8-$K8),0)</f>
        <v>150000</v>
      </c>
      <c r="F8" s="5">
        <f>IF(Inputs!F$6="N",MIN(MAX(Inputs!F$9-$K8,0),$L8-$K8),0)</f>
        <v>0</v>
      </c>
      <c r="G8" s="5">
        <f>IF(Inputs!G$6="N",MIN(MAX(Inputs!G$9-$K8,0),$L8-$K8),0)</f>
        <v>0</v>
      </c>
      <c r="H8" s="5">
        <f>IF(Inputs!H$6="N",MIN(MAX(Inputs!H$9-$K8,0),$L8-$K8),0)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91</v>
      </c>
      <c r="D9" s="5">
        <f>IF(Inputs!D$6="N",MIN(MAX(Inputs!D$9-$K9,0),$L9-$K9),0)</f>
        <v>0</v>
      </c>
      <c r="E9" s="5">
        <f>IF(Inputs!E$6="N",MIN(MAX(Inputs!E$9-$K9,0),$L9-$K9),0)</f>
        <v>0</v>
      </c>
      <c r="F9" s="5">
        <f>IF(Inputs!F$6="N",MIN(MAX(Inputs!F$9-$K9,0),$L9-$K9),0)</f>
        <v>0</v>
      </c>
      <c r="G9" s="5">
        <f>IF(Inputs!G$6="N",MIN(MAX(Inputs!G$9-$K9,0),$L9-$K9),0)</f>
        <v>0</v>
      </c>
      <c r="H9" s="5">
        <f>IF(Inputs!H$6="N",MIN(MAX(Inputs!H$9-$K9,0),$L9-$K9),0)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0.40444444444444444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49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21</v>
      </c>
      <c r="D15" s="18">
        <f xml:space="preserve"> IF(OR(Inputs!D12="Y",Inputs!D$22="Y"), Prices!$C10, 0)</f>
        <v>0</v>
      </c>
      <c r="E15" s="18">
        <f xml:space="preserve"> IF(OR(Inputs!E12="Y",Inputs!E$22="Y"), Prices!$C10, 0)</f>
        <v>0</v>
      </c>
      <c r="F15" s="18">
        <f xml:space="preserve"> IF(OR(Inputs!F12="Y",Inputs!F$22="Y"), Prices!$C10, 0)</f>
        <v>0</v>
      </c>
      <c r="G15" s="18">
        <f xml:space="preserve"> IF(OR(Inputs!G12="Y",Inputs!G$22="Y"), Prices!$C10, 0)</f>
        <v>0</v>
      </c>
      <c r="H15" s="18">
        <f xml:space="preserve"> IF(OR(Inputs!H12="Y",Inputs!H$22="Y"), Prices!$C10, 0)</f>
        <v>0</v>
      </c>
    </row>
    <row r="16" spans="2:15" x14ac:dyDescent="0.35">
      <c r="C16" s="17" t="s">
        <v>8</v>
      </c>
      <c r="D16" s="18">
        <f xml:space="preserve"> IF(OR(Inputs!D13="Y",Inputs!D$22="Y"), Prices!$C11, 0)</f>
        <v>0</v>
      </c>
      <c r="E16" s="18">
        <f xml:space="preserve"> IF(OR(Inputs!E13="Y",Inputs!E$22="Y"), Prices!$C11, 0)</f>
        <v>0</v>
      </c>
      <c r="F16" s="18">
        <f xml:space="preserve"> IF(OR(Inputs!F13="Y",Inputs!F$22="Y"), Prices!$C11, 0)</f>
        <v>0</v>
      </c>
      <c r="G16" s="18">
        <f xml:space="preserve"> IF(OR(Inputs!G13="Y",Inputs!G$22="Y"), Prices!$C11, 0)</f>
        <v>0</v>
      </c>
      <c r="H16" s="18">
        <f xml:space="preserve"> IF(OR(Inputs!H13="Y",Inputs!H$22="Y"), Prices!$C11, 0)</f>
        <v>0</v>
      </c>
    </row>
    <row r="17" spans="2:8" x14ac:dyDescent="0.35">
      <c r="C17" s="17" t="s">
        <v>22</v>
      </c>
      <c r="D17" s="18">
        <f xml:space="preserve"> IF(OR(Inputs!D14="Y",Inputs!D$22="Y"), Prices!$C12, 0)</f>
        <v>0</v>
      </c>
      <c r="E17" s="18">
        <f xml:space="preserve"> IF(OR(Inputs!E14="Y",Inputs!E$22="Y"), Prices!$C12, 0)</f>
        <v>0</v>
      </c>
      <c r="F17" s="18">
        <f xml:space="preserve"> IF(OR(Inputs!F14="Y",Inputs!F$22="Y"), Prices!$C12, 0)</f>
        <v>0</v>
      </c>
      <c r="G17" s="18">
        <f xml:space="preserve"> IF(OR(Inputs!G14="Y",Inputs!G$22="Y"), Prices!$C12, 0)</f>
        <v>0</v>
      </c>
      <c r="H17" s="18">
        <f xml:space="preserve"> IF(OR(Inputs!H14="Y",Inputs!H$22="Y"), Prices!$C12, 0)</f>
        <v>0</v>
      </c>
    </row>
    <row r="18" spans="2:8" x14ac:dyDescent="0.35">
      <c r="C18" s="17" t="s">
        <v>9</v>
      </c>
      <c r="D18" s="18">
        <f xml:space="preserve"> IF(OR(Inputs!D15="Y",Inputs!D$22="Y"), Prices!$C13, 0)</f>
        <v>0</v>
      </c>
      <c r="E18" s="18">
        <f xml:space="preserve"> IF(OR(Inputs!E15="Y",Inputs!E$22="Y"), Prices!$C13, 0)</f>
        <v>0</v>
      </c>
      <c r="F18" s="18">
        <f xml:space="preserve"> IF(OR(Inputs!F15="Y",Inputs!F$22="Y"), Prices!$C13, 0)</f>
        <v>0</v>
      </c>
      <c r="G18" s="18">
        <f xml:space="preserve"> IF(OR(Inputs!G15="Y",Inputs!G$22="Y"), Prices!$C13, 0)</f>
        <v>0</v>
      </c>
      <c r="H18" s="18">
        <f xml:space="preserve"> IF(OR(Inputs!H15="Y",Inputs!H$22="Y"), Prices!$C13, 0)</f>
        <v>0</v>
      </c>
    </row>
    <row r="19" spans="2:8" x14ac:dyDescent="0.35">
      <c r="C19" s="17" t="s">
        <v>10</v>
      </c>
      <c r="D19" s="18">
        <f xml:space="preserve"> IF(OR(Inputs!D16="Y",Inputs!D$22="Y"), Prices!$C14, 0)</f>
        <v>0</v>
      </c>
      <c r="E19" s="18">
        <f xml:space="preserve"> IF(OR(Inputs!E16="Y",Inputs!E$22="Y"), Prices!$C14, 0)</f>
        <v>0</v>
      </c>
      <c r="F19" s="18">
        <f xml:space="preserve"> IF(OR(Inputs!F16="Y",Inputs!F$22="Y"), Prices!$C14, 0)</f>
        <v>0</v>
      </c>
      <c r="G19" s="18">
        <f xml:space="preserve"> IF(OR(Inputs!G16="Y",Inputs!G$22="Y"), Prices!$C14, 0)</f>
        <v>0</v>
      </c>
      <c r="H19" s="18">
        <f xml:space="preserve"> IF(OR(Inputs!H16="Y",Inputs!H$22="Y"), Prices!$C14, 0)</f>
        <v>0</v>
      </c>
    </row>
    <row r="20" spans="2:8" x14ac:dyDescent="0.35">
      <c r="C20" s="17" t="s">
        <v>78</v>
      </c>
      <c r="D20" s="18">
        <f xml:space="preserve"> IF(OR(Inputs!D17="Y",Inputs!D$22="Y"), Prices!$C15, 0)</f>
        <v>0</v>
      </c>
      <c r="E20" s="18">
        <f xml:space="preserve"> IF(OR(Inputs!E17="Y",Inputs!E$22="Y"), Prices!$C15, 0)</f>
        <v>0</v>
      </c>
      <c r="F20" s="18">
        <f xml:space="preserve"> IF(OR(Inputs!F17="Y",Inputs!F$22="Y"), Prices!$C15, 0)</f>
        <v>0</v>
      </c>
      <c r="G20" s="18">
        <f xml:space="preserve"> IF(OR(Inputs!G17="Y",Inputs!G$22="Y"), Prices!$C15, 0)</f>
        <v>0</v>
      </c>
      <c r="H20" s="18">
        <f xml:space="preserve"> IF(OR(Inputs!H17="Y",Inputs!H$22="Y"), Prices!$C15, 0)</f>
        <v>0</v>
      </c>
    </row>
    <row r="21" spans="2:8" x14ac:dyDescent="0.35">
      <c r="C21" s="19" t="s">
        <v>11</v>
      </c>
      <c r="D21" s="20">
        <f xml:space="preserve"> IF(OR(Inputs!D18="Y",Inputs!D$23="Y",Inputs!D$24="Y"), Prices!$C16, 0)</f>
        <v>10000</v>
      </c>
      <c r="E21" s="20">
        <f xml:space="preserve"> IF(OR(Inputs!E18="Y",Inputs!E$23="Y",Inputs!E$24="Y"), Prices!$C16, 0)</f>
        <v>10000</v>
      </c>
      <c r="F21" s="20">
        <f xml:space="preserve"> IF(OR(Inputs!F18="Y",Inputs!F$23="Y",Inputs!F$24="Y"), Prices!$C16, 0)</f>
        <v>0</v>
      </c>
      <c r="G21" s="20">
        <f xml:space="preserve"> IF(OR(Inputs!G18="Y",Inputs!G$23="Y",Inputs!G$24="Y"), Prices!$C16, 0)</f>
        <v>0</v>
      </c>
      <c r="H21" s="20">
        <f xml:space="preserve"> IF(OR(Inputs!H18="Y",Inputs!H$23="Y",Inputs!H$24="Y"), Prices!$C16, 0)</f>
        <v>0</v>
      </c>
    </row>
    <row r="22" spans="2:8" x14ac:dyDescent="0.35">
      <c r="C22" s="19" t="s">
        <v>12</v>
      </c>
      <c r="D22" s="20">
        <f xml:space="preserve"> IF(OR(Inputs!D19="Y",Inputs!D$23="Y",Inputs!D$24="Y"), Prices!$C17, 0)</f>
        <v>5000</v>
      </c>
      <c r="E22" s="20">
        <f xml:space="preserve"> IF(OR(Inputs!E19="Y",Inputs!E$23="Y",Inputs!E$24="Y"), Prices!$C17, 0)</f>
        <v>5000</v>
      </c>
      <c r="F22" s="20">
        <f xml:space="preserve"> IF(OR(Inputs!F19="Y",Inputs!F$23="Y",Inputs!F$24="Y"), Prices!$C17, 0)</f>
        <v>0</v>
      </c>
      <c r="G22" s="20">
        <f xml:space="preserve"> IF(OR(Inputs!G19="Y",Inputs!G$23="Y",Inputs!G$24="Y"), Prices!$C17, 0)</f>
        <v>0</v>
      </c>
      <c r="H22" s="20">
        <f xml:space="preserve"> IF(OR(Inputs!H19="Y",Inputs!H$23="Y",Inputs!H$24="Y"), Prices!$C17, 0)</f>
        <v>0</v>
      </c>
    </row>
    <row r="23" spans="2:8" x14ac:dyDescent="0.35">
      <c r="C23" s="19" t="s">
        <v>23</v>
      </c>
      <c r="D23" s="20">
        <f>IF(Inputs!D$6="N",0, IF(OR(Inputs!D20="Y",Inputs!D$23="Y",Inputs!D$24="Y"), Prices!$C18, 0))</f>
        <v>5000</v>
      </c>
      <c r="E23" s="20">
        <f>IF(Inputs!E$6="N",0, IF(OR(Inputs!E20="Y",Inputs!E$23="Y",Inputs!E$24="Y"), Prices!$C18, 0))</f>
        <v>0</v>
      </c>
      <c r="F23" s="20">
        <f>IF(Inputs!F$6="N",0, IF(OR(Inputs!F20="Y",Inputs!F$23="Y",Inputs!F$24="Y"), Prices!$C18, 0))</f>
        <v>0</v>
      </c>
      <c r="G23" s="20">
        <f>IF(Inputs!G$6="N",0, IF(OR(Inputs!G20="Y",Inputs!G$23="Y",Inputs!G$24="Y"), Prices!$C18, 0))</f>
        <v>0</v>
      </c>
      <c r="H23" s="20">
        <f>IF(Inputs!H$6="N",0, IF(OR(Inputs!H20="Y",Inputs!H$23="Y",Inputs!H$24="Y"), Prices!$C18, 0))</f>
        <v>0</v>
      </c>
    </row>
    <row r="25" spans="2:8" x14ac:dyDescent="0.35">
      <c r="B25" s="6" t="s">
        <v>50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24570.000000000004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21</v>
      </c>
      <c r="D27" s="18">
        <f>IF(OR(Inputs!D$6="Y", D$11 = 0), 0, IF(OR(Inputs!D12="Y",Inputs!D$22="Y"),PRODUCT(D$11, Prices!$E10),0))*D$10</f>
        <v>0</v>
      </c>
      <c r="E27" s="18">
        <f>IF(OR(Inputs!E$6="Y", E$11 = 0), 0, IF(OR(Inputs!E12="Y",Inputs!E$22="Y"),PRODUCT(E$11, Prices!$E10),0))*E$10</f>
        <v>0</v>
      </c>
      <c r="F27" s="18">
        <f>IF(OR(Inputs!F$6="Y", F$11 = 0), 0, IF(OR(Inputs!F12="Y",Inputs!F$22="Y"),PRODUCT(F$11, Prices!$E10),0))*F$10</f>
        <v>0</v>
      </c>
      <c r="G27" s="18">
        <f>IF(OR(Inputs!G$6="Y", G$11 = 0), 0, IF(OR(Inputs!G12="Y",Inputs!G$22="Y"),PRODUCT(G$11, Prices!$E10),0))*G$10</f>
        <v>0</v>
      </c>
      <c r="H27" s="18">
        <f>IF(OR(Inputs!H$6="Y", H$11 = 0), 0, IF(OR(Inputs!H12="Y",Inputs!H$22="Y"),PRODUCT(H$11,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IF(OR(Inputs!D13="Y",Inputs!D$22="Y"),PRODUCT(D$11, Prices!$E11),0))*D$10</f>
        <v>0</v>
      </c>
      <c r="E28" s="18">
        <f>IF(OR(Inputs!E$6="Y", E$11 = 0), 0, IF(OR(Inputs!E13="Y",Inputs!E$22="Y"),PRODUCT(E$11, Prices!$E11),0))*E$10</f>
        <v>0</v>
      </c>
      <c r="F28" s="18">
        <f>IF(OR(Inputs!F$6="Y", F$11 = 0), 0, IF(OR(Inputs!F13="Y",Inputs!F$22="Y"),PRODUCT(F$11, Prices!$E11),0))*F$10</f>
        <v>0</v>
      </c>
      <c r="G28" s="18">
        <f>IF(OR(Inputs!G$6="Y", G$11 = 0), 0, IF(OR(Inputs!G13="Y",Inputs!G$22="Y"),PRODUCT(G$11, Prices!$E11),0))*G$10</f>
        <v>0</v>
      </c>
      <c r="H28" s="18">
        <f>IF(OR(Inputs!H$6="Y", H$11 = 0), 0, IF(OR(Inputs!H13="Y",Inputs!H$22="Y"),PRODUCT(H$11, Prices!$E11),0))*H$10</f>
        <v>0</v>
      </c>
    </row>
    <row r="29" spans="2:8" x14ac:dyDescent="0.35">
      <c r="C29" s="17" t="s">
        <v>22</v>
      </c>
      <c r="D29" s="18">
        <f>IF(OR(Inputs!D$6="Y", D$11 = 0), 0, IF(OR(Inputs!D14="Y",Inputs!D$22="Y"),PRODUCT(D$11, Prices!$E12),0))*D$10</f>
        <v>0</v>
      </c>
      <c r="E29" s="18">
        <f>IF(OR(Inputs!E$6="Y", E$11 = 0), 0, IF(OR(Inputs!E14="Y",Inputs!E$22="Y"),PRODUCT(E$11, Prices!$E12),0))*E$10</f>
        <v>0</v>
      </c>
      <c r="F29" s="18">
        <f>IF(OR(Inputs!F$6="Y", F$11 = 0), 0, IF(OR(Inputs!F14="Y",Inputs!F$22="Y"),PRODUCT(F$11, Prices!$E12),0))*F$10</f>
        <v>0</v>
      </c>
      <c r="G29" s="18">
        <f>IF(OR(Inputs!G$6="Y", G$11 = 0), 0, IF(OR(Inputs!G14="Y",Inputs!G$22="Y"),PRODUCT(G$11, Prices!$E12),0))*G$10</f>
        <v>0</v>
      </c>
      <c r="H29" s="18">
        <f>IF(OR(Inputs!H$6="Y", H$11 = 0), 0, IF(OR(Inputs!H14="Y",Inputs!H$22="Y"),PRODUCT(H$11,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IF(OR(Inputs!D15="Y",Inputs!D$22="Y"),PRODUCT(D$11, Prices!$E13),0))*D$10</f>
        <v>0</v>
      </c>
      <c r="E30" s="18">
        <f>IF(OR(Inputs!E$6="Y", E$11 = 0), 0, IF(OR(Inputs!E15="Y",Inputs!E$22="Y"),PRODUCT(E$11, Prices!$E13),0))*E$10</f>
        <v>0</v>
      </c>
      <c r="F30" s="18">
        <f>IF(OR(Inputs!F$6="Y", F$11 = 0), 0, IF(OR(Inputs!F15="Y",Inputs!F$22="Y"),PRODUCT(F$11, Prices!$E13),0))*F$10</f>
        <v>0</v>
      </c>
      <c r="G30" s="18">
        <f>IF(OR(Inputs!G$6="Y", G$11 = 0), 0, IF(OR(Inputs!G15="Y",Inputs!G$22="Y"),PRODUCT(G$11, Prices!$E13),0))*G$10</f>
        <v>0</v>
      </c>
      <c r="H30" s="18">
        <f>IF(OR(Inputs!H$6="Y", H$11 = 0), 0, IF(OR(Inputs!H15="Y",Inputs!H$22="Y"),PRODUCT(H$11,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IF(OR(Inputs!D16="Y",Inputs!D$22="Y"),PRODUCT(D$11, Prices!$E14),0))*D$10</f>
        <v>0</v>
      </c>
      <c r="E31" s="18">
        <f>IF(OR(Inputs!E$6="Y", E$11 = 0), 0, IF(OR(Inputs!E16="Y",Inputs!E$22="Y"),PRODUCT(E$11, Prices!$E14),0))*E$10</f>
        <v>0</v>
      </c>
      <c r="F31" s="18">
        <f>IF(OR(Inputs!F$6="Y", F$11 = 0), 0, IF(OR(Inputs!F16="Y",Inputs!F$22="Y"),PRODUCT(F$11, Prices!$E14),0))*F$10</f>
        <v>0</v>
      </c>
      <c r="G31" s="18">
        <f>IF(OR(Inputs!G$6="Y", G$11 = 0), 0, IF(OR(Inputs!G16="Y",Inputs!G$22="Y"),PRODUCT(G$11, Prices!$E14),0))*G$10</f>
        <v>0</v>
      </c>
      <c r="H31" s="18">
        <f>IF(OR(Inputs!H$6="Y", H$11 = 0), 0, IF(OR(Inputs!H16="Y",Inputs!H$22="Y"),PRODUCT(H$11, Prices!$E14),0))*H$10</f>
        <v>0</v>
      </c>
    </row>
    <row r="32" spans="2:8" x14ac:dyDescent="0.35">
      <c r="C32" s="17" t="s">
        <v>78</v>
      </c>
      <c r="D32" s="18">
        <f>IF(OR(Inputs!D$6="Y", D$11 = 0), 0, IF(OR(Inputs!D17="Y",Inputs!D$22="Y"),PRODUCT(D$11, Prices!$E15),0))*D$10</f>
        <v>0</v>
      </c>
      <c r="E32" s="18">
        <f>IF(OR(Inputs!E$6="Y", E$11 = 0), 0, IF(OR(Inputs!E17="Y",Inputs!E$22="Y"),PRODUCT(E$11, Prices!$E15),0))*E$10</f>
        <v>0</v>
      </c>
      <c r="F32" s="18">
        <f>IF(OR(Inputs!F$6="Y", F$11 = 0), 0, IF(OR(Inputs!F17="Y",Inputs!F$22="Y"),PRODUCT(F$11, Prices!$E15),0))*F$10</f>
        <v>0</v>
      </c>
      <c r="G32" s="18">
        <f>IF(OR(Inputs!G$6="Y", G$11 = 0), 0, IF(OR(Inputs!G17="Y",Inputs!G$22="Y"),PRODUCT(G$11, Prices!$E15),0))*G$10</f>
        <v>0</v>
      </c>
      <c r="H32" s="18">
        <f>IF(OR(Inputs!H$6="Y", H$11 = 0), 0, IF(OR(Inputs!H17="Y",Inputs!H$22="Y"),PRODUCT(H$11,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IF(OR(Inputs!D18="Y",Inputs!D$23="Y",Inputs!D$24="Y"),PRODUCT(D$11, Prices!$E16),0))*D$10</f>
        <v>0</v>
      </c>
      <c r="E33" s="20">
        <f>IF(OR(Inputs!E$6="Y", E$11 = 0), 0, IF(OR(Inputs!E18="Y",Inputs!E$23="Y",Inputs!E$24="Y"),PRODUCT(E$11, Prices!$E16),0))*E$10</f>
        <v>16380</v>
      </c>
      <c r="F33" s="20">
        <f>IF(OR(Inputs!F$6="Y", F$11 = 0), 0, IF(OR(Inputs!F18="Y",Inputs!F$23="Y",Inputs!F$24="Y"),PRODUCT(F$11, Prices!$E16),0))*F$10</f>
        <v>0</v>
      </c>
      <c r="G33" s="20">
        <f>IF(OR(Inputs!G$6="Y", G$11 = 0), 0, IF(OR(Inputs!G18="Y",Inputs!G$23="Y",Inputs!G$24="Y"),PRODUCT(G$11, Prices!$E16),0))*G$10</f>
        <v>0</v>
      </c>
      <c r="H33" s="20">
        <f>IF(OR(Inputs!H$6="Y", H$11 = 0), 0, IF(OR(Inputs!H18="Y",Inputs!H$23="Y",Inputs!H$24="Y"),PRODUCT(H$11, Prices!$E16),0))*H$10</f>
        <v>0</v>
      </c>
    </row>
    <row r="34" spans="2:8" x14ac:dyDescent="0.35">
      <c r="C34" s="19" t="s">
        <v>12</v>
      </c>
      <c r="D34" s="20">
        <f>IF(OR(Inputs!D$6="Y", D$11 = 0), 0, IF(OR(Inputs!D19="Y",Inputs!D$23="Y",Inputs!D$24="Y"),PRODUCT(D$11, Prices!$E17),0))*D$10</f>
        <v>0</v>
      </c>
      <c r="E34" s="20">
        <f>IF(OR(Inputs!E$6="Y", E$11 = 0), 0, IF(OR(Inputs!E19="Y",Inputs!E$23="Y",Inputs!E$24="Y"),PRODUCT(E$11, Prices!$E17),0))*E$10</f>
        <v>6370.0000000000009</v>
      </c>
      <c r="F34" s="20">
        <f>IF(OR(Inputs!F$6="Y", F$11 = 0), 0, IF(OR(Inputs!F19="Y",Inputs!F$23="Y",Inputs!F$24="Y"),PRODUCT(F$11, Prices!$E17),0))*F$10</f>
        <v>0</v>
      </c>
      <c r="G34" s="20">
        <f>IF(OR(Inputs!G$6="Y", G$11 = 0), 0, IF(OR(Inputs!G19="Y",Inputs!G$23="Y",Inputs!G$24="Y"),PRODUCT(G$11, Prices!$E17),0))*G$10</f>
        <v>0</v>
      </c>
      <c r="H34" s="20">
        <f>IF(OR(Inputs!H$6="Y", H$11 = 0), 0, IF(OR(Inputs!H19="Y",Inputs!H$23="Y",Inputs!H$24="Y"),PRODUCT(H$11, Prices!$E17),0))*H$10</f>
        <v>0</v>
      </c>
    </row>
    <row r="35" spans="2:8" x14ac:dyDescent="0.3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51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21</v>
      </c>
      <c r="D39" s="18">
        <f>IF(AND(Inputs!D12="Y",Inputs!D$22="N"),Prices!$C10,0)</f>
        <v>0</v>
      </c>
      <c r="E39" s="18">
        <f>IF(AND(Inputs!E12="Y",Inputs!E$22="N"),Prices!$C10,0)</f>
        <v>0</v>
      </c>
      <c r="F39" s="18">
        <f>IF(AND(Inputs!F12="Y",Inputs!F$22="N"),Prices!$C10,0)</f>
        <v>0</v>
      </c>
      <c r="G39" s="18">
        <f>IF(AND(Inputs!G12="Y",Inputs!G$22="N"),Prices!$C10,0)</f>
        <v>0</v>
      </c>
      <c r="H39" s="18">
        <f>IF(AND(Inputs!H12="Y",Inputs!H$22="N"),Prices!$C10,0)</f>
        <v>0</v>
      </c>
    </row>
    <row r="40" spans="2:8" x14ac:dyDescent="0.35">
      <c r="C40" s="17" t="s">
        <v>8</v>
      </c>
      <c r="D40" s="18">
        <f>IF(AND(Inputs!D13="Y",Inputs!D$22="N"),Prices!$C11,0)</f>
        <v>0</v>
      </c>
      <c r="E40" s="18">
        <f>IF(AND(Inputs!E13="Y",Inputs!E$22="N"),Prices!$C11,0)</f>
        <v>0</v>
      </c>
      <c r="F40" s="18">
        <f>IF(AND(Inputs!F13="Y",Inputs!F$22="N"),Prices!$C11,0)</f>
        <v>0</v>
      </c>
      <c r="G40" s="18">
        <f>IF(AND(Inputs!G13="Y",Inputs!G$22="N"),Prices!$C11,0)</f>
        <v>0</v>
      </c>
      <c r="H40" s="18">
        <f>IF(AND(Inputs!H13="Y",Inputs!H$22="N"),Prices!$C11,0)</f>
        <v>0</v>
      </c>
    </row>
    <row r="41" spans="2:8" x14ac:dyDescent="0.35">
      <c r="C41" s="17" t="s">
        <v>22</v>
      </c>
      <c r="D41" s="18">
        <f>IF(AND(Inputs!D14="Y",Inputs!D$22="N"),Prices!$C12,0)</f>
        <v>0</v>
      </c>
      <c r="E41" s="18">
        <f>IF(AND(Inputs!E14="Y",Inputs!E$22="N"),Prices!$C12,0)</f>
        <v>0</v>
      </c>
      <c r="F41" s="18">
        <f>IF(AND(Inputs!F14="Y",Inputs!F$22="N"),Prices!$C12,0)</f>
        <v>0</v>
      </c>
      <c r="G41" s="18">
        <f>IF(AND(Inputs!G14="Y",Inputs!G$22="N"),Prices!$C12,0)</f>
        <v>0</v>
      </c>
      <c r="H41" s="18">
        <f>IF(AND(Inputs!H14="Y",Inputs!H$22="N"),Prices!$C12,0)</f>
        <v>0</v>
      </c>
    </row>
    <row r="42" spans="2:8" x14ac:dyDescent="0.35">
      <c r="C42" s="17" t="s">
        <v>9</v>
      </c>
      <c r="D42" s="18">
        <f>IF(AND(Inputs!D15="Y",Inputs!D$22="N"),Prices!$C13,0)</f>
        <v>0</v>
      </c>
      <c r="E42" s="18">
        <f>IF(AND(Inputs!E15="Y",Inputs!E$22="N"),Prices!$C13,0)</f>
        <v>0</v>
      </c>
      <c r="F42" s="18">
        <f>IF(AND(Inputs!F15="Y",Inputs!F$22="N"),Prices!$C13,0)</f>
        <v>0</v>
      </c>
      <c r="G42" s="18">
        <f>IF(AND(Inputs!G15="Y",Inputs!G$22="N"),Prices!$C13,0)</f>
        <v>0</v>
      </c>
      <c r="H42" s="18">
        <f>IF(AND(Inputs!H15="Y",Inputs!H$22="N"),Prices!$C13,0)</f>
        <v>0</v>
      </c>
    </row>
    <row r="43" spans="2:8" x14ac:dyDescent="0.35">
      <c r="C43" s="17" t="s">
        <v>10</v>
      </c>
      <c r="D43" s="18">
        <f>IF(AND(Inputs!D16="Y",Inputs!D$22="N"),Prices!$C14,0)</f>
        <v>0</v>
      </c>
      <c r="E43" s="18">
        <f>IF(AND(Inputs!E16="Y",Inputs!E$22="N"),Prices!$C14,0)</f>
        <v>0</v>
      </c>
      <c r="F43" s="18">
        <f>IF(AND(Inputs!F16="Y",Inputs!F$22="N"),Prices!$C14,0)</f>
        <v>0</v>
      </c>
      <c r="G43" s="18">
        <f>IF(AND(Inputs!G16="Y",Inputs!G$22="N"),Prices!$C14,0)</f>
        <v>0</v>
      </c>
      <c r="H43" s="18">
        <f>IF(AND(Inputs!H16="Y",Inputs!H$22="N"),Prices!$C14,0)</f>
        <v>0</v>
      </c>
    </row>
    <row r="44" spans="2:8" x14ac:dyDescent="0.35">
      <c r="C44" s="17" t="s">
        <v>78</v>
      </c>
      <c r="D44" s="18">
        <f>IF(AND(Inputs!D17="Y",Inputs!D$22="N"),Prices!$C15,0)</f>
        <v>0</v>
      </c>
      <c r="E44" s="18">
        <f>IF(AND(Inputs!E17="Y",Inputs!E$22="N"),Prices!$C15,0)</f>
        <v>0</v>
      </c>
      <c r="F44" s="18">
        <f>IF(AND(Inputs!F17="Y",Inputs!F$22="N"),Prices!$C15,0)</f>
        <v>0</v>
      </c>
      <c r="G44" s="18">
        <f>IF(AND(Inputs!G17="Y",Inputs!G$22="N"),Prices!$C15,0)</f>
        <v>0</v>
      </c>
      <c r="H44" s="18">
        <f>IF(AND(Inputs!H17="Y",Inputs!H$22="N"),Prices!$C15,0)</f>
        <v>0</v>
      </c>
    </row>
    <row r="45" spans="2:8" x14ac:dyDescent="0.35">
      <c r="C45" s="19" t="s">
        <v>11</v>
      </c>
      <c r="D45" s="20">
        <f>IF(AND(Inputs!D18="Y",Inputs!D$23="N",Inputs!D$24="N"),Prices!$C16,0)</f>
        <v>0</v>
      </c>
      <c r="E45" s="20">
        <f>IF(AND(Inputs!E18="Y",Inputs!E$23="N",Inputs!E$24="N"),Prices!$C16,0)</f>
        <v>0</v>
      </c>
      <c r="F45" s="20">
        <f>IF(AND(Inputs!F18="Y",Inputs!F$23="N",Inputs!F$24="N"),Prices!$C16,0)</f>
        <v>0</v>
      </c>
      <c r="G45" s="20">
        <f>IF(AND(Inputs!G18="Y",Inputs!G$23="N",Inputs!G$24="N"),Prices!$C16,0)</f>
        <v>0</v>
      </c>
      <c r="H45" s="20">
        <f>IF(AND(Inputs!H18="Y",Inputs!H$23="N",Inputs!H$24="N"),Prices!$C16,0)</f>
        <v>0</v>
      </c>
    </row>
    <row r="46" spans="2:8" x14ac:dyDescent="0.35">
      <c r="C46" s="19" t="s">
        <v>12</v>
      </c>
      <c r="D46" s="20">
        <f>IF(AND(Inputs!D19="Y",Inputs!D$23="N",Inputs!D$24="N"),Prices!$C17,0)</f>
        <v>0</v>
      </c>
      <c r="E46" s="20">
        <f>IF(AND(Inputs!E19="Y",Inputs!E$23="N",Inputs!E$24="N"),Prices!$C17,0)</f>
        <v>0</v>
      </c>
      <c r="F46" s="20">
        <f>IF(AND(Inputs!F19="Y",Inputs!F$23="N",Inputs!F$24="N"),Prices!$C17,0)</f>
        <v>0</v>
      </c>
      <c r="G46" s="20">
        <f>IF(AND(Inputs!G19="Y",Inputs!G$23="N",Inputs!G$24="N"),Prices!$C17,0)</f>
        <v>0</v>
      </c>
      <c r="H46" s="20">
        <f>IF(AND(Inputs!H19="Y",Inputs!H$23="N",Inputs!H$24="N"),Prices!$C17,0)</f>
        <v>0</v>
      </c>
    </row>
    <row r="47" spans="2:8" x14ac:dyDescent="0.35">
      <c r="C47" s="19" t="s">
        <v>23</v>
      </c>
      <c r="D47" s="20">
        <f>IF(Inputs!D$6="N",0,IF(AND(Inputs!D20="Y",Inputs!D$23="N",Inputs!D$24="N"),Prices!$C18,0))</f>
        <v>0</v>
      </c>
      <c r="E47" s="20">
        <f>IF(Inputs!E$6="N",0,IF(AND(Inputs!E20="Y",Inputs!E$23="N",Inputs!E$24="N"),Prices!$C18,0))</f>
        <v>0</v>
      </c>
      <c r="F47" s="20">
        <f>IF(Inputs!F$6="N",0,IF(AND(Inputs!F20="Y",Inputs!F$23="N",Inputs!F$24="N"),Prices!$C18,0))</f>
        <v>0</v>
      </c>
      <c r="G47" s="20">
        <f>IF(Inputs!G$6="N",0,IF(AND(Inputs!G20="Y",Inputs!G$23="N",Inputs!G$24="N"),Prices!$C18,0))</f>
        <v>0</v>
      </c>
      <c r="H47" s="20">
        <f>IF(Inputs!H$6="N",0,IF(AND(Inputs!H20="Y",Inputs!H$23="N",Inputs!H$24="N"),Prices!$C18,0))</f>
        <v>0</v>
      </c>
    </row>
    <row r="49" spans="2:8" x14ac:dyDescent="0.35">
      <c r="B49" s="6" t="s">
        <v>52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24570.000000000004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21</v>
      </c>
      <c r="D51" s="18">
        <f>IF(OR(Inputs!D$6="Y", D$11 = 0), 0, IF(AND(Inputs!D12="Y",Inputs!D$22="N"),PRODUCT(D$11, Prices!$E10)*D$10,0))</f>
        <v>0</v>
      </c>
      <c r="E51" s="18">
        <f>IF(OR(Inputs!E$6="Y", E$11 = 0), 0, IF(AND(Inputs!E12="Y",Inputs!E$22="N"),PRODUCT(E$11, Prices!$E10)*E$10,0))</f>
        <v>0</v>
      </c>
      <c r="F51" s="18">
        <f>IF(OR(Inputs!F$6="Y", F$11 = 0), 0, IF(AND(Inputs!F12="Y",Inputs!F$22="N"),PRODUCT(F$11, Prices!$E10)*F$10,0))</f>
        <v>0</v>
      </c>
      <c r="G51" s="18">
        <f>IF(OR(Inputs!G$6="Y", G$11 = 0), 0, IF(AND(Inputs!G12="Y",Inputs!G$22="N"),PRODUCT(G$11, Prices!$E10)*G$10,0))</f>
        <v>0</v>
      </c>
      <c r="H51" s="18">
        <f>IF(OR(Inputs!H$6="Y", H$11 = 0), 0, IF(AND(Inputs!H12="Y",Inputs!H$22="N"),PRODUCT(H$11,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IF(AND(Inputs!D13="Y",Inputs!D$22="N"),PRODUCT(D$11, Prices!$E11)*D$10,0))</f>
        <v>0</v>
      </c>
      <c r="E52" s="18">
        <f>IF(OR(Inputs!E$6="Y", E$11 = 0), 0, IF(AND(Inputs!E13="Y",Inputs!E$22="N"),PRODUCT(E$11, Prices!$E11)*E$10,0))</f>
        <v>0</v>
      </c>
      <c r="F52" s="18">
        <f>IF(OR(Inputs!F$6="Y", F$11 = 0), 0, IF(AND(Inputs!F13="Y",Inputs!F$22="N"),PRODUCT(F$11, Prices!$E11)*F$10,0))</f>
        <v>0</v>
      </c>
      <c r="G52" s="18">
        <f>IF(OR(Inputs!G$6="Y", G$11 = 0), 0, IF(AND(Inputs!G13="Y",Inputs!G$22="N"),PRODUCT(G$11, Prices!$E11)*G$10,0))</f>
        <v>0</v>
      </c>
      <c r="H52" s="18">
        <f>IF(OR(Inputs!H$6="Y", H$11 = 0), 0, IF(AND(Inputs!H13="Y",Inputs!H$22="N"),PRODUCT(H$11, Prices!$E11)*H$10,0))</f>
        <v>0</v>
      </c>
    </row>
    <row r="53" spans="2:8" x14ac:dyDescent="0.35">
      <c r="C53" s="17" t="s">
        <v>22</v>
      </c>
      <c r="D53" s="18">
        <f>IF(OR(Inputs!D$6="Y", D$11 = 0), 0, IF(AND(Inputs!D14="Y",Inputs!D$22="N"),PRODUCT(D$11, Prices!$E12)*D$10,0))</f>
        <v>0</v>
      </c>
      <c r="E53" s="18">
        <f>IF(OR(Inputs!E$6="Y", E$11 = 0), 0, IF(AND(Inputs!E14="Y",Inputs!E$22="N"),PRODUCT(E$11, Prices!$E12)*E$10,0))</f>
        <v>0</v>
      </c>
      <c r="F53" s="18">
        <f>IF(OR(Inputs!F$6="Y", F$11 = 0), 0, IF(AND(Inputs!F14="Y",Inputs!F$22="N"),PRODUCT(F$11, Prices!$E12)*F$10,0))</f>
        <v>0</v>
      </c>
      <c r="G53" s="18">
        <f>IF(OR(Inputs!G$6="Y", G$11 = 0), 0, IF(AND(Inputs!G14="Y",Inputs!G$22="N"),PRODUCT(G$11, Prices!$E12)*G$10,0))</f>
        <v>0</v>
      </c>
      <c r="H53" s="18">
        <f>IF(OR(Inputs!H$6="Y", H$11 = 0), 0, IF(AND(Inputs!H14="Y",Inputs!H$22="N"),PRODUCT(H$11,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IF(AND(Inputs!D15="Y",Inputs!D$22="N"),PRODUCT(D$11, Prices!$E13)*D$10,0))</f>
        <v>0</v>
      </c>
      <c r="E54" s="18">
        <f>IF(OR(Inputs!E$6="Y", E$11 = 0), 0, IF(AND(Inputs!E15="Y",Inputs!E$22="N"),PRODUCT(E$11, Prices!$E13)*E$10,0))</f>
        <v>0</v>
      </c>
      <c r="F54" s="18">
        <f>IF(OR(Inputs!F$6="Y", F$11 = 0), 0, IF(AND(Inputs!F15="Y",Inputs!F$22="N"),PRODUCT(F$11, Prices!$E13)*F$10,0))</f>
        <v>0</v>
      </c>
      <c r="G54" s="18">
        <f>IF(OR(Inputs!G$6="Y", G$11 = 0), 0, IF(AND(Inputs!G15="Y",Inputs!G$22="N"),PRODUCT(G$11, Prices!$E13)*G$10,0))</f>
        <v>0</v>
      </c>
      <c r="H54" s="18">
        <f>IF(OR(Inputs!H$6="Y", H$11 = 0), 0, IF(AND(Inputs!H15="Y",Inputs!H$22="N"),PRODUCT(H$11,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IF(AND(Inputs!D16="Y",Inputs!D$22="N"),PRODUCT(D$11, Prices!$E14)*D$10,0))</f>
        <v>0</v>
      </c>
      <c r="E55" s="18">
        <f>IF(OR(Inputs!E$6="Y", E$11 = 0), 0, IF(AND(Inputs!E16="Y",Inputs!E$22="N"),PRODUCT(E$11, Prices!$E14)*E$10,0))</f>
        <v>0</v>
      </c>
      <c r="F55" s="18">
        <f>IF(OR(Inputs!F$6="Y", F$11 = 0), 0, IF(AND(Inputs!F16="Y",Inputs!F$22="N"),PRODUCT(F$11, Prices!$E14)*F$10,0))</f>
        <v>0</v>
      </c>
      <c r="G55" s="18">
        <f>IF(OR(Inputs!G$6="Y", G$11 = 0), 0, IF(AND(Inputs!G16="Y",Inputs!G$22="N"),PRODUCT(G$11, Prices!$E14)*G$10,0))</f>
        <v>0</v>
      </c>
      <c r="H55" s="18">
        <f>IF(OR(Inputs!H$6="Y", H$11 = 0), 0, IF(AND(Inputs!H16="Y",Inputs!H$22="N"),PRODUCT(H$11, Prices!$E14)*H$10,0))</f>
        <v>0</v>
      </c>
    </row>
    <row r="56" spans="2:8" x14ac:dyDescent="0.35">
      <c r="C56" s="17" t="s">
        <v>78</v>
      </c>
      <c r="D56" s="18">
        <f>IF(OR(Inputs!D$6="Y", D$11 = 0), 0, IF(AND(Inputs!D17="Y",Inputs!D$22="N"),PRODUCT(D$11, Prices!$E15)*D$10,0))</f>
        <v>0</v>
      </c>
      <c r="E56" s="18">
        <f>IF(OR(Inputs!E$6="Y", E$11 = 0), 0, IF(AND(Inputs!E17="Y",Inputs!E$22="N"),PRODUCT(E$11, Prices!$E15)*E$10,0))</f>
        <v>0</v>
      </c>
      <c r="F56" s="18">
        <f>IF(OR(Inputs!F$6="Y", F$11 = 0), 0, IF(AND(Inputs!F17="Y",Inputs!F$22="N"),PRODUCT(F$11, Prices!$E15)*F$10,0))</f>
        <v>0</v>
      </c>
      <c r="G56" s="18">
        <f>IF(OR(Inputs!G$6="Y", G$11 = 0), 0, IF(AND(Inputs!G17="Y",Inputs!G$22="N"),PRODUCT(G$11, Prices!$E15)*G$10,0))</f>
        <v>0</v>
      </c>
      <c r="H56" s="18">
        <f>IF(OR(Inputs!H$6="Y", H$11 = 0), 0, IF(AND(Inputs!H17="Y",Inputs!H$22="N"),PRODUCT(H$11,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IF(AND(Inputs!D18="Y",Inputs!D$23="N",Inputs!D$24="N"),PRODUCT(D$11, Prices!$E16)*D$10,0))</f>
        <v>0</v>
      </c>
      <c r="E57" s="20">
        <f>IF(OR(Inputs!E$6="Y", E$11 = 0), 0, IF(AND(Inputs!E18="Y",Inputs!E$23="N",Inputs!E$24="N"),PRODUCT(E$11, Prices!$E16)*E$10,0))</f>
        <v>0</v>
      </c>
      <c r="F57" s="20">
        <f>IF(OR(Inputs!F$6="Y", F$11 = 0), 0, IF(AND(Inputs!F18="Y",Inputs!F$23="N",Inputs!F$24="N"),PRODUCT(F$11, Prices!$E16)*F$10,0))</f>
        <v>0</v>
      </c>
      <c r="G57" s="20">
        <f>IF(OR(Inputs!G$6="Y", G$11 = 0), 0, IF(AND(Inputs!G18="Y",Inputs!G$23="N",Inputs!G$24="N"),PRODUCT(G$11, Prices!$E16)*G$10,0))</f>
        <v>0</v>
      </c>
      <c r="H57" s="20">
        <f>IF(OR(Inputs!H$6="Y", H$11 = 0), 0, IF(AND(Inputs!H18="Y",Inputs!H$23="N",Inputs!H$24="N"),PRODUCT(H$11, Prices!$E16)*H$10,0))</f>
        <v>0</v>
      </c>
    </row>
    <row r="58" spans="2:8" x14ac:dyDescent="0.35">
      <c r="C58" s="19" t="s">
        <v>12</v>
      </c>
      <c r="D58" s="20">
        <f>IF(OR(Inputs!D$6="Y", D$11 = 0), 0, IF(AND(Inputs!D19="Y",Inputs!D$23="N",Inputs!D$24="N"),PRODUCT(D$11, Prices!$E17)*D$10,0))</f>
        <v>0</v>
      </c>
      <c r="E58" s="20">
        <f>IF(OR(Inputs!E$6="Y", E$11 = 0), 0, IF(AND(Inputs!E19="Y",Inputs!E$23="N",Inputs!E$24="N"),PRODUCT(E$11, Prices!$E17)*E$10,0))</f>
        <v>0</v>
      </c>
      <c r="F58" s="20">
        <f>IF(OR(Inputs!F$6="Y", F$11 = 0), 0, IF(AND(Inputs!F19="Y",Inputs!F$23="N",Inputs!F$24="N"),PRODUCT(F$11, Prices!$E17)*F$10,0))</f>
        <v>0</v>
      </c>
      <c r="G58" s="20">
        <f>IF(OR(Inputs!G$6="Y", G$11 = 0), 0, IF(AND(Inputs!G19="Y",Inputs!G$23="N",Inputs!G$24="N"),PRODUCT(G$11, Prices!$E17)*G$10,0))</f>
        <v>0</v>
      </c>
      <c r="H58" s="20">
        <f>IF(OR(Inputs!H$6="Y", H$11 = 0), 0, IF(AND(Inputs!H19="Y",Inputs!H$23="N",Inputs!H$24="N"),PRODUCT(H$11, Prices!$E17)*H$10,0))</f>
        <v>0</v>
      </c>
    </row>
    <row r="59" spans="2:8" x14ac:dyDescent="0.3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45</v>
      </c>
    </row>
    <row r="62" spans="2:8" x14ac:dyDescent="0.35">
      <c r="C62" s="17" t="s">
        <v>14</v>
      </c>
      <c r="D62" s="18">
        <f>IF(Inputs!D$22 = "Y", 0, IF(Inputs!D21="Y", Prices!$C20, 0))</f>
        <v>0</v>
      </c>
      <c r="E62" s="18">
        <f>IF(Inputs!E$22 = "Y", 0, IF(Inputs!E21="Y", Prices!$C20, 0))</f>
        <v>0</v>
      </c>
      <c r="F62" s="18">
        <f>IF(Inputs!F$22 = "Y", 0, IF(Inputs!F21="Y", Prices!$C20, 0))</f>
        <v>0</v>
      </c>
      <c r="G62" s="18">
        <f>IF(Inputs!G$22 = "Y", 0, IF(Inputs!G21="Y", Prices!$C20, 0))</f>
        <v>0</v>
      </c>
      <c r="H62" s="18">
        <f>IF(Inputs!H$22 = "Y", 0, IF(Inputs!H21="Y", Prices!$C20, 0))</f>
        <v>0</v>
      </c>
    </row>
    <row r="63" spans="2:8" x14ac:dyDescent="0.35">
      <c r="C63" s="17" t="s">
        <v>15</v>
      </c>
      <c r="D63" s="18">
        <f>IF(Inputs!D22="Y", Prices!$C21, 0)</f>
        <v>0</v>
      </c>
      <c r="E63" s="18">
        <f>IF(Inputs!E22="Y", Prices!$C21, 0)</f>
        <v>0</v>
      </c>
      <c r="F63" s="18">
        <f>IF(Inputs!F22="Y", Prices!$C21, 0)</f>
        <v>0</v>
      </c>
      <c r="G63" s="18">
        <f>IF(Inputs!G22="Y", Prices!$C21, 0)</f>
        <v>0</v>
      </c>
      <c r="H63" s="18">
        <f>IF(Inputs!H22="Y", Prices!$C21, 0)</f>
        <v>0</v>
      </c>
    </row>
    <row r="64" spans="2:8" x14ac:dyDescent="0.35">
      <c r="C64" s="19" t="s">
        <v>16</v>
      </c>
      <c r="D64" s="20">
        <f>IF(Inputs!D23="Y", Prices!$C22, 0)</f>
        <v>35000</v>
      </c>
      <c r="E64" s="20">
        <f>IF(Inputs!E23="Y", Prices!$C22, 0)</f>
        <v>35000</v>
      </c>
      <c r="F64" s="20">
        <f>IF(Inputs!F23="Y", Prices!$C22, 0)</f>
        <v>0</v>
      </c>
      <c r="G64" s="20">
        <f>IF(Inputs!G23="Y", Prices!$C22, 0)</f>
        <v>0</v>
      </c>
      <c r="H64" s="20">
        <f>IF(Inputs!H23="Y", Prices!$C22, 0)</f>
        <v>0</v>
      </c>
    </row>
    <row r="65" spans="2:15" x14ac:dyDescent="0.35">
      <c r="C65" s="19" t="s">
        <v>130</v>
      </c>
      <c r="D65" s="20">
        <f>IF(Inputs!D24="Y", Prices!$C23, 0)</f>
        <v>0</v>
      </c>
      <c r="E65" s="20">
        <f>IF(Inputs!E24="Y", Prices!$C23, 0)</f>
        <v>35000</v>
      </c>
      <c r="F65" s="20">
        <f>IF(Inputs!F24="Y", Prices!$C23, 0)</f>
        <v>0</v>
      </c>
      <c r="G65" s="20">
        <f>IF(Inputs!G24="Y", Prices!$C23, 0)</f>
        <v>0</v>
      </c>
      <c r="H65" s="20">
        <f>IF(Inputs!H24="Y", Prices!$C23, 0)</f>
        <v>0</v>
      </c>
    </row>
    <row r="66" spans="2:15" x14ac:dyDescent="0.35">
      <c r="C66" s="19" t="s">
        <v>17</v>
      </c>
      <c r="D66" s="20">
        <f>IF(Inputs!D25="Y", Prices!$C24, 0)</f>
        <v>0</v>
      </c>
      <c r="E66" s="20">
        <f>IF(Inputs!E25="Y", Prices!$C24, 0)</f>
        <v>0</v>
      </c>
      <c r="F66" s="20">
        <f>IF(Inputs!F25="Y", Prices!$C24, 0)</f>
        <v>0</v>
      </c>
      <c r="G66" s="20">
        <f>IF(Inputs!G25="Y", Prices!$C24, 0)</f>
        <v>0</v>
      </c>
      <c r="H66" s="20">
        <f>IF(Inputs!H25="Y", Prices!$C24, 0)</f>
        <v>0</v>
      </c>
    </row>
    <row r="67" spans="2:15" x14ac:dyDescent="0.35">
      <c r="C67" s="19" t="s">
        <v>100</v>
      </c>
      <c r="D67" s="20">
        <f>IF(Inputs!D26="Y", Prices!$C25 * IF(Inputs!D25="Y",1-Prices!$L$20,1), IF(Inputs!D26="Monthly", Prices!$C25 * Prices!$L$28 * IF(Inputs!D25="Y",1-Prices!$L$20,1), 0))</f>
        <v>0</v>
      </c>
      <c r="E67" s="20">
        <f>IF(Inputs!E26="Y", Prices!$C25 * IF(Inputs!E25="Y",1-Prices!$L$20,1), IF(Inputs!E26="Monthly", Prices!$C25 * Prices!$L$28 * IF(Inputs!E25="Y",1-Prices!$L$20,1), 0))</f>
        <v>0</v>
      </c>
      <c r="F67" s="20">
        <f>IF(Inputs!F26="Y", Prices!$C25 * IF(Inputs!F25="Y",1-Prices!$L$20,1), IF(Inputs!F26="Monthly", Prices!$C25 * Prices!$L$28 * IF(Inputs!F25="Y",1-Prices!$L$20,1), 0))</f>
        <v>0</v>
      </c>
      <c r="G67" s="20">
        <f>IF(Inputs!G26="Y", Prices!$C25 * IF(Inputs!G25="Y",1-Prices!$L$20,1), IF(Inputs!G26="Monthly", Prices!$C25 * Prices!$L$28 * IF(Inputs!G25="Y",1-Prices!$L$20,1), 0))</f>
        <v>0</v>
      </c>
      <c r="H67" s="20">
        <f>IF(Inputs!H26="Y", Prices!$C25 * IF(Inputs!H25="Y",1-Prices!$L$20,1), IF(Inputs!H26="Monthly", Prices!$C25 * Prices!$L$28 * IF(Inputs!H25="Y",1-Prices!$L$20,1), 0))</f>
        <v>0</v>
      </c>
    </row>
    <row r="68" spans="2:15" x14ac:dyDescent="0.35">
      <c r="C68" s="19" t="s">
        <v>99</v>
      </c>
      <c r="D68" s="20">
        <f>IF(Inputs!D27="Y", Prices!$C26, 0)</f>
        <v>0</v>
      </c>
      <c r="E68" s="20">
        <f>IF(Inputs!E27="Y", Prices!$C26, 0)</f>
        <v>0</v>
      </c>
      <c r="F68" s="20">
        <f>IF(Inputs!F27="Y", Prices!$C26, 0)</f>
        <v>0</v>
      </c>
      <c r="G68" s="20">
        <f>IF(Inputs!G27="Y", Prices!$C26, 0)</f>
        <v>0</v>
      </c>
      <c r="H68" s="20">
        <f>IF(Inputs!H27="Y", Prices!$C26, 0)</f>
        <v>0</v>
      </c>
    </row>
    <row r="69" spans="2:15" x14ac:dyDescent="0.35">
      <c r="C69" s="81" t="s">
        <v>97</v>
      </c>
      <c r="D69" s="84">
        <f>IF(Inputs!D11="Y", Prices!$C27, IF(Inputs!D11="Monthly", Prices!C27 * Prices!$L$28, 0))</f>
        <v>0</v>
      </c>
      <c r="E69" s="84">
        <f>IF(Inputs!E11="Y", Prices!$C27, IF(Inputs!E11="Monthly", Prices!D27 * Prices!$L$28, 0))</f>
        <v>0</v>
      </c>
      <c r="F69" s="84">
        <f>IF(Inputs!F11="Y", Prices!$C27, IF(Inputs!F11="Monthly", Prices!E27 * Prices!$L$28, 0))</f>
        <v>0</v>
      </c>
      <c r="G69" s="84">
        <f>IF(Inputs!G11="Y", Prices!$C27, IF(Inputs!G11="Monthly", Prices!F27 * Prices!$L$28, 0))</f>
        <v>0</v>
      </c>
      <c r="H69" s="84">
        <f>IF(Inputs!H11="Y", Prices!$C27, IF(Inputs!H11="Monthly", Prices!G27 * Prices!$L$28, 0))</f>
        <v>0</v>
      </c>
    </row>
    <row r="71" spans="2:15" x14ac:dyDescent="0.35">
      <c r="B71" s="6" t="s">
        <v>46</v>
      </c>
      <c r="J71" s="89" t="s">
        <v>105</v>
      </c>
    </row>
    <row r="72" spans="2:15" x14ac:dyDescent="0.3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35">
      <c r="C73" s="17" t="s">
        <v>15</v>
      </c>
      <c r="D73" s="18">
        <f>IF(Inputs!D$6="Y", 0, IF(D$11 = "", 0, IF(Inputs!D22 = "Y", D$11*Prices!$E21, 0)))*D$10</f>
        <v>0</v>
      </c>
      <c r="E73" s="18">
        <f>IF(Inputs!E$6="Y", 0, IF(E$11 = "", 0, IF(Inputs!E22 = "Y", E$11*Prices!$E21, 0)))*E$10</f>
        <v>0</v>
      </c>
      <c r="F73" s="18">
        <f>IF(Inputs!F$6="Y", 0, IF(F$11 = "", 0, IF(Inputs!F22 = "Y", F$11*Prices!$E21, 0)))*F$10</f>
        <v>0</v>
      </c>
      <c r="G73" s="18">
        <f>IF(Inputs!G$6="Y", 0, IF(G$11 = "", 0, IF(Inputs!G22 = "Y", G$11*Prices!$E21, 0)))*G$10</f>
        <v>0</v>
      </c>
      <c r="H73" s="18">
        <f>IF(Inputs!H$6="Y", 0, IF(H$11 = "", 0, IF(Inputs!H22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35">
      <c r="C74" s="19" t="s">
        <v>16</v>
      </c>
      <c r="D74" s="20">
        <f>IF(Inputs!D$6="Y", 0, IF(D$11 = "", 0, IF(Inputs!D23 = "Y", D$11*Prices!$E22, 0)))*D$10</f>
        <v>0</v>
      </c>
      <c r="E74" s="20">
        <f>IF(Inputs!E$6="Y", 0, IF(E$11 = "", 0, IF(Inputs!E23 = "Y", E$11*Prices!$E22, 0)))*E$10</f>
        <v>26389.999999999996</v>
      </c>
      <c r="F74" s="20">
        <f>IF(Inputs!F$6="Y", 0, IF(F$11 = "", 0, IF(Inputs!F23 = "Y", F$11*Prices!$E22, 0)))*F$10</f>
        <v>0</v>
      </c>
      <c r="G74" s="20">
        <f>IF(Inputs!G$6="Y", 0, IF(G$11 = "", 0, IF(Inputs!G23 = "Y", G$11*Prices!$E22, 0)))*G$10</f>
        <v>0</v>
      </c>
      <c r="H74" s="20">
        <f>IF(Inputs!H$6="Y", 0, IF(H$11 = "", 0, IF(Inputs!H23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61390.001199999999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35">
      <c r="C75" s="19" t="s">
        <v>130</v>
      </c>
      <c r="D75" s="20">
        <f>IF(Inputs!D$6="Y", 0, IF(D$11 = "", 0, IF(Inputs!D24 = "Y", D$11*Prices!$E23, 0)))*D$10</f>
        <v>0</v>
      </c>
      <c r="E75" s="20">
        <f>IF(Inputs!E$6="Y", 0, IF(E$11 = "", 0, IF(Inputs!E24 = "Y", E$11*Prices!$E23, 0)))*E$10</f>
        <v>26389.999999999996</v>
      </c>
      <c r="F75" s="20">
        <f>IF(Inputs!F$6="Y", 0, IF(F$11 = "", 0, IF(Inputs!F24 = "Y", F$11*Prices!$E23, 0)))*F$10</f>
        <v>0</v>
      </c>
      <c r="G75" s="20">
        <f>IF(Inputs!G$6="Y", 0, IF(G$11 = "", 0, IF(Inputs!G24 = "Y", G$11*Prices!$E23, 0)))*G$10</f>
        <v>0</v>
      </c>
      <c r="H75" s="20">
        <f>IF(Inputs!H$6="Y", 0, IF(H$11 = "", 0, IF(Inputs!H24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61390.001300000004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35">
      <c r="C76" s="19" t="s">
        <v>17</v>
      </c>
      <c r="D76" s="20">
        <f>IF(Inputs!D$6="Y", 0, IF(D$11 = "", 0, IF(Inputs!D25 = "Y", D$11*Prices!$E24, 0)))*D$10</f>
        <v>0</v>
      </c>
      <c r="E76" s="20">
        <f>IF(Inputs!E$6="Y", 0, IF(E$11 = "", 0, IF(Inputs!E25 = "Y", E$11*Prices!$E24, 0)))*E$10</f>
        <v>0</v>
      </c>
      <c r="F76" s="20">
        <f>IF(Inputs!F$6="Y", 0, IF(F$11 = "", 0, IF(Inputs!F25 = "Y", F$11*Prices!$E24, 0)))*F$10</f>
        <v>0</v>
      </c>
      <c r="G76" s="20">
        <f>IF(Inputs!G$6="Y", 0, IF(G$11 = "", 0, IF(Inputs!G25 = "Y", G$11*Prices!$E24, 0)))*G$10</f>
        <v>0</v>
      </c>
      <c r="H76" s="20">
        <f>IF(Inputs!H$6="Y", 0, IF(H$11 = "", 0, IF(Inputs!H25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35">
      <c r="C77" s="19" t="s">
        <v>100</v>
      </c>
      <c r="D77" s="20">
        <f>IF(Inputs!D$6="Y", 0, IF(D$11 = "", 0, IF(Inputs!D26 = "Y", D$11*Prices!$E25 * IF(Inputs!D25="Y",1-Prices!$L$20,1),IF(Inputs!D26="Monthly", D$11*Prices!$E25 * Prices!$L$28 * IF(Inputs!D25="Y",1-Prices!$L$20,1), 0))))*D$10</f>
        <v>0</v>
      </c>
      <c r="E77" s="20">
        <f>IF(Inputs!E$6="Y", 0, IF(E$11 = "", 0, IF(Inputs!E26 = "Y", E$11*Prices!$E25 * IF(Inputs!E25="Y",1-Prices!$L$20,1),IF(Inputs!E26="Monthly", E$11*Prices!$E25 * Prices!$L$28 * IF(Inputs!E25="Y",1-Prices!$L$20,1), 0))))*E$10</f>
        <v>0</v>
      </c>
      <c r="F77" s="20">
        <f>IF(Inputs!F$6="Y", 0, IF(F$11 = "", 0, IF(Inputs!F26 = "Y", F$11*Prices!$E25 * IF(Inputs!F25="Y",1-Prices!$L$20,1),IF(Inputs!F26="Monthly", F$11*Prices!$E25 * Prices!$L$28 * IF(Inputs!F25="Y",1-Prices!$L$20,1), 0))))*F$10</f>
        <v>0</v>
      </c>
      <c r="G77" s="20">
        <f>IF(Inputs!G$6="Y", 0, IF(G$11 = "", 0, IF(Inputs!G26 = "Y", G$11*Prices!$E25 * IF(Inputs!G25="Y",1-Prices!$L$20,1),IF(Inputs!G26="Monthly", G$11*Prices!$E25 * Prices!$L$28 * IF(Inputs!G25="Y",1-Prices!$L$20,1), 0))))*G$10</f>
        <v>0</v>
      </c>
      <c r="H77" s="20">
        <f>IF(Inputs!H$6="Y", 0, IF(H$11 = "", 0, IF(Inputs!H26 = "Y", H$11*Prices!$E25 * IF(Inputs!H25="Y",1-Prices!$L$20,1),IF(Inputs!H26="Monthly", H$11*Prices!$E25 * Prices!$L$28 * IF(Inputs!H25="Y",1-Prices!$L$20,1),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35">
      <c r="C78" s="19" t="s">
        <v>99</v>
      </c>
      <c r="D78" s="20">
        <f>IF(Inputs!D$6="Y", 0, IF(D$11 = "", 0, IF(Inputs!D27 = "Y", D$11*Prices!$E26, 0)))*D$10</f>
        <v>0</v>
      </c>
      <c r="E78" s="20">
        <f>IF(Inputs!E$6="Y", 0, IF(E$11 = "", 0, IF(Inputs!E27 = "Y", E$11*Prices!$E26, 0)))*E$10</f>
        <v>0</v>
      </c>
      <c r="F78" s="20">
        <f>IF(Inputs!F$6="Y", 0, IF(F$11 = "", 0, IF(Inputs!F27 = "Y", F$11*Prices!$E26, 0)))*F$10</f>
        <v>0</v>
      </c>
      <c r="G78" s="20">
        <f>IF(Inputs!G$6="Y", 0, IF(G$11 = "", 0, IF(Inputs!G27 = "Y", G$11*Prices!$E26, 0)))*G$10</f>
        <v>0</v>
      </c>
      <c r="H78" s="20">
        <f>IF(Inputs!H$6="Y", 0, IF(H$11 = "", 0, IF(Inputs!H27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35">
      <c r="C79" s="81" t="s">
        <v>97</v>
      </c>
      <c r="D79" s="84">
        <f>IF(Inputs!D$6="Y", 0, IF(D$11 = "", 0, IF(Inputs!D11 = "Y", D$11*Prices!$E27, IF(Inputs!D11="Monthly", D$11*Prices!$E27*Prices!$L$28,0))))*D$10</f>
        <v>0</v>
      </c>
      <c r="E79" s="84">
        <f>IF(Inputs!E$6="Y", 0, IF(E$11 = "", 0, IF(Inputs!E11 = "Y", E$11*Prices!$E27, IF(Inputs!E11="Monthly", E$11*Prices!$E27*Prices!$L$28,0))))*E$10</f>
        <v>0</v>
      </c>
      <c r="F79" s="84">
        <f>IF(Inputs!F$6="Y", 0, IF(F$11 = "", 0, IF(Inputs!F11 = "Y", F$11*Prices!$E27, IF(Inputs!F11="Monthly", F$11*Prices!$E27*Prices!$L$28,0))))*F$10</f>
        <v>0</v>
      </c>
      <c r="G79" s="84">
        <f>IF(Inputs!G$6="Y", 0, IF(G$11 = "", 0, IF(Inputs!G11 = "Y", G$11*Prices!$E27, IF(Inputs!G11="Monthly", G$11*Prices!$E27*Prices!$L$28,0))))*G$10</f>
        <v>0</v>
      </c>
      <c r="H79" s="84">
        <f>IF(Inputs!H$6="Y", 0, IF(H$11 = "", 0, IF(Inputs!H11 = "Y", H$11*Prices!$E27, IF(Inputs!H11="Monthly", H$11*Prices!$E27*Prices!$L$28,0))))*H$10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35">
      <c r="D80" s="1"/>
      <c r="E80" s="1"/>
      <c r="F80" s="1"/>
      <c r="G80" s="1"/>
      <c r="H80" s="1"/>
    </row>
    <row r="81" spans="2:15" x14ac:dyDescent="0.35">
      <c r="B81" s="6" t="s">
        <v>47</v>
      </c>
    </row>
    <row r="82" spans="2:15" x14ac:dyDescent="0.3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3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3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35">
      <c r="C85" s="19" t="s">
        <v>130</v>
      </c>
      <c r="D85" s="20">
        <f>IF(D65=0,0,D65-IF(Inputs!D23="Y", 0, SUM(D21:D23)))</f>
        <v>0</v>
      </c>
      <c r="E85" s="20">
        <f>IF(E65=0,0,E65-IF(Inputs!E23="Y", 0, SUM(E21:E23)))</f>
        <v>35000</v>
      </c>
      <c r="F85" s="20">
        <f>IF(F65=0,0,F65-IF(Inputs!F23="Y", 0, SUM(F21:F23)))</f>
        <v>0</v>
      </c>
      <c r="G85" s="20">
        <f>IF(G65=0,0,G65-IF(Inputs!G23="Y", 0, SUM(G21:G23)))</f>
        <v>0</v>
      </c>
      <c r="H85" s="20">
        <f>IF(H65=0,0,H65-IF(Inputs!H23="Y",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3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35">
      <c r="C87" s="19" t="s">
        <v>100</v>
      </c>
      <c r="D87" s="20">
        <f>D67</f>
        <v>0</v>
      </c>
      <c r="E87" s="20">
        <f t="shared" ref="E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3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3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35">
      <c r="B91" s="6" t="s">
        <v>48</v>
      </c>
    </row>
    <row r="92" spans="2:15" x14ac:dyDescent="0.3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3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35">
      <c r="C94" s="19" t="s">
        <v>16</v>
      </c>
      <c r="D94" s="20">
        <f>IF(D74=0,0,D74-SUM(D33:D34))</f>
        <v>0</v>
      </c>
      <c r="E94" s="20">
        <f>IF(E74=0,0,E74-SUM(E33:E34))</f>
        <v>3639.9999999999964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35">
      <c r="C95" s="19" t="s">
        <v>130</v>
      </c>
      <c r="D95" s="20">
        <f>IF(D75=0,0,D75-IF(Inputs!D23="Y", 0,SUM(D33:D34)))</f>
        <v>0</v>
      </c>
      <c r="E95" s="20">
        <f>IF(E75=0,0,E75-IF(Inputs!E23="Y", 0,SUM(E33:E34)))</f>
        <v>26389.999999999996</v>
      </c>
      <c r="F95" s="20">
        <f>IF(F75=0,0,F75-IF(Inputs!F23="Y", 0,SUM(F33:F34)))</f>
        <v>0</v>
      </c>
      <c r="G95" s="20">
        <f>IF(G75=0,0,G75-IF(Inputs!G23="Y", 0,SUM(G33:G34)))</f>
        <v>0</v>
      </c>
      <c r="H95" s="20">
        <f>IF(H75=0,0,H75-IF(Inputs!H23="Y", 0,SUM(H33:H34)))</f>
        <v>0</v>
      </c>
    </row>
    <row r="96" spans="2:15" x14ac:dyDescent="0.3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3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3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3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35">
      <c r="B101" s="6" t="s">
        <v>30</v>
      </c>
    </row>
    <row r="102" spans="1:8" x14ac:dyDescent="0.3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-18417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3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3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3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3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3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3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158933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35">
      <c r="D110" s="1"/>
    </row>
    <row r="111" spans="1:8" x14ac:dyDescent="0.3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35">
      <c r="D112" s="1"/>
      <c r="E112" s="1"/>
      <c r="F112" s="1"/>
      <c r="G112" s="1"/>
      <c r="H112" s="1"/>
    </row>
    <row r="113" spans="2:8" x14ac:dyDescent="0.3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35">
      <c r="B115" s="6" t="s">
        <v>114</v>
      </c>
      <c r="D115" s="7">
        <f>SUM(D109, D111,D113)</f>
        <v>27500</v>
      </c>
      <c r="E115" s="7">
        <f t="shared" ref="E115:H115" si="28">SUM(E109, E111,E113)</f>
        <v>158933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3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3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3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3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35">
      <c r="B122" s="27"/>
    </row>
    <row r="123" spans="2:8" s="21" customFormat="1" x14ac:dyDescent="0.35">
      <c r="B123" s="27"/>
      <c r="C123" s="21" t="s">
        <v>116</v>
      </c>
    </row>
    <row r="124" spans="2:8" s="21" customFormat="1" x14ac:dyDescent="0.3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3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3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3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3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8"/>
  <sheetViews>
    <sheetView workbookViewId="0">
      <selection activeCell="K32" sqref="K32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18</v>
      </c>
    </row>
    <row r="3" spans="2:12" x14ac:dyDescent="0.3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3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3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3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35">
      <c r="C8" s="43"/>
      <c r="D8" s="39"/>
      <c r="K8" s="6" t="s">
        <v>122</v>
      </c>
    </row>
    <row r="9" spans="2:12" x14ac:dyDescent="0.3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3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3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3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3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3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3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3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3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  <row r="28" spans="2:12" x14ac:dyDescent="0.35">
      <c r="K28" t="s">
        <v>134</v>
      </c>
      <c r="L28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workbookViewId="0">
      <selection activeCell="H18" sqref="H18"/>
    </sheetView>
  </sheetViews>
  <sheetFormatPr defaultRowHeight="14.5" x14ac:dyDescent="0.35"/>
  <cols>
    <col min="1" max="1" width="11.81640625" bestFit="1" customWidth="1"/>
    <col min="2" max="2" width="11.9062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2" x14ac:dyDescent="0.35">
      <c r="A1" s="6" t="s">
        <v>135</v>
      </c>
      <c r="B1" s="6" t="s">
        <v>136</v>
      </c>
      <c r="C1" s="6" t="s">
        <v>137</v>
      </c>
      <c r="E1" s="6" t="s">
        <v>60</v>
      </c>
      <c r="F1" s="3">
        <v>0.05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</row>
    <row r="2" spans="1:12" x14ac:dyDescent="0.35">
      <c r="A2">
        <v>0</v>
      </c>
      <c r="B2">
        <v>49999</v>
      </c>
      <c r="C2" s="2">
        <v>0.2</v>
      </c>
      <c r="E2" t="s">
        <v>138</v>
      </c>
      <c r="F2" s="54">
        <v>43831</v>
      </c>
      <c r="H2">
        <f>IF(Inputs!D$9 &gt; $B2, $A3-$A2, MAX(0, Inputs!D$9-$A2))</f>
        <v>50000</v>
      </c>
      <c r="I2">
        <f>IF(Inputs!E$9 &gt; $B2, $A3-$A2, MAX(0, Inputs!E$9-$A2))</f>
        <v>50000</v>
      </c>
      <c r="J2">
        <f>IF(Inputs!F$9 &gt; $B2, $A3-$A2, MAX(0, Inputs!F$9-$A2))</f>
        <v>0</v>
      </c>
      <c r="K2">
        <f>IF(Inputs!G$9 &gt; $B2, $A3-$A2, MAX(0, Inputs!G$9-$A2))</f>
        <v>0</v>
      </c>
      <c r="L2">
        <f>IF(Inputs!H$9 &gt; $B2, $A3-$A2, MAX(0, Inputs!H$9-$A2))</f>
        <v>0</v>
      </c>
    </row>
    <row r="3" spans="1:12" x14ac:dyDescent="0.35">
      <c r="A3">
        <v>50000</v>
      </c>
      <c r="B3">
        <v>99999</v>
      </c>
      <c r="C3" s="2">
        <v>0.17</v>
      </c>
      <c r="H3">
        <f>IF(Inputs!D$9 &gt; $B3, $A4-$A3, MAX(0, Inputs!D$9-$A3))</f>
        <v>50000</v>
      </c>
      <c r="I3">
        <f>IF(Inputs!E$9 &gt; $B3, $A4-$A3, MAX(0, Inputs!E$9-$A3))</f>
        <v>50000</v>
      </c>
      <c r="J3">
        <f>IF(Inputs!F$9 &gt; $B3, $A4-$A3, MAX(0, Inputs!F$9-$A3))</f>
        <v>0</v>
      </c>
      <c r="K3">
        <f>IF(Inputs!G$9 &gt; $B3, $A4-$A3, MAX(0, Inputs!G$9-$A3))</f>
        <v>0</v>
      </c>
      <c r="L3">
        <f>IF(Inputs!H$9 &gt; $B3, $A4-$A3, MAX(0, Inputs!H$9-$A3))</f>
        <v>0</v>
      </c>
    </row>
    <row r="4" spans="1:12" x14ac:dyDescent="0.35">
      <c r="A4">
        <v>100000</v>
      </c>
      <c r="B4">
        <v>299999</v>
      </c>
      <c r="C4" s="2">
        <v>0.14000000000000001</v>
      </c>
      <c r="H4">
        <f>IF(Inputs!D$9 &gt; $B4, $A5-$A4, MAX(0, Inputs!D$9-$A4))</f>
        <v>173000</v>
      </c>
      <c r="I4">
        <f>IF(Inputs!E$9 &gt; $B4, $A5-$A4, MAX(0, Inputs!E$9-$A4))</f>
        <v>150000</v>
      </c>
      <c r="J4">
        <f>IF(Inputs!F$9 &gt; $B4, $A5-$A4, MAX(0, Inputs!F$9-$A4))</f>
        <v>0</v>
      </c>
      <c r="K4">
        <f>IF(Inputs!G$9 &gt; $B4, $A5-$A4, MAX(0, Inputs!G$9-$A4))</f>
        <v>0</v>
      </c>
      <c r="L4">
        <f>IF(Inputs!H$9 &gt; $B4, $A5-$A4, MAX(0, Inputs!H$9-$A4))</f>
        <v>0</v>
      </c>
    </row>
    <row r="5" spans="1:12" x14ac:dyDescent="0.35">
      <c r="A5">
        <v>300000</v>
      </c>
      <c r="B5">
        <v>499999</v>
      </c>
      <c r="C5" s="2">
        <v>0.11</v>
      </c>
      <c r="H5">
        <f>IF(Inputs!D$9 &gt; $B5, $A6-$A5, MAX(0, Inputs!D$9-$A5))</f>
        <v>0</v>
      </c>
      <c r="I5">
        <f>IF(Inputs!E$9 &gt; $B5, $A6-$A5, MAX(0, Inputs!E$9-$A5))</f>
        <v>0</v>
      </c>
      <c r="J5">
        <f>IF(Inputs!F$9 &gt; $B5, $A6-$A5, MAX(0, Inputs!F$9-$A5))</f>
        <v>0</v>
      </c>
      <c r="K5">
        <f>IF(Inputs!G$9 &gt; $B5, $A6-$A5, MAX(0, Inputs!G$9-$A5))</f>
        <v>0</v>
      </c>
      <c r="L5">
        <f>IF(Inputs!H$9 &gt; $B5, $A6-$A5, MAX(0, Inputs!H$9-$A5))</f>
        <v>0</v>
      </c>
    </row>
    <row r="6" spans="1:12" x14ac:dyDescent="0.35">
      <c r="A6">
        <v>500000</v>
      </c>
      <c r="B6">
        <v>999999</v>
      </c>
      <c r="C6" s="2">
        <v>7.0000000000000007E-2</v>
      </c>
      <c r="H6">
        <f>IF(Inputs!D$9 &gt; $B6, $A7-$A6, MAX(0, Inputs!D$9-$A6))</f>
        <v>0</v>
      </c>
      <c r="I6">
        <f>IF(Inputs!E$9 &gt; $B6, $A7-$A6, MAX(0, Inputs!E$9-$A6))</f>
        <v>0</v>
      </c>
      <c r="J6">
        <f>IF(Inputs!F$9 &gt; $B6, $A7-$A6, MAX(0, Inputs!F$9-$A6))</f>
        <v>0</v>
      </c>
      <c r="K6">
        <f>IF(Inputs!G$9 &gt; $B6, $A7-$A6, MAX(0, Inputs!G$9-$A6))</f>
        <v>0</v>
      </c>
      <c r="L6">
        <f>IF(Inputs!H$9 &gt; $B6, $A7-$A6, MAX(0, Inputs!H$9-$A6))</f>
        <v>0</v>
      </c>
    </row>
    <row r="7" spans="1:12" x14ac:dyDescent="0.35">
      <c r="A7">
        <v>1000000</v>
      </c>
      <c r="B7">
        <v>1999999</v>
      </c>
      <c r="C7" s="2">
        <v>0.06</v>
      </c>
      <c r="H7">
        <f>IF(Inputs!D$9 &gt; $B7, $A8-$A7, MAX(0, Inputs!D$9-$A7))</f>
        <v>0</v>
      </c>
      <c r="I7">
        <f>IF(Inputs!E$9 &gt; $B7, $A8-$A7, MAX(0, Inputs!E$9-$A7))</f>
        <v>0</v>
      </c>
      <c r="J7">
        <f>IF(Inputs!F$9 &gt; $B7, $A8-$A7, MAX(0, Inputs!F$9-$A7))</f>
        <v>0</v>
      </c>
      <c r="K7">
        <f>IF(Inputs!G$9 &gt; $B7, $A8-$A7, MAX(0, Inputs!G$9-$A7))</f>
        <v>0</v>
      </c>
      <c r="L7">
        <f>IF(Inputs!H$9 &gt; $B7, $A8-$A7, MAX(0, Inputs!H$9-$A7))</f>
        <v>0</v>
      </c>
    </row>
    <row r="8" spans="1:12" x14ac:dyDescent="0.35">
      <c r="A8">
        <v>2000000</v>
      </c>
      <c r="B8">
        <v>5000000</v>
      </c>
      <c r="C8" s="2">
        <v>0.04</v>
      </c>
      <c r="H8">
        <f>IF(Inputs!D$9 &gt; $B8, $A9-$A8, MAX(0, Inputs!D$9-$A8))</f>
        <v>0</v>
      </c>
      <c r="I8">
        <f>IF(Inputs!E$9 &gt; $B8, $A9-$A8, MAX(0, Inputs!E$9-$A8))</f>
        <v>0</v>
      </c>
      <c r="J8">
        <f>IF(Inputs!F$9 &gt; $B8, $A9-$A8, MAX(0, Inputs!F$9-$A8))</f>
        <v>0</v>
      </c>
      <c r="K8">
        <f>IF(Inputs!G$9 &gt; $B8, $A9-$A8, MAX(0, Inputs!G$9-$A8))</f>
        <v>0</v>
      </c>
      <c r="L8">
        <f>IF(Inputs!H$9 &gt; $B8, $A9-$A8, MAX(0, Inputs!H$9-$A8))</f>
        <v>0</v>
      </c>
    </row>
    <row r="13" spans="1:12" x14ac:dyDescent="0.35">
      <c r="C13" t="s">
        <v>139</v>
      </c>
    </row>
    <row r="14" spans="1:12" x14ac:dyDescent="0.35">
      <c r="D14">
        <v>1.2</v>
      </c>
    </row>
    <row r="15" spans="1:12" x14ac:dyDescent="0.35">
      <c r="C15">
        <v>0.17</v>
      </c>
      <c r="D15">
        <f>C15*$D$14</f>
        <v>0.20400000000000001</v>
      </c>
      <c r="E15" s="2">
        <v>0.2</v>
      </c>
      <c r="F15" s="103">
        <f>E15-D15</f>
        <v>-4.0000000000000036E-3</v>
      </c>
    </row>
    <row r="16" spans="1:12" x14ac:dyDescent="0.35">
      <c r="C16">
        <v>0.14599999999999999</v>
      </c>
      <c r="D16">
        <f t="shared" ref="D16:D21" si="0">C16*$D$14</f>
        <v>0.17519999999999999</v>
      </c>
      <c r="E16" s="2">
        <v>0.17</v>
      </c>
      <c r="F16" s="103">
        <f t="shared" ref="F16:F21" si="1">E16-D16</f>
        <v>-5.1999999999999824E-3</v>
      </c>
    </row>
    <row r="17" spans="3:6" x14ac:dyDescent="0.35">
      <c r="C17">
        <v>0.122</v>
      </c>
      <c r="D17">
        <f t="shared" si="0"/>
        <v>0.1464</v>
      </c>
      <c r="E17" s="2">
        <v>0.14000000000000001</v>
      </c>
      <c r="F17" s="103">
        <f t="shared" si="1"/>
        <v>-6.399999999999989E-3</v>
      </c>
    </row>
    <row r="18" spans="3:6" x14ac:dyDescent="0.35">
      <c r="C18">
        <v>9.7000000000000003E-2</v>
      </c>
      <c r="D18">
        <f t="shared" si="0"/>
        <v>0.1164</v>
      </c>
      <c r="E18" s="2">
        <v>0.11</v>
      </c>
      <c r="F18" s="103">
        <f t="shared" si="1"/>
        <v>-6.4000000000000029E-3</v>
      </c>
    </row>
    <row r="19" spans="3:6" x14ac:dyDescent="0.35">
      <c r="C19">
        <v>6.0999999999999999E-2</v>
      </c>
      <c r="D19">
        <f t="shared" si="0"/>
        <v>7.3200000000000001E-2</v>
      </c>
      <c r="E19" s="2">
        <v>7.0000000000000007E-2</v>
      </c>
      <c r="F19" s="103">
        <f t="shared" si="1"/>
        <v>-3.1999999999999945E-3</v>
      </c>
    </row>
    <row r="20" spans="3:6" x14ac:dyDescent="0.35">
      <c r="C20">
        <v>4.9000000000000002E-2</v>
      </c>
      <c r="D20">
        <f t="shared" si="0"/>
        <v>5.8799999999999998E-2</v>
      </c>
      <c r="E20" s="2">
        <v>0.06</v>
      </c>
      <c r="F20" s="103">
        <f t="shared" si="1"/>
        <v>1.1999999999999997E-3</v>
      </c>
    </row>
    <row r="21" spans="3:6" x14ac:dyDescent="0.35">
      <c r="C21">
        <v>3.5999999999999997E-2</v>
      </c>
      <c r="D21">
        <f t="shared" si="0"/>
        <v>4.3199999999999995E-2</v>
      </c>
      <c r="E21" s="2">
        <v>0.04</v>
      </c>
      <c r="F21" s="103">
        <f t="shared" si="1"/>
        <v>-3.1999999999999945E-3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2019-02-27T22:57:54Z</dcterms:modified>
</cp:coreProperties>
</file>