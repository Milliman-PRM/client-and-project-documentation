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5" l="1"/>
  <c r="N63" i="7" l="1"/>
  <c r="M63" i="7"/>
  <c r="L63" i="7"/>
  <c r="K63" i="7"/>
  <c r="AA94" i="8"/>
  <c r="AA93" i="8"/>
  <c r="AA91" i="8"/>
  <c r="AA90" i="8"/>
  <c r="AA88" i="8"/>
  <c r="AA87" i="8"/>
  <c r="AA85" i="8"/>
  <c r="AA84" i="8"/>
  <c r="AA82" i="8"/>
  <c r="AA81" i="8"/>
  <c r="AA79" i="8"/>
  <c r="AA78" i="8"/>
  <c r="AA76" i="8"/>
  <c r="AA75" i="8"/>
  <c r="AA73" i="8"/>
  <c r="AA72" i="8"/>
  <c r="AA70" i="8"/>
  <c r="AA69" i="8"/>
  <c r="AA67" i="8"/>
  <c r="AA66" i="8"/>
  <c r="AA64" i="8"/>
  <c r="AA63" i="8"/>
  <c r="AA61" i="8"/>
  <c r="AA60" i="8"/>
  <c r="AA58" i="8"/>
  <c r="AA57" i="8"/>
  <c r="AA55" i="8"/>
  <c r="AA54" i="8"/>
  <c r="AA52" i="8"/>
  <c r="AA51" i="8"/>
  <c r="AA49" i="8"/>
  <c r="AA48" i="8"/>
  <c r="AA46" i="8"/>
  <c r="AA45" i="8"/>
  <c r="AA43" i="8"/>
  <c r="AA42" i="8"/>
  <c r="AA40" i="8"/>
  <c r="AA39" i="8"/>
  <c r="AA37" i="8"/>
  <c r="AA36" i="8"/>
  <c r="AA34" i="8"/>
  <c r="AA33" i="8"/>
  <c r="AA31" i="8"/>
  <c r="AA30" i="8"/>
  <c r="AA28" i="8"/>
  <c r="AA27" i="8"/>
  <c r="AA25" i="8"/>
  <c r="AA24" i="8"/>
  <c r="AA22" i="8"/>
  <c r="AA21" i="8"/>
  <c r="AA19" i="8"/>
  <c r="AA18" i="8"/>
  <c r="AA16" i="8"/>
  <c r="AA15" i="8"/>
  <c r="AA13" i="8"/>
  <c r="AA12" i="8"/>
  <c r="AA10" i="8"/>
  <c r="AA9" i="8"/>
  <c r="AA7" i="8"/>
  <c r="AA6" i="8"/>
  <c r="D63" i="7"/>
  <c r="D60" i="7"/>
  <c r="H39" i="5"/>
  <c r="G39" i="5"/>
  <c r="F39" i="5"/>
  <c r="D39" i="5"/>
  <c r="H40" i="5"/>
  <c r="G40" i="5"/>
  <c r="F40" i="5"/>
  <c r="E40" i="5"/>
  <c r="D40" i="5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9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AH94" i="8"/>
  <c r="AG94" i="8"/>
  <c r="AF94" i="8"/>
  <c r="AE94" i="8"/>
  <c r="AD94" i="8"/>
  <c r="AH93" i="8"/>
  <c r="AG93" i="8"/>
  <c r="AF93" i="8"/>
  <c r="AE93" i="8"/>
  <c r="AD93" i="8"/>
  <c r="AH92" i="8"/>
  <c r="AG92" i="8"/>
  <c r="AF92" i="8"/>
  <c r="AE92" i="8"/>
  <c r="AD92" i="8"/>
  <c r="AH91" i="8"/>
  <c r="AG91" i="8"/>
  <c r="AF91" i="8"/>
  <c r="AE91" i="8"/>
  <c r="AD91" i="8"/>
  <c r="AH90" i="8"/>
  <c r="AG90" i="8"/>
  <c r="AF90" i="8"/>
  <c r="AE90" i="8"/>
  <c r="AD90" i="8"/>
  <c r="AH89" i="8"/>
  <c r="AG89" i="8"/>
  <c r="AF89" i="8"/>
  <c r="AE89" i="8"/>
  <c r="AD89" i="8"/>
  <c r="AH88" i="8"/>
  <c r="AG88" i="8"/>
  <c r="AF88" i="8"/>
  <c r="AE88" i="8"/>
  <c r="AD88" i="8"/>
  <c r="AH87" i="8"/>
  <c r="AG87" i="8"/>
  <c r="AF87" i="8"/>
  <c r="AE87" i="8"/>
  <c r="AD87" i="8"/>
  <c r="AH86" i="8"/>
  <c r="AG86" i="8"/>
  <c r="AF86" i="8"/>
  <c r="AE86" i="8"/>
  <c r="AD86" i="8"/>
  <c r="AH85" i="8"/>
  <c r="AG85" i="8"/>
  <c r="AF85" i="8"/>
  <c r="AE85" i="8"/>
  <c r="AD85" i="8"/>
  <c r="AH84" i="8"/>
  <c r="AG84" i="8"/>
  <c r="AF84" i="8"/>
  <c r="AE84" i="8"/>
  <c r="AD84" i="8"/>
  <c r="AH83" i="8"/>
  <c r="AG83" i="8"/>
  <c r="AF83" i="8"/>
  <c r="AE83" i="8"/>
  <c r="AD83" i="8"/>
  <c r="AH82" i="8"/>
  <c r="AG82" i="8"/>
  <c r="AF82" i="8"/>
  <c r="AE82" i="8"/>
  <c r="AD82" i="8"/>
  <c r="AH81" i="8"/>
  <c r="AG81" i="8"/>
  <c r="AF81" i="8"/>
  <c r="AE81" i="8"/>
  <c r="AD81" i="8"/>
  <c r="AH80" i="8"/>
  <c r="AG80" i="8"/>
  <c r="AF80" i="8"/>
  <c r="AE80" i="8"/>
  <c r="AD80" i="8"/>
  <c r="AH79" i="8"/>
  <c r="AG79" i="8"/>
  <c r="AF79" i="8"/>
  <c r="AE79" i="8"/>
  <c r="AD79" i="8"/>
  <c r="AH78" i="8"/>
  <c r="AG78" i="8"/>
  <c r="AF78" i="8"/>
  <c r="AE78" i="8"/>
  <c r="AD78" i="8"/>
  <c r="AH77" i="8"/>
  <c r="AG77" i="8"/>
  <c r="AF77" i="8"/>
  <c r="AE77" i="8"/>
  <c r="AD77" i="8"/>
  <c r="AH76" i="8"/>
  <c r="AG76" i="8"/>
  <c r="AF76" i="8"/>
  <c r="AE76" i="8"/>
  <c r="AD76" i="8"/>
  <c r="AH75" i="8"/>
  <c r="AG75" i="8"/>
  <c r="AF75" i="8"/>
  <c r="AE75" i="8"/>
  <c r="AD75" i="8"/>
  <c r="AH74" i="8"/>
  <c r="AG74" i="8"/>
  <c r="AF74" i="8"/>
  <c r="AE74" i="8"/>
  <c r="AD74" i="8"/>
  <c r="AH73" i="8"/>
  <c r="AG73" i="8"/>
  <c r="AF73" i="8"/>
  <c r="AE73" i="8"/>
  <c r="AD73" i="8"/>
  <c r="AH72" i="8"/>
  <c r="AG72" i="8"/>
  <c r="AF72" i="8"/>
  <c r="AE72" i="8"/>
  <c r="AD72" i="8"/>
  <c r="AH71" i="8"/>
  <c r="AG71" i="8"/>
  <c r="AF71" i="8"/>
  <c r="AE71" i="8"/>
  <c r="AD71" i="8"/>
  <c r="AH70" i="8"/>
  <c r="AG70" i="8"/>
  <c r="AF70" i="8"/>
  <c r="AE70" i="8"/>
  <c r="AD70" i="8"/>
  <c r="AH69" i="8"/>
  <c r="AG69" i="8"/>
  <c r="AF69" i="8"/>
  <c r="AE69" i="8"/>
  <c r="AD69" i="8"/>
  <c r="AH68" i="8"/>
  <c r="AG68" i="8"/>
  <c r="AF68" i="8"/>
  <c r="AE68" i="8"/>
  <c r="AD68" i="8"/>
  <c r="AH67" i="8"/>
  <c r="AG67" i="8"/>
  <c r="AF67" i="8"/>
  <c r="AE67" i="8"/>
  <c r="AD67" i="8"/>
  <c r="AH66" i="8"/>
  <c r="AG66" i="8"/>
  <c r="AF66" i="8"/>
  <c r="AE66" i="8"/>
  <c r="AD66" i="8"/>
  <c r="AH65" i="8"/>
  <c r="AG65" i="8"/>
  <c r="AF65" i="8"/>
  <c r="AE65" i="8"/>
  <c r="AD65" i="8"/>
  <c r="AH64" i="8"/>
  <c r="AG64" i="8"/>
  <c r="AF64" i="8"/>
  <c r="AE64" i="8"/>
  <c r="AD64" i="8"/>
  <c r="AH63" i="8"/>
  <c r="AG63" i="8"/>
  <c r="AF63" i="8"/>
  <c r="AE63" i="8"/>
  <c r="AD63" i="8"/>
  <c r="AH62" i="8"/>
  <c r="AG62" i="8"/>
  <c r="AF62" i="8"/>
  <c r="AE62" i="8"/>
  <c r="AD62" i="8"/>
  <c r="AH61" i="8"/>
  <c r="AG61" i="8"/>
  <c r="AF61" i="8"/>
  <c r="AE61" i="8"/>
  <c r="AD61" i="8"/>
  <c r="AH60" i="8"/>
  <c r="AG60" i="8"/>
  <c r="AF60" i="8"/>
  <c r="AE60" i="8"/>
  <c r="AD60" i="8"/>
  <c r="AH59" i="8"/>
  <c r="AG59" i="8"/>
  <c r="AF59" i="8"/>
  <c r="AE59" i="8"/>
  <c r="AD59" i="8"/>
  <c r="AH58" i="8"/>
  <c r="AG58" i="8"/>
  <c r="AF58" i="8"/>
  <c r="AE58" i="8"/>
  <c r="AD58" i="8"/>
  <c r="AH57" i="8"/>
  <c r="AG57" i="8"/>
  <c r="AF57" i="8"/>
  <c r="AE57" i="8"/>
  <c r="AD57" i="8"/>
  <c r="AH56" i="8"/>
  <c r="AG56" i="8"/>
  <c r="AF56" i="8"/>
  <c r="AE56" i="8"/>
  <c r="AD56" i="8"/>
  <c r="AH55" i="8"/>
  <c r="AG55" i="8"/>
  <c r="AF55" i="8"/>
  <c r="AE55" i="8"/>
  <c r="AD55" i="8"/>
  <c r="AH54" i="8"/>
  <c r="AG54" i="8"/>
  <c r="AF54" i="8"/>
  <c r="AE54" i="8"/>
  <c r="AD54" i="8"/>
  <c r="AH53" i="8"/>
  <c r="AG53" i="8"/>
  <c r="AF53" i="8"/>
  <c r="AE53" i="8"/>
  <c r="AD53" i="8"/>
  <c r="AH52" i="8"/>
  <c r="AG52" i="8"/>
  <c r="AF52" i="8"/>
  <c r="AE52" i="8"/>
  <c r="AD52" i="8"/>
  <c r="AH51" i="8"/>
  <c r="AG51" i="8"/>
  <c r="AF51" i="8"/>
  <c r="AE51" i="8"/>
  <c r="AD51" i="8"/>
  <c r="AH50" i="8"/>
  <c r="AG50" i="8"/>
  <c r="AF50" i="8"/>
  <c r="AE50" i="8"/>
  <c r="AD50" i="8"/>
  <c r="AH49" i="8"/>
  <c r="AG49" i="8"/>
  <c r="AF49" i="8"/>
  <c r="AE49" i="8"/>
  <c r="AD49" i="8"/>
  <c r="AH48" i="8"/>
  <c r="AG48" i="8"/>
  <c r="AF48" i="8"/>
  <c r="AE48" i="8"/>
  <c r="AD48" i="8"/>
  <c r="AH47" i="8"/>
  <c r="AG47" i="8"/>
  <c r="AF47" i="8"/>
  <c r="AE47" i="8"/>
  <c r="AD47" i="8"/>
  <c r="AH46" i="8"/>
  <c r="AG46" i="8"/>
  <c r="AF46" i="8"/>
  <c r="AE46" i="8"/>
  <c r="AD46" i="8"/>
  <c r="AH45" i="8"/>
  <c r="AG45" i="8"/>
  <c r="AF45" i="8"/>
  <c r="AE45" i="8"/>
  <c r="AD45" i="8"/>
  <c r="AH44" i="8"/>
  <c r="AG44" i="8"/>
  <c r="AF44" i="8"/>
  <c r="AE44" i="8"/>
  <c r="AD44" i="8"/>
  <c r="AH43" i="8"/>
  <c r="AG43" i="8"/>
  <c r="AF43" i="8"/>
  <c r="AE43" i="8"/>
  <c r="AD43" i="8"/>
  <c r="AH42" i="8"/>
  <c r="AG42" i="8"/>
  <c r="AF42" i="8"/>
  <c r="AE42" i="8"/>
  <c r="AD42" i="8"/>
  <c r="AH41" i="8"/>
  <c r="AG41" i="8"/>
  <c r="AF41" i="8"/>
  <c r="AE41" i="8"/>
  <c r="AD41" i="8"/>
  <c r="AH40" i="8"/>
  <c r="AG40" i="8"/>
  <c r="AF40" i="8"/>
  <c r="AE40" i="8"/>
  <c r="AD40" i="8"/>
  <c r="AH39" i="8"/>
  <c r="AG39" i="8"/>
  <c r="AF39" i="8"/>
  <c r="AE39" i="8"/>
  <c r="AD39" i="8"/>
  <c r="AH38" i="8"/>
  <c r="AG38" i="8"/>
  <c r="AF38" i="8"/>
  <c r="AE38" i="8"/>
  <c r="AD38" i="8"/>
  <c r="AH37" i="8"/>
  <c r="AG37" i="8"/>
  <c r="AF37" i="8"/>
  <c r="AE37" i="8"/>
  <c r="AD37" i="8"/>
  <c r="AH36" i="8"/>
  <c r="AG36" i="8"/>
  <c r="AF36" i="8"/>
  <c r="AE36" i="8"/>
  <c r="AD36" i="8"/>
  <c r="AH35" i="8"/>
  <c r="AG35" i="8"/>
  <c r="AF35" i="8"/>
  <c r="AE35" i="8"/>
  <c r="AD35" i="8"/>
  <c r="AH34" i="8"/>
  <c r="AG34" i="8"/>
  <c r="AF34" i="8"/>
  <c r="AE34" i="8"/>
  <c r="AD34" i="8"/>
  <c r="AH33" i="8"/>
  <c r="AG33" i="8"/>
  <c r="AF33" i="8"/>
  <c r="AE33" i="8"/>
  <c r="AD33" i="8"/>
  <c r="AH32" i="8"/>
  <c r="AG32" i="8"/>
  <c r="AF32" i="8"/>
  <c r="AE32" i="8"/>
  <c r="AD32" i="8"/>
  <c r="AH31" i="8"/>
  <c r="AG31" i="8"/>
  <c r="AF31" i="8"/>
  <c r="AE31" i="8"/>
  <c r="AD31" i="8"/>
  <c r="AH30" i="8"/>
  <c r="AG30" i="8"/>
  <c r="AF30" i="8"/>
  <c r="AE30" i="8"/>
  <c r="AD30" i="8"/>
  <c r="AH29" i="8"/>
  <c r="AG29" i="8"/>
  <c r="AF29" i="8"/>
  <c r="AE29" i="8"/>
  <c r="AD29" i="8"/>
  <c r="AH28" i="8"/>
  <c r="AG28" i="8"/>
  <c r="AF28" i="8"/>
  <c r="AE28" i="8"/>
  <c r="AD28" i="8"/>
  <c r="AH27" i="8"/>
  <c r="AG27" i="8"/>
  <c r="AF27" i="8"/>
  <c r="AE27" i="8"/>
  <c r="AD27" i="8"/>
  <c r="AH26" i="8"/>
  <c r="AG26" i="8"/>
  <c r="AF26" i="8"/>
  <c r="AE26" i="8"/>
  <c r="AD26" i="8"/>
  <c r="AH25" i="8"/>
  <c r="AG25" i="8"/>
  <c r="AF25" i="8"/>
  <c r="AE25" i="8"/>
  <c r="AD25" i="8"/>
  <c r="AH24" i="8"/>
  <c r="AG24" i="8"/>
  <c r="AF24" i="8"/>
  <c r="AE24" i="8"/>
  <c r="AD24" i="8"/>
  <c r="AH23" i="8"/>
  <c r="AG23" i="8"/>
  <c r="AF23" i="8"/>
  <c r="AE23" i="8"/>
  <c r="AD23" i="8"/>
  <c r="AH22" i="8"/>
  <c r="AG22" i="8"/>
  <c r="AF22" i="8"/>
  <c r="AE22" i="8"/>
  <c r="AD22" i="8"/>
  <c r="AH21" i="8"/>
  <c r="AG21" i="8"/>
  <c r="AF21" i="8"/>
  <c r="AE21" i="8"/>
  <c r="AD21" i="8"/>
  <c r="AH20" i="8"/>
  <c r="AG20" i="8"/>
  <c r="AF20" i="8"/>
  <c r="AE20" i="8"/>
  <c r="AD20" i="8"/>
  <c r="AH19" i="8"/>
  <c r="AG19" i="8"/>
  <c r="AF19" i="8"/>
  <c r="AE19" i="8"/>
  <c r="AD19" i="8"/>
  <c r="AH18" i="8"/>
  <c r="AG18" i="8"/>
  <c r="AF18" i="8"/>
  <c r="AE18" i="8"/>
  <c r="AD18" i="8"/>
  <c r="AH17" i="8"/>
  <c r="AG17" i="8"/>
  <c r="AF17" i="8"/>
  <c r="AE17" i="8"/>
  <c r="AD17" i="8"/>
  <c r="AH16" i="8"/>
  <c r="AG16" i="8"/>
  <c r="AF16" i="8"/>
  <c r="AE16" i="8"/>
  <c r="AD16" i="8"/>
  <c r="AH15" i="8"/>
  <c r="AG15" i="8"/>
  <c r="AF15" i="8"/>
  <c r="AE15" i="8"/>
  <c r="AD15" i="8"/>
  <c r="AH14" i="8"/>
  <c r="AG14" i="8"/>
  <c r="AF14" i="8"/>
  <c r="AE14" i="8"/>
  <c r="AD14" i="8"/>
  <c r="AH13" i="8"/>
  <c r="AG13" i="8"/>
  <c r="AF13" i="8"/>
  <c r="AE13" i="8"/>
  <c r="AD13" i="8"/>
  <c r="AH12" i="8"/>
  <c r="AG12" i="8"/>
  <c r="AF12" i="8"/>
  <c r="AE12" i="8"/>
  <c r="AD12" i="8"/>
  <c r="AH11" i="8"/>
  <c r="AG11" i="8"/>
  <c r="AF11" i="8"/>
  <c r="AE11" i="8"/>
  <c r="AD11" i="8"/>
  <c r="AH10" i="8"/>
  <c r="AG10" i="8"/>
  <c r="AF10" i="8"/>
  <c r="AE10" i="8"/>
  <c r="AD10" i="8"/>
  <c r="AH9" i="8"/>
  <c r="AG9" i="8"/>
  <c r="AF9" i="8"/>
  <c r="AE9" i="8"/>
  <c r="AD9" i="8"/>
  <c r="AH8" i="8"/>
  <c r="AG8" i="8"/>
  <c r="AF8" i="8"/>
  <c r="AE8" i="8"/>
  <c r="AD8" i="8"/>
  <c r="AH7" i="8"/>
  <c r="AG7" i="8"/>
  <c r="AF7" i="8"/>
  <c r="AE7" i="8"/>
  <c r="AD7" i="8"/>
  <c r="AH6" i="8"/>
  <c r="AG6" i="8"/>
  <c r="AF6" i="8"/>
  <c r="AE6" i="8"/>
  <c r="AD6" i="8"/>
  <c r="AH5" i="8"/>
  <c r="AG5" i="8"/>
  <c r="AF5" i="8"/>
  <c r="AE5" i="8"/>
  <c r="AD5" i="8"/>
  <c r="AH4" i="8"/>
  <c r="AG4" i="8"/>
  <c r="AF4" i="8"/>
  <c r="AE4" i="8"/>
  <c r="AD4" i="8"/>
  <c r="AH3" i="8"/>
  <c r="AG3" i="8"/>
  <c r="AF3" i="8"/>
  <c r="AE3" i="8"/>
  <c r="AD3" i="8"/>
  <c r="H20" i="9"/>
  <c r="G3" i="8"/>
  <c r="F3" i="8"/>
  <c r="J20" i="9"/>
  <c r="J21" i="9" s="1"/>
  <c r="K20" i="9"/>
  <c r="K21" i="9" s="1"/>
  <c r="L20" i="9"/>
  <c r="L21" i="9" s="1"/>
  <c r="L8" i="9" l="1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I20" i="9"/>
  <c r="I21" i="9" s="1"/>
  <c r="H67" i="1"/>
  <c r="G67" i="1"/>
  <c r="F67" i="1"/>
  <c r="E67" i="1"/>
  <c r="D67" i="1"/>
  <c r="H69" i="1"/>
  <c r="G69" i="1"/>
  <c r="F69" i="1"/>
  <c r="D69" i="1"/>
  <c r="E69" i="1"/>
  <c r="L28" i="3"/>
  <c r="D87" i="1" l="1"/>
  <c r="S47" i="8" l="1"/>
  <c r="S38" i="8"/>
  <c r="S40" i="8"/>
  <c r="S71" i="8"/>
  <c r="S39" i="8"/>
  <c r="S7" i="8"/>
  <c r="S66" i="8"/>
  <c r="S43" i="8"/>
  <c r="S4" i="8"/>
  <c r="S68" i="8"/>
  <c r="S29" i="8"/>
  <c r="S93" i="8"/>
  <c r="S46" i="8"/>
  <c r="S32" i="8"/>
  <c r="S35" i="8"/>
  <c r="S85" i="8"/>
  <c r="S9" i="8"/>
  <c r="S87" i="8"/>
  <c r="S55" i="8"/>
  <c r="S74" i="8"/>
  <c r="S51" i="8"/>
  <c r="S12" i="8"/>
  <c r="S76" i="8"/>
  <c r="S37" i="8"/>
  <c r="S23" i="8"/>
  <c r="S54" i="8"/>
  <c r="S90" i="8"/>
  <c r="S60" i="8"/>
  <c r="S21" i="8"/>
  <c r="S48" i="8"/>
  <c r="S56" i="8"/>
  <c r="S33" i="8"/>
  <c r="S25" i="8"/>
  <c r="S17" i="8"/>
  <c r="S82" i="8"/>
  <c r="S59" i="8"/>
  <c r="S20" i="8"/>
  <c r="S84" i="8"/>
  <c r="S45" i="8"/>
  <c r="S79" i="8"/>
  <c r="S62" i="8"/>
  <c r="S15" i="8"/>
  <c r="S63" i="8"/>
  <c r="S57" i="8"/>
  <c r="S49" i="8"/>
  <c r="S3" i="8"/>
  <c r="S67" i="8"/>
  <c r="S28" i="8"/>
  <c r="S92" i="8"/>
  <c r="S53" i="8"/>
  <c r="S6" i="8"/>
  <c r="S70" i="8"/>
  <c r="S89" i="8"/>
  <c r="S64" i="8"/>
  <c r="S41" i="8"/>
  <c r="S8" i="8"/>
  <c r="S72" i="8"/>
  <c r="S65" i="8"/>
  <c r="S18" i="8"/>
  <c r="S10" i="8"/>
  <c r="S11" i="8"/>
  <c r="S75" i="8"/>
  <c r="S36" i="8"/>
  <c r="S31" i="8"/>
  <c r="S61" i="8"/>
  <c r="S14" i="8"/>
  <c r="S78" i="8"/>
  <c r="S16" i="8"/>
  <c r="S73" i="8"/>
  <c r="S34" i="8"/>
  <c r="S26" i="8"/>
  <c r="S19" i="8"/>
  <c r="S83" i="8"/>
  <c r="S44" i="8"/>
  <c r="S5" i="8"/>
  <c r="S69" i="8"/>
  <c r="S22" i="8"/>
  <c r="S86" i="8"/>
  <c r="S50" i="8"/>
  <c r="S80" i="8"/>
  <c r="S24" i="8"/>
  <c r="S88" i="8"/>
  <c r="S81" i="8"/>
  <c r="S58" i="8"/>
  <c r="S42" i="8"/>
  <c r="S27" i="8"/>
  <c r="S91" i="8"/>
  <c r="S52" i="8"/>
  <c r="S13" i="8"/>
  <c r="S77" i="8"/>
  <c r="S30" i="8"/>
  <c r="S94" i="8"/>
  <c r="H47" i="1" l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C6" i="3" l="1"/>
  <c r="C27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F52" i="7" l="1"/>
  <c r="H88" i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0" i="1" l="1"/>
  <c r="E11" i="1"/>
  <c r="F11" i="1"/>
  <c r="G11" i="1"/>
  <c r="H11" i="1"/>
  <c r="D11" i="1"/>
  <c r="F10" i="1"/>
  <c r="G10" i="1"/>
  <c r="H10" i="1"/>
  <c r="D10" i="1"/>
  <c r="G79" i="1" l="1"/>
  <c r="G77" i="1"/>
  <c r="F77" i="1"/>
  <c r="F79" i="1"/>
  <c r="H79" i="1"/>
  <c r="H77" i="1"/>
  <c r="H24" i="5" s="1"/>
  <c r="E79" i="1"/>
  <c r="L79" i="1" s="1"/>
  <c r="E77" i="1"/>
  <c r="E24" i="5" s="1"/>
  <c r="E26" i="1"/>
  <c r="D77" i="1"/>
  <c r="K77" i="1" s="1"/>
  <c r="D79" i="1"/>
  <c r="N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E75" i="1"/>
  <c r="E58" i="1"/>
  <c r="E34" i="1"/>
  <c r="E57" i="1"/>
  <c r="E33" i="1"/>
  <c r="H56" i="1"/>
  <c r="H75" i="1"/>
  <c r="G75" i="1"/>
  <c r="D75" i="1"/>
  <c r="F75" i="1"/>
  <c r="F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L77" i="1" l="1"/>
  <c r="O77" i="1"/>
  <c r="G24" i="5"/>
  <c r="D74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5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6" i="7"/>
  <c r="D24" i="7"/>
  <c r="D93" i="1"/>
  <c r="D31" i="7"/>
  <c r="D58" i="7"/>
  <c r="H26" i="7"/>
  <c r="G26" i="7"/>
  <c r="I26" i="7" l="1"/>
  <c r="F26" i="7"/>
  <c r="D49" i="7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5" i="7" l="1"/>
  <c r="K75" i="7" s="1"/>
  <c r="H74" i="7"/>
  <c r="M74" i="7" s="1"/>
  <c r="F74" i="7"/>
  <c r="K74" i="7" s="1"/>
  <c r="G75" i="7"/>
  <c r="L75" i="7" s="1"/>
  <c r="H75" i="7"/>
  <c r="M75" i="7" s="1"/>
  <c r="I75" i="7"/>
  <c r="N75" i="7" s="1"/>
  <c r="I74" i="7"/>
  <c r="N74" i="7" s="1"/>
  <c r="G74" i="7"/>
  <c r="L74" i="7" s="1"/>
  <c r="I70" i="7"/>
  <c r="G47" i="7"/>
  <c r="G46" i="7"/>
  <c r="H36" i="7"/>
  <c r="H70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E3" i="8" l="1"/>
  <c r="D3" i="8"/>
  <c r="B4" i="8"/>
  <c r="G4" i="8" s="1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F4" i="8" l="1"/>
  <c r="E4" i="8"/>
  <c r="B5" i="8"/>
  <c r="G5" i="8" s="1"/>
  <c r="J3" i="8"/>
  <c r="K3" i="8"/>
  <c r="I3" i="8"/>
  <c r="L3" i="8"/>
  <c r="D4" i="8"/>
  <c r="J4" i="8" s="1"/>
  <c r="H24" i="7"/>
  <c r="L24" i="7"/>
  <c r="F48" i="7"/>
  <c r="H48" i="7"/>
  <c r="H53" i="7"/>
  <c r="M53" i="7" s="1"/>
  <c r="F53" i="7"/>
  <c r="K53" i="7" s="1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70" i="7"/>
  <c r="F70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F5" i="8" l="1"/>
  <c r="K4" i="8"/>
  <c r="D5" i="8"/>
  <c r="I5" i="8" s="1"/>
  <c r="L4" i="8"/>
  <c r="I4" i="8"/>
  <c r="B6" i="8"/>
  <c r="G6" i="8" s="1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K5" i="8" l="1"/>
  <c r="J5" i="8"/>
  <c r="L5" i="8"/>
  <c r="E6" i="8"/>
  <c r="B7" i="8"/>
  <c r="G7" i="8" s="1"/>
  <c r="W6" i="8"/>
  <c r="X6" i="8"/>
  <c r="F6" i="8"/>
  <c r="Y6" i="8"/>
  <c r="Z6" i="8"/>
  <c r="D6" i="8"/>
  <c r="K74" i="1"/>
  <c r="D84" i="1"/>
  <c r="L74" i="1"/>
  <c r="E84" i="1"/>
  <c r="D83" i="1"/>
  <c r="F83" i="1"/>
  <c r="L19" i="7"/>
  <c r="N19" i="7"/>
  <c r="H84" i="1"/>
  <c r="G83" i="1"/>
  <c r="H83" i="1"/>
  <c r="G84" i="1"/>
  <c r="F84" i="1"/>
  <c r="E83" i="1"/>
  <c r="E19" i="5"/>
  <c r="F19" i="5"/>
  <c r="G19" i="5"/>
  <c r="D7" i="8" l="1"/>
  <c r="L7" i="8" s="1"/>
  <c r="K6" i="8"/>
  <c r="I6" i="8"/>
  <c r="L6" i="8"/>
  <c r="B8" i="8"/>
  <c r="F7" i="8"/>
  <c r="W7" i="8"/>
  <c r="X7" i="8"/>
  <c r="Y7" i="8"/>
  <c r="Z7" i="8"/>
  <c r="I7" i="8"/>
  <c r="J6" i="8"/>
  <c r="E7" i="8"/>
  <c r="D37" i="7"/>
  <c r="N37" i="7" s="1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70" i="7"/>
  <c r="D66" i="1"/>
  <c r="K76" i="1" s="1"/>
  <c r="H14" i="1"/>
  <c r="G14" i="1"/>
  <c r="F14" i="1"/>
  <c r="E14" i="1"/>
  <c r="G4" i="5"/>
  <c r="F8" i="8" l="1"/>
  <c r="G8" i="8"/>
  <c r="J7" i="8"/>
  <c r="K7" i="8"/>
  <c r="B9" i="8"/>
  <c r="G9" i="8" s="1"/>
  <c r="E8" i="8"/>
  <c r="D8" i="8"/>
  <c r="D9" i="8" s="1"/>
  <c r="K85" i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3" i="7"/>
  <c r="N70" i="7"/>
  <c r="K70" i="7"/>
  <c r="N4" i="7"/>
  <c r="K4" i="7"/>
  <c r="M4" i="7"/>
  <c r="K5" i="7"/>
  <c r="L5" i="7"/>
  <c r="M5" i="7"/>
  <c r="F86" i="1"/>
  <c r="D86" i="1"/>
  <c r="G86" i="1"/>
  <c r="H19" i="5"/>
  <c r="H86" i="1"/>
  <c r="L70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70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K8" i="8" l="1"/>
  <c r="E9" i="8"/>
  <c r="F9" i="8" s="1"/>
  <c r="L8" i="8"/>
  <c r="C36" i="5"/>
  <c r="I8" i="8"/>
  <c r="J8" i="8"/>
  <c r="I9" i="8"/>
  <c r="B10" i="8"/>
  <c r="G10" i="8" s="1"/>
  <c r="W9" i="8"/>
  <c r="X9" i="8"/>
  <c r="Y9" i="8"/>
  <c r="Z9" i="8"/>
  <c r="F107" i="1"/>
  <c r="N10" i="7"/>
  <c r="K10" i="7"/>
  <c r="L10" i="7"/>
  <c r="H107" i="1"/>
  <c r="E107" i="1"/>
  <c r="D40" i="7"/>
  <c r="L40" i="7" s="1"/>
  <c r="G107" i="1"/>
  <c r="D107" i="1"/>
  <c r="D106" i="1"/>
  <c r="D72" i="7"/>
  <c r="K36" i="7"/>
  <c r="M36" i="7"/>
  <c r="N36" i="7"/>
  <c r="J9" i="8"/>
  <c r="N43" i="7"/>
  <c r="L4" i="7"/>
  <c r="K9" i="8" s="1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71" i="7"/>
  <c r="D96" i="1"/>
  <c r="D50" i="7" s="1"/>
  <c r="N50" i="7" s="1"/>
  <c r="D20" i="5"/>
  <c r="L36" i="7"/>
  <c r="L9" i="8"/>
  <c r="B11" i="8" l="1"/>
  <c r="G11" i="8" s="1"/>
  <c r="Z10" i="8"/>
  <c r="W10" i="8"/>
  <c r="X10" i="8"/>
  <c r="Y10" i="8"/>
  <c r="D10" i="8"/>
  <c r="D11" i="8" s="1"/>
  <c r="E10" i="8"/>
  <c r="D102" i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F10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B12" i="8" l="1"/>
  <c r="G12" i="8" s="1"/>
  <c r="W12" i="8"/>
  <c r="X12" i="8"/>
  <c r="Y12" i="8"/>
  <c r="J10" i="8"/>
  <c r="E11" i="8"/>
  <c r="E12" i="8" s="1"/>
  <c r="L10" i="8"/>
  <c r="I11" i="8"/>
  <c r="L11" i="8"/>
  <c r="K10" i="8"/>
  <c r="K11" i="8"/>
  <c r="J11" i="8"/>
  <c r="I10" i="8"/>
  <c r="F73" i="7"/>
  <c r="G73" i="7"/>
  <c r="I73" i="7"/>
  <c r="H73" i="7"/>
  <c r="D29" i="5"/>
  <c r="H29" i="5"/>
  <c r="E29" i="5"/>
  <c r="G29" i="5"/>
  <c r="F29" i="5"/>
  <c r="E109" i="1"/>
  <c r="G109" i="1"/>
  <c r="F109" i="1"/>
  <c r="H109" i="1"/>
  <c r="D109" i="1"/>
  <c r="K47" i="7"/>
  <c r="N47" i="7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B13" i="8" l="1"/>
  <c r="G13" i="8" s="1"/>
  <c r="Z12" i="8"/>
  <c r="D12" i="8"/>
  <c r="F11" i="8"/>
  <c r="B14" i="8"/>
  <c r="G14" i="8" s="1"/>
  <c r="W13" i="8"/>
  <c r="X13" i="8"/>
  <c r="Z13" i="8"/>
  <c r="Y13" i="8"/>
  <c r="F76" i="7"/>
  <c r="K76" i="7" s="1"/>
  <c r="I76" i="7"/>
  <c r="N76" i="7" s="1"/>
  <c r="G76" i="7"/>
  <c r="L76" i="7" s="1"/>
  <c r="H76" i="7"/>
  <c r="M76" i="7" s="1"/>
  <c r="F71" i="7"/>
  <c r="K71" i="7" s="1"/>
  <c r="H72" i="7"/>
  <c r="M72" i="7" s="1"/>
  <c r="N73" i="7"/>
  <c r="G71" i="7"/>
  <c r="L71" i="7" s="1"/>
  <c r="L73" i="7"/>
  <c r="M73" i="7"/>
  <c r="F72" i="7"/>
  <c r="K72" i="7" s="1"/>
  <c r="K73" i="7"/>
  <c r="G72" i="7"/>
  <c r="L72" i="7" s="1"/>
  <c r="I72" i="7"/>
  <c r="N72" i="7" s="1"/>
  <c r="H71" i="7"/>
  <c r="M71" i="7" s="1"/>
  <c r="I71" i="7"/>
  <c r="N71" i="7" s="1"/>
  <c r="E13" i="8"/>
  <c r="F12" i="8"/>
  <c r="D56" i="7"/>
  <c r="D118" i="1"/>
  <c r="D120" i="1" s="1"/>
  <c r="F118" i="1"/>
  <c r="F120" i="1" s="1"/>
  <c r="G118" i="1"/>
  <c r="H118" i="1"/>
  <c r="E118" i="1"/>
  <c r="B15" i="8" l="1"/>
  <c r="G15" i="8" s="1"/>
  <c r="J12" i="8"/>
  <c r="K12" i="8"/>
  <c r="I12" i="8"/>
  <c r="L12" i="8"/>
  <c r="D13" i="8"/>
  <c r="B16" i="8"/>
  <c r="G16" i="8" s="1"/>
  <c r="W15" i="8"/>
  <c r="Y15" i="8"/>
  <c r="Z15" i="8"/>
  <c r="I56" i="7"/>
  <c r="N56" i="7" s="1"/>
  <c r="F56" i="7"/>
  <c r="K56" i="7" s="1"/>
  <c r="H56" i="7"/>
  <c r="M56" i="7" s="1"/>
  <c r="G56" i="7"/>
  <c r="L56" i="7" s="1"/>
  <c r="E14" i="8"/>
  <c r="F13" i="8"/>
  <c r="E120" i="1"/>
  <c r="H120" i="1"/>
  <c r="G120" i="1"/>
  <c r="D14" i="8" l="1"/>
  <c r="K13" i="8"/>
  <c r="L13" i="8"/>
  <c r="J13" i="8"/>
  <c r="I13" i="8"/>
  <c r="X15" i="8"/>
  <c r="B17" i="8"/>
  <c r="G17" i="8" s="1"/>
  <c r="Z16" i="8"/>
  <c r="W16" i="8"/>
  <c r="X16" i="8"/>
  <c r="Y16" i="8"/>
  <c r="H57" i="7"/>
  <c r="F57" i="7"/>
  <c r="G57" i="7"/>
  <c r="E15" i="8"/>
  <c r="F14" i="8"/>
  <c r="F121" i="1"/>
  <c r="G121" i="1"/>
  <c r="H121" i="1"/>
  <c r="E121" i="1"/>
  <c r="D121" i="1"/>
  <c r="E124" i="1" s="1"/>
  <c r="B18" i="8" l="1"/>
  <c r="G18" i="8" s="1"/>
  <c r="L14" i="8"/>
  <c r="D15" i="8"/>
  <c r="J14" i="8"/>
  <c r="I14" i="8"/>
  <c r="K14" i="8"/>
  <c r="I57" i="7"/>
  <c r="E16" i="8"/>
  <c r="F15" i="8"/>
  <c r="E127" i="1"/>
  <c r="H111" i="1" s="1"/>
  <c r="H115" i="1" s="1"/>
  <c r="E125" i="1"/>
  <c r="E126" i="1"/>
  <c r="B19" i="8" l="1"/>
  <c r="G19" i="8" s="1"/>
  <c r="K15" i="8"/>
  <c r="D16" i="8"/>
  <c r="I15" i="8"/>
  <c r="L15" i="8"/>
  <c r="J15" i="8"/>
  <c r="Y18" i="8"/>
  <c r="X18" i="8"/>
  <c r="Z18" i="8"/>
  <c r="W18" i="8"/>
  <c r="B20" i="8"/>
  <c r="G20" i="8" s="1"/>
  <c r="W19" i="8"/>
  <c r="X19" i="8"/>
  <c r="Y19" i="8"/>
  <c r="Z19" i="8"/>
  <c r="E17" i="8"/>
  <c r="F16" i="8"/>
  <c r="E111" i="1"/>
  <c r="F111" i="1"/>
  <c r="D111" i="1"/>
  <c r="G111" i="1"/>
  <c r="G115" i="1" s="1"/>
  <c r="H30" i="5"/>
  <c r="H33" i="5" l="1"/>
  <c r="H42" i="5" s="1"/>
  <c r="B21" i="8"/>
  <c r="G21" i="8" s="1"/>
  <c r="I16" i="8"/>
  <c r="D17" i="8"/>
  <c r="L16" i="8"/>
  <c r="J16" i="8"/>
  <c r="K16" i="8"/>
  <c r="D30" i="5"/>
  <c r="D33" i="5" s="1"/>
  <c r="D42" i="5" s="1"/>
  <c r="D115" i="1"/>
  <c r="F30" i="5"/>
  <c r="F115" i="1"/>
  <c r="E30" i="5"/>
  <c r="E115" i="1"/>
  <c r="E18" i="8"/>
  <c r="F17" i="8"/>
  <c r="G30" i="5"/>
  <c r="G33" i="5" s="1"/>
  <c r="G42" i="5" s="1"/>
  <c r="F33" i="5" l="1"/>
  <c r="F42" i="5" s="1"/>
  <c r="E33" i="5"/>
  <c r="E42" i="5" s="1"/>
  <c r="B22" i="8"/>
  <c r="G22" i="8" s="1"/>
  <c r="K17" i="8"/>
  <c r="L17" i="8"/>
  <c r="I17" i="8"/>
  <c r="J17" i="8"/>
  <c r="D18" i="8"/>
  <c r="Z21" i="8"/>
  <c r="Y21" i="8"/>
  <c r="X21" i="8"/>
  <c r="W21" i="8"/>
  <c r="B23" i="8"/>
  <c r="G23" i="8" s="1"/>
  <c r="X22" i="8"/>
  <c r="D57" i="7"/>
  <c r="N57" i="7" s="1"/>
  <c r="N60" i="7" s="1"/>
  <c r="U3" i="8" s="1"/>
  <c r="E19" i="8"/>
  <c r="F18" i="8"/>
  <c r="W22" i="8" l="1"/>
  <c r="Z22" i="8"/>
  <c r="Y22" i="8"/>
  <c r="C47" i="5"/>
  <c r="D19" i="8"/>
  <c r="L18" i="8"/>
  <c r="J18" i="8"/>
  <c r="I18" i="8"/>
  <c r="K18" i="8"/>
  <c r="B24" i="8"/>
  <c r="G24" i="8" s="1"/>
  <c r="U12" i="8"/>
  <c r="U5" i="8"/>
  <c r="U15" i="8"/>
  <c r="AA17" i="8" s="1"/>
  <c r="M57" i="7"/>
  <c r="M60" i="7" s="1"/>
  <c r="U10" i="8"/>
  <c r="L57" i="7"/>
  <c r="L60" i="7" s="1"/>
  <c r="U16" i="8"/>
  <c r="K57" i="7"/>
  <c r="K60" i="7" s="1"/>
  <c r="U13" i="8"/>
  <c r="U8" i="8"/>
  <c r="U14" i="8"/>
  <c r="U17" i="8"/>
  <c r="U7" i="8"/>
  <c r="U4" i="8"/>
  <c r="AA5" i="8" s="1"/>
  <c r="U6" i="8"/>
  <c r="U11" i="8"/>
  <c r="U18" i="8"/>
  <c r="U9" i="8"/>
  <c r="AA11" i="8" s="1"/>
  <c r="E20" i="8"/>
  <c r="F19" i="8"/>
  <c r="AA14" i="8" l="1"/>
  <c r="AA8" i="8"/>
  <c r="D61" i="7"/>
  <c r="P38" i="8"/>
  <c r="P93" i="8"/>
  <c r="P85" i="8"/>
  <c r="P12" i="8"/>
  <c r="P37" i="8"/>
  <c r="P54" i="8"/>
  <c r="P59" i="8"/>
  <c r="P28" i="8"/>
  <c r="P53" i="8"/>
  <c r="P70" i="8"/>
  <c r="P75" i="8"/>
  <c r="P14" i="8"/>
  <c r="P19" i="8"/>
  <c r="P69" i="8"/>
  <c r="P86" i="8"/>
  <c r="P27" i="8"/>
  <c r="P77" i="8"/>
  <c r="P94" i="8"/>
  <c r="P74" i="8"/>
  <c r="P79" i="8"/>
  <c r="P10" i="8"/>
  <c r="P31" i="8"/>
  <c r="P34" i="8"/>
  <c r="P58" i="8"/>
  <c r="P80" i="8"/>
  <c r="P68" i="8"/>
  <c r="P60" i="8"/>
  <c r="P33" i="8"/>
  <c r="P65" i="8"/>
  <c r="P44" i="8"/>
  <c r="P52" i="8"/>
  <c r="P47" i="8"/>
  <c r="P39" i="8"/>
  <c r="P66" i="8"/>
  <c r="P55" i="8"/>
  <c r="P23" i="8"/>
  <c r="P90" i="8"/>
  <c r="P82" i="8"/>
  <c r="P63" i="8"/>
  <c r="P18" i="8"/>
  <c r="P26" i="8"/>
  <c r="P50" i="8"/>
  <c r="P42" i="8"/>
  <c r="P43" i="8"/>
  <c r="P3" i="8"/>
  <c r="P16" i="8"/>
  <c r="P40" i="8"/>
  <c r="P56" i="8"/>
  <c r="P72" i="8"/>
  <c r="P24" i="8"/>
  <c r="P91" i="8"/>
  <c r="P71" i="8"/>
  <c r="P15" i="8"/>
  <c r="P8" i="8"/>
  <c r="P88" i="8"/>
  <c r="P17" i="8"/>
  <c r="P84" i="8"/>
  <c r="P57" i="8"/>
  <c r="P4" i="8"/>
  <c r="P51" i="8"/>
  <c r="P76" i="8"/>
  <c r="P25" i="8"/>
  <c r="P49" i="8"/>
  <c r="P92" i="8"/>
  <c r="P89" i="8"/>
  <c r="P41" i="8"/>
  <c r="P73" i="8"/>
  <c r="P81" i="8"/>
  <c r="P7" i="8"/>
  <c r="P87" i="8"/>
  <c r="P32" i="8"/>
  <c r="P48" i="8"/>
  <c r="P64" i="8"/>
  <c r="P29" i="8"/>
  <c r="P46" i="8"/>
  <c r="P35" i="8"/>
  <c r="P9" i="8"/>
  <c r="P21" i="8"/>
  <c r="P20" i="8"/>
  <c r="P45" i="8"/>
  <c r="P62" i="8"/>
  <c r="P67" i="8"/>
  <c r="P6" i="8"/>
  <c r="P11" i="8"/>
  <c r="P36" i="8"/>
  <c r="P61" i="8"/>
  <c r="P78" i="8"/>
  <c r="P83" i="8"/>
  <c r="P5" i="8"/>
  <c r="P22" i="8"/>
  <c r="P13" i="8"/>
  <c r="P30" i="8"/>
  <c r="R7" i="8"/>
  <c r="R68" i="8"/>
  <c r="R60" i="8"/>
  <c r="R84" i="8"/>
  <c r="R15" i="8"/>
  <c r="R44" i="8"/>
  <c r="R52" i="8"/>
  <c r="R33" i="8"/>
  <c r="R38" i="8"/>
  <c r="R93" i="8"/>
  <c r="R85" i="8"/>
  <c r="R37" i="8"/>
  <c r="R70" i="8"/>
  <c r="R14" i="8"/>
  <c r="R77" i="8"/>
  <c r="R43" i="8"/>
  <c r="R74" i="8"/>
  <c r="R79" i="8"/>
  <c r="R3" i="8"/>
  <c r="R64" i="8"/>
  <c r="R31" i="8"/>
  <c r="R16" i="8"/>
  <c r="R34" i="8"/>
  <c r="R80" i="8"/>
  <c r="R58" i="8"/>
  <c r="R9" i="8"/>
  <c r="R25" i="8"/>
  <c r="R49" i="8"/>
  <c r="R89" i="8"/>
  <c r="R41" i="8"/>
  <c r="R73" i="8"/>
  <c r="R81" i="8"/>
  <c r="R86" i="8"/>
  <c r="R27" i="8"/>
  <c r="R94" i="8"/>
  <c r="R71" i="8"/>
  <c r="R8" i="8"/>
  <c r="R10" i="8"/>
  <c r="R29" i="8"/>
  <c r="R46" i="8"/>
  <c r="R35" i="8"/>
  <c r="R51" i="8"/>
  <c r="R21" i="8"/>
  <c r="R20" i="8"/>
  <c r="R45" i="8"/>
  <c r="R62" i="8"/>
  <c r="R67" i="8"/>
  <c r="R6" i="8"/>
  <c r="R11" i="8"/>
  <c r="R36" i="8"/>
  <c r="R61" i="8"/>
  <c r="R78" i="8"/>
  <c r="R83" i="8"/>
  <c r="R5" i="8"/>
  <c r="R22" i="8"/>
  <c r="R13" i="8"/>
  <c r="R30" i="8"/>
  <c r="R17" i="8"/>
  <c r="R65" i="8"/>
  <c r="R28" i="8"/>
  <c r="R19" i="8"/>
  <c r="R32" i="8"/>
  <c r="R87" i="8"/>
  <c r="R48" i="8"/>
  <c r="R47" i="8"/>
  <c r="R40" i="8"/>
  <c r="R39" i="8"/>
  <c r="R66" i="8"/>
  <c r="R55" i="8"/>
  <c r="R23" i="8"/>
  <c r="R90" i="8"/>
  <c r="R56" i="8"/>
  <c r="R82" i="8"/>
  <c r="R63" i="8"/>
  <c r="R72" i="8"/>
  <c r="R18" i="8"/>
  <c r="R26" i="8"/>
  <c r="R50" i="8"/>
  <c r="R24" i="8"/>
  <c r="R42" i="8"/>
  <c r="R91" i="8"/>
  <c r="R57" i="8"/>
  <c r="R12" i="8"/>
  <c r="R54" i="8"/>
  <c r="R59" i="8"/>
  <c r="R53" i="8"/>
  <c r="R75" i="8"/>
  <c r="R69" i="8"/>
  <c r="R88" i="8"/>
  <c r="R4" i="8"/>
  <c r="R76" i="8"/>
  <c r="R92" i="8"/>
  <c r="Q71" i="8"/>
  <c r="Q43" i="8"/>
  <c r="Q32" i="8"/>
  <c r="Q87" i="8"/>
  <c r="Q74" i="8"/>
  <c r="Q48" i="8"/>
  <c r="Q79" i="8"/>
  <c r="Q3" i="8"/>
  <c r="Q64" i="8"/>
  <c r="Q8" i="8"/>
  <c r="Q10" i="8"/>
  <c r="Q31" i="8"/>
  <c r="Q16" i="8"/>
  <c r="Q34" i="8"/>
  <c r="Q80" i="8"/>
  <c r="Q88" i="8"/>
  <c r="Q58" i="8"/>
  <c r="Q68" i="8"/>
  <c r="Q44" i="8"/>
  <c r="Q33" i="8"/>
  <c r="Q57" i="8"/>
  <c r="Q93" i="8"/>
  <c r="Q85" i="8"/>
  <c r="Q75" i="8"/>
  <c r="Q14" i="8"/>
  <c r="Q86" i="8"/>
  <c r="Q94" i="8"/>
  <c r="Q4" i="8"/>
  <c r="Q76" i="8"/>
  <c r="Q20" i="8"/>
  <c r="Q92" i="8"/>
  <c r="Q36" i="8"/>
  <c r="Q84" i="8"/>
  <c r="Q52" i="8"/>
  <c r="Q7" i="8"/>
  <c r="Q17" i="8"/>
  <c r="Q65" i="8"/>
  <c r="Q54" i="8"/>
  <c r="Q59" i="8"/>
  <c r="Q53" i="8"/>
  <c r="Q25" i="8"/>
  <c r="Q49" i="8"/>
  <c r="Q89" i="8"/>
  <c r="Q41" i="8"/>
  <c r="Q73" i="8"/>
  <c r="Q81" i="8"/>
  <c r="Q38" i="8"/>
  <c r="Q37" i="8"/>
  <c r="Q70" i="8"/>
  <c r="Q29" i="8"/>
  <c r="Q46" i="8"/>
  <c r="Q35" i="8"/>
  <c r="Q9" i="8"/>
  <c r="Q21" i="8"/>
  <c r="Q45" i="8"/>
  <c r="Q62" i="8"/>
  <c r="Q67" i="8"/>
  <c r="Q6" i="8"/>
  <c r="Q11" i="8"/>
  <c r="Q61" i="8"/>
  <c r="Q78" i="8"/>
  <c r="Q83" i="8"/>
  <c r="Q5" i="8"/>
  <c r="Q22" i="8"/>
  <c r="Q13" i="8"/>
  <c r="Q30" i="8"/>
  <c r="Q60" i="8"/>
  <c r="Q28" i="8"/>
  <c r="Q15" i="8"/>
  <c r="Q19" i="8"/>
  <c r="Q69" i="8"/>
  <c r="Q27" i="8"/>
  <c r="Q77" i="8"/>
  <c r="Q47" i="8"/>
  <c r="Q40" i="8"/>
  <c r="Q39" i="8"/>
  <c r="Q66" i="8"/>
  <c r="Q55" i="8"/>
  <c r="Q51" i="8"/>
  <c r="Q23" i="8"/>
  <c r="Q90" i="8"/>
  <c r="Q56" i="8"/>
  <c r="Q82" i="8"/>
  <c r="Q63" i="8"/>
  <c r="Q72" i="8"/>
  <c r="Q18" i="8"/>
  <c r="Q26" i="8"/>
  <c r="Q50" i="8"/>
  <c r="Q24" i="8"/>
  <c r="Q42" i="8"/>
  <c r="Q91" i="8"/>
  <c r="Q12" i="8"/>
  <c r="B25" i="8"/>
  <c r="G25" i="8" s="1"/>
  <c r="D20" i="8"/>
  <c r="L19" i="8"/>
  <c r="J19" i="8"/>
  <c r="K19" i="8"/>
  <c r="I19" i="8"/>
  <c r="Y24" i="8"/>
  <c r="X24" i="8"/>
  <c r="Z24" i="8"/>
  <c r="W24" i="8"/>
  <c r="B26" i="8"/>
  <c r="G26" i="8" s="1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E21" i="8"/>
  <c r="F20" i="8"/>
  <c r="Z5" i="8" l="1"/>
  <c r="Y25" i="8"/>
  <c r="W25" i="8"/>
  <c r="Z25" i="8"/>
  <c r="X25" i="8"/>
  <c r="U20" i="8"/>
  <c r="AA20" i="8" s="1"/>
  <c r="B27" i="8"/>
  <c r="G27" i="8" s="1"/>
  <c r="J20" i="8"/>
  <c r="X20" i="8" s="1"/>
  <c r="I20" i="8"/>
  <c r="K20" i="8"/>
  <c r="Y20" i="8" s="1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W20" i="8" l="1"/>
  <c r="Z27" i="8"/>
  <c r="Y27" i="8"/>
  <c r="X27" i="8"/>
  <c r="W27" i="8"/>
  <c r="B28" i="8"/>
  <c r="G28" i="8" s="1"/>
  <c r="U21" i="8"/>
  <c r="Z20" i="8"/>
  <c r="K21" i="8"/>
  <c r="L21" i="8"/>
  <c r="J21" i="8"/>
  <c r="I21" i="8"/>
  <c r="D22" i="8"/>
  <c r="E23" i="8"/>
  <c r="F22" i="8"/>
  <c r="T21" i="8"/>
  <c r="Z28" i="8" l="1"/>
  <c r="B29" i="8"/>
  <c r="G29" i="8" s="1"/>
  <c r="W28" i="8"/>
  <c r="X28" i="8"/>
  <c r="Y28" i="8"/>
  <c r="L22" i="8"/>
  <c r="J22" i="8"/>
  <c r="K22" i="8"/>
  <c r="I22" i="8"/>
  <c r="D23" i="8"/>
  <c r="U22" i="8"/>
  <c r="B30" i="8"/>
  <c r="G30" i="8" s="1"/>
  <c r="T22" i="8"/>
  <c r="E24" i="8"/>
  <c r="F23" i="8"/>
  <c r="AA23" i="8" l="1"/>
  <c r="U23" i="8"/>
  <c r="X30" i="8"/>
  <c r="W30" i="8"/>
  <c r="Z30" i="8"/>
  <c r="Y30" i="8"/>
  <c r="L23" i="8"/>
  <c r="K23" i="8"/>
  <c r="J23" i="8"/>
  <c r="X23" i="8" s="1"/>
  <c r="D24" i="8"/>
  <c r="I23" i="8"/>
  <c r="B31" i="8"/>
  <c r="G31" i="8" s="1"/>
  <c r="T23" i="8"/>
  <c r="E25" i="8"/>
  <c r="F24" i="8"/>
  <c r="W23" i="8" l="1"/>
  <c r="Z23" i="8"/>
  <c r="X31" i="8"/>
  <c r="W31" i="8"/>
  <c r="B32" i="8"/>
  <c r="G32" i="8" s="1"/>
  <c r="U24" i="8"/>
  <c r="Y23" i="8"/>
  <c r="Y31" i="8"/>
  <c r="D25" i="8"/>
  <c r="J24" i="8"/>
  <c r="K24" i="8"/>
  <c r="L24" i="8"/>
  <c r="I24" i="8"/>
  <c r="Z31" i="8"/>
  <c r="T24" i="8"/>
  <c r="E26" i="8"/>
  <c r="F25" i="8"/>
  <c r="U25" i="8" l="1"/>
  <c r="B33" i="8"/>
  <c r="G33" i="8" s="1"/>
  <c r="J25" i="8"/>
  <c r="I25" i="8"/>
  <c r="D26" i="8"/>
  <c r="K25" i="8"/>
  <c r="L25" i="8"/>
  <c r="T25" i="8"/>
  <c r="E27" i="8"/>
  <c r="F26" i="8"/>
  <c r="U26" i="8" l="1"/>
  <c r="AA26" i="8" s="1"/>
  <c r="J26" i="8"/>
  <c r="D27" i="8"/>
  <c r="I26" i="8"/>
  <c r="K26" i="8"/>
  <c r="L26" i="8"/>
  <c r="X33" i="8"/>
  <c r="Y33" i="8"/>
  <c r="Z33" i="8"/>
  <c r="B34" i="8"/>
  <c r="G34" i="8" s="1"/>
  <c r="W33" i="8"/>
  <c r="X26" i="8"/>
  <c r="T26" i="8"/>
  <c r="E28" i="8"/>
  <c r="F27" i="8"/>
  <c r="W26" i="8" l="1"/>
  <c r="Z26" i="8"/>
  <c r="B35" i="8"/>
  <c r="G35" i="8" s="1"/>
  <c r="Z34" i="8"/>
  <c r="Y34" i="8"/>
  <c r="W34" i="8"/>
  <c r="X34" i="8"/>
  <c r="K27" i="8"/>
  <c r="I27" i="8"/>
  <c r="D28" i="8"/>
  <c r="J27" i="8"/>
  <c r="L27" i="8"/>
  <c r="U27" i="8"/>
  <c r="Y26" i="8"/>
  <c r="T27" i="8"/>
  <c r="E29" i="8"/>
  <c r="F28" i="8"/>
  <c r="U28" i="8" l="1"/>
  <c r="K28" i="8"/>
  <c r="J28" i="8"/>
  <c r="I28" i="8"/>
  <c r="L28" i="8"/>
  <c r="D29" i="8"/>
  <c r="B36" i="8"/>
  <c r="G36" i="8" s="1"/>
  <c r="T28" i="8"/>
  <c r="E30" i="8"/>
  <c r="F29" i="8"/>
  <c r="U29" i="8" l="1"/>
  <c r="AA29" i="8" s="1"/>
  <c r="K29" i="8"/>
  <c r="Y29" i="8" s="1"/>
  <c r="L29" i="8"/>
  <c r="I29" i="8"/>
  <c r="J29" i="8"/>
  <c r="X29" i="8" s="1"/>
  <c r="D30" i="8"/>
  <c r="W36" i="8"/>
  <c r="X36" i="8"/>
  <c r="Y36" i="8"/>
  <c r="Z36" i="8"/>
  <c r="B37" i="8"/>
  <c r="G37" i="8" s="1"/>
  <c r="T29" i="8"/>
  <c r="E31" i="8"/>
  <c r="F30" i="8"/>
  <c r="Z29" i="8" l="1"/>
  <c r="W29" i="8"/>
  <c r="I30" i="8"/>
  <c r="L30" i="8"/>
  <c r="J30" i="8"/>
  <c r="D31" i="8"/>
  <c r="K30" i="8"/>
  <c r="W37" i="8"/>
  <c r="X37" i="8"/>
  <c r="Y37" i="8"/>
  <c r="Z37" i="8"/>
  <c r="B38" i="8"/>
  <c r="G38" i="8" s="1"/>
  <c r="U30" i="8"/>
  <c r="T30" i="8"/>
  <c r="E32" i="8"/>
  <c r="F31" i="8"/>
  <c r="K31" i="8" l="1"/>
  <c r="L31" i="8"/>
  <c r="I31" i="8"/>
  <c r="D32" i="8"/>
  <c r="J31" i="8"/>
  <c r="B39" i="8"/>
  <c r="G39" i="8" s="1"/>
  <c r="U31" i="8"/>
  <c r="T31" i="8"/>
  <c r="E33" i="8"/>
  <c r="F32" i="8"/>
  <c r="B40" i="8" l="1"/>
  <c r="G40" i="8" s="1"/>
  <c r="W39" i="8"/>
  <c r="Z39" i="8"/>
  <c r="X39" i="8"/>
  <c r="Y39" i="8"/>
  <c r="L32" i="8"/>
  <c r="I32" i="8"/>
  <c r="J32" i="8"/>
  <c r="K32" i="8"/>
  <c r="D33" i="8"/>
  <c r="U32" i="8"/>
  <c r="AA32" i="8" s="1"/>
  <c r="T32" i="8"/>
  <c r="E34" i="8"/>
  <c r="F33" i="8"/>
  <c r="Y32" i="8" l="1"/>
  <c r="W32" i="8"/>
  <c r="X32" i="8"/>
  <c r="U33" i="8"/>
  <c r="K33" i="8"/>
  <c r="L33" i="8"/>
  <c r="I33" i="8"/>
  <c r="J33" i="8"/>
  <c r="D34" i="8"/>
  <c r="Z32" i="8"/>
  <c r="W40" i="8"/>
  <c r="X40" i="8"/>
  <c r="Z40" i="8"/>
  <c r="B41" i="8"/>
  <c r="G41" i="8" s="1"/>
  <c r="Y40" i="8"/>
  <c r="T33" i="8"/>
  <c r="E35" i="8"/>
  <c r="F34" i="8"/>
  <c r="J34" i="8" l="1"/>
  <c r="D35" i="8"/>
  <c r="K34" i="8"/>
  <c r="L34" i="8"/>
  <c r="I34" i="8"/>
  <c r="B42" i="8"/>
  <c r="G42" i="8" s="1"/>
  <c r="U34" i="8"/>
  <c r="T34" i="8"/>
  <c r="E36" i="8"/>
  <c r="F35" i="8"/>
  <c r="X42" i="8" l="1"/>
  <c r="Y42" i="8"/>
  <c r="W42" i="8"/>
  <c r="Z42" i="8"/>
  <c r="B43" i="8"/>
  <c r="G43" i="8" s="1"/>
  <c r="U35" i="8"/>
  <c r="AA35" i="8" s="1"/>
  <c r="I35" i="8"/>
  <c r="D36" i="8"/>
  <c r="K35" i="8"/>
  <c r="J35" i="8"/>
  <c r="L35" i="8"/>
  <c r="T35" i="8"/>
  <c r="E37" i="8"/>
  <c r="F36" i="8"/>
  <c r="X35" i="8" l="1"/>
  <c r="W35" i="8"/>
  <c r="Z35" i="8"/>
  <c r="Y35" i="8"/>
  <c r="B44" i="8"/>
  <c r="G44" i="8" s="1"/>
  <c r="Z43" i="8"/>
  <c r="W43" i="8"/>
  <c r="X43" i="8"/>
  <c r="Y43" i="8"/>
  <c r="U36" i="8"/>
  <c r="D37" i="8"/>
  <c r="J36" i="8"/>
  <c r="K36" i="8"/>
  <c r="I36" i="8"/>
  <c r="L36" i="8"/>
  <c r="T36" i="8"/>
  <c r="E38" i="8"/>
  <c r="F37" i="8"/>
  <c r="K37" i="8" l="1"/>
  <c r="L37" i="8"/>
  <c r="J37" i="8"/>
  <c r="D38" i="8"/>
  <c r="I37" i="8"/>
  <c r="U37" i="8"/>
  <c r="B45" i="8"/>
  <c r="G45" i="8" s="1"/>
  <c r="T37" i="8"/>
  <c r="E39" i="8"/>
  <c r="F39" i="8" s="1"/>
  <c r="F38" i="8"/>
  <c r="U38" i="8" l="1"/>
  <c r="AA38" i="8" s="1"/>
  <c r="I38" i="8"/>
  <c r="D39" i="8"/>
  <c r="J38" i="8"/>
  <c r="K38" i="8"/>
  <c r="L38" i="8"/>
  <c r="W45" i="8"/>
  <c r="X45" i="8"/>
  <c r="F45" i="8"/>
  <c r="B46" i="8"/>
  <c r="G46" i="8" s="1"/>
  <c r="Y45" i="8"/>
  <c r="Z45" i="8"/>
  <c r="T38" i="8"/>
  <c r="X38" i="8"/>
  <c r="E40" i="8"/>
  <c r="U39" i="8"/>
  <c r="Z38" i="8" l="1"/>
  <c r="W38" i="8"/>
  <c r="F46" i="8"/>
  <c r="B47" i="8"/>
  <c r="G47" i="8" s="1"/>
  <c r="W46" i="8"/>
  <c r="Y46" i="8"/>
  <c r="X46" i="8"/>
  <c r="Z46" i="8"/>
  <c r="U45" i="8"/>
  <c r="T45" i="8"/>
  <c r="I39" i="8"/>
  <c r="J39" i="8"/>
  <c r="K39" i="8"/>
  <c r="L39" i="8"/>
  <c r="D40" i="8"/>
  <c r="Y38" i="8"/>
  <c r="T39" i="8"/>
  <c r="E41" i="8"/>
  <c r="F40" i="8"/>
  <c r="U40" i="8" l="1"/>
  <c r="B48" i="8"/>
  <c r="G48" i="8" s="1"/>
  <c r="F47" i="8"/>
  <c r="T46" i="8"/>
  <c r="U46" i="8"/>
  <c r="L40" i="8"/>
  <c r="I40" i="8"/>
  <c r="D41" i="8"/>
  <c r="K40" i="8"/>
  <c r="J40" i="8"/>
  <c r="T40" i="8"/>
  <c r="E42" i="8"/>
  <c r="F41" i="8"/>
  <c r="AA41" i="8" l="1"/>
  <c r="U41" i="8"/>
  <c r="T47" i="8"/>
  <c r="U47" i="8"/>
  <c r="AA47" i="8" s="1"/>
  <c r="F48" i="8"/>
  <c r="W48" i="8"/>
  <c r="B49" i="8"/>
  <c r="G49" i="8" s="1"/>
  <c r="X48" i="8"/>
  <c r="Y48" i="8"/>
  <c r="Z48" i="8"/>
  <c r="K41" i="8"/>
  <c r="L41" i="8"/>
  <c r="J41" i="8"/>
  <c r="X41" i="8" s="1"/>
  <c r="I41" i="8"/>
  <c r="D42" i="8"/>
  <c r="T41" i="8"/>
  <c r="F42" i="8"/>
  <c r="E43" i="8"/>
  <c r="W41" i="8" l="1"/>
  <c r="U42" i="8"/>
  <c r="W49" i="8"/>
  <c r="Y49" i="8"/>
  <c r="Z49" i="8"/>
  <c r="F49" i="8"/>
  <c r="X49" i="8"/>
  <c r="B50" i="8"/>
  <c r="G50" i="8" s="1"/>
  <c r="Y41" i="8"/>
  <c r="K42" i="8"/>
  <c r="L42" i="8"/>
  <c r="I42" i="8"/>
  <c r="J42" i="8"/>
  <c r="D43" i="8"/>
  <c r="Z41" i="8"/>
  <c r="U48" i="8"/>
  <c r="T48" i="8"/>
  <c r="E44" i="8"/>
  <c r="F43" i="8"/>
  <c r="T42" i="8"/>
  <c r="U49" i="8" l="1"/>
  <c r="T49" i="8"/>
  <c r="D44" i="8"/>
  <c r="J43" i="8"/>
  <c r="K43" i="8"/>
  <c r="L43" i="8"/>
  <c r="I43" i="8"/>
  <c r="B51" i="8"/>
  <c r="G51" i="8" s="1"/>
  <c r="F50" i="8"/>
  <c r="U43" i="8"/>
  <c r="T43" i="8"/>
  <c r="E45" i="8"/>
  <c r="E46" i="8" s="1"/>
  <c r="E47" i="8" s="1"/>
  <c r="E48" i="8" s="1"/>
  <c r="E49" i="8" s="1"/>
  <c r="E50" i="8" s="1"/>
  <c r="F44" i="8"/>
  <c r="AA44" i="8" l="1"/>
  <c r="E51" i="8"/>
  <c r="K44" i="8"/>
  <c r="I44" i="8"/>
  <c r="W44" i="8" s="1"/>
  <c r="J44" i="8"/>
  <c r="X44" i="8" s="1"/>
  <c r="D45" i="8"/>
  <c r="L44" i="8"/>
  <c r="U50" i="8"/>
  <c r="AA50" i="8" s="1"/>
  <c r="T50" i="8"/>
  <c r="U44" i="8"/>
  <c r="Z51" i="8"/>
  <c r="F51" i="8"/>
  <c r="B52" i="8"/>
  <c r="G52" i="8" s="1"/>
  <c r="W51" i="8"/>
  <c r="Y51" i="8"/>
  <c r="X51" i="8"/>
  <c r="E52" i="8"/>
  <c r="T44" i="8"/>
  <c r="Z44" i="8" l="1"/>
  <c r="Y44" i="8"/>
  <c r="Y52" i="8"/>
  <c r="W52" i="8"/>
  <c r="B53" i="8"/>
  <c r="X52" i="8"/>
  <c r="Z52" i="8"/>
  <c r="F52" i="8"/>
  <c r="U51" i="8"/>
  <c r="T51" i="8"/>
  <c r="I45" i="8"/>
  <c r="J45" i="8"/>
  <c r="K45" i="8"/>
  <c r="D46" i="8"/>
  <c r="L45" i="8"/>
  <c r="E53" i="8" l="1"/>
  <c r="G53" i="8"/>
  <c r="F53" i="8"/>
  <c r="B54" i="8"/>
  <c r="L46" i="8"/>
  <c r="D47" i="8"/>
  <c r="I46" i="8"/>
  <c r="J46" i="8"/>
  <c r="K46" i="8"/>
  <c r="U52" i="8"/>
  <c r="T52" i="8"/>
  <c r="E54" i="8" l="1"/>
  <c r="G54" i="8"/>
  <c r="J47" i="8"/>
  <c r="X47" i="8" s="1"/>
  <c r="K47" i="8"/>
  <c r="Y47" i="8" s="1"/>
  <c r="I47" i="8"/>
  <c r="W47" i="8" s="1"/>
  <c r="D48" i="8"/>
  <c r="L47" i="8"/>
  <c r="Z47" i="8" s="1"/>
  <c r="B55" i="8"/>
  <c r="G55" i="8" s="1"/>
  <c r="W54" i="8"/>
  <c r="X54" i="8"/>
  <c r="Y54" i="8"/>
  <c r="F54" i="8"/>
  <c r="Z54" i="8"/>
  <c r="U53" i="8"/>
  <c r="AA53" i="8" s="1"/>
  <c r="T53" i="8"/>
  <c r="Z55" i="8" l="1"/>
  <c r="X55" i="8"/>
  <c r="W55" i="8"/>
  <c r="F55" i="8"/>
  <c r="Y55" i="8"/>
  <c r="B56" i="8"/>
  <c r="G56" i="8" s="1"/>
  <c r="T54" i="8"/>
  <c r="U54" i="8"/>
  <c r="I48" i="8"/>
  <c r="D49" i="8"/>
  <c r="K48" i="8"/>
  <c r="J48" i="8"/>
  <c r="L48" i="8"/>
  <c r="E55" i="8"/>
  <c r="T55" i="8" l="1"/>
  <c r="U55" i="8"/>
  <c r="L49" i="8"/>
  <c r="I49" i="8"/>
  <c r="J49" i="8"/>
  <c r="K49" i="8"/>
  <c r="D50" i="8"/>
  <c r="E56" i="8"/>
  <c r="B57" i="8"/>
  <c r="G57" i="8" s="1"/>
  <c r="F56" i="8"/>
  <c r="B58" i="8" l="1"/>
  <c r="G58" i="8" s="1"/>
  <c r="W57" i="8"/>
  <c r="Y57" i="8"/>
  <c r="X57" i="8"/>
  <c r="Z57" i="8"/>
  <c r="F57" i="8"/>
  <c r="E57" i="8"/>
  <c r="U56" i="8"/>
  <c r="AA56" i="8" s="1"/>
  <c r="T56" i="8"/>
  <c r="J50" i="8"/>
  <c r="X50" i="8" s="1"/>
  <c r="K50" i="8"/>
  <c r="Y50" i="8" s="1"/>
  <c r="I50" i="8"/>
  <c r="W50" i="8" s="1"/>
  <c r="D51" i="8"/>
  <c r="L50" i="8"/>
  <c r="Z50" i="8" s="1"/>
  <c r="U57" i="8" l="1"/>
  <c r="T57" i="8"/>
  <c r="L51" i="8"/>
  <c r="J51" i="8"/>
  <c r="K51" i="8"/>
  <c r="D52" i="8"/>
  <c r="I51" i="8"/>
  <c r="B59" i="8"/>
  <c r="G59" i="8" s="1"/>
  <c r="Y58" i="8"/>
  <c r="Z58" i="8"/>
  <c r="W58" i="8"/>
  <c r="X58" i="8"/>
  <c r="E58" i="8"/>
  <c r="F58" i="8"/>
  <c r="B60" i="8" l="1"/>
  <c r="G60" i="8" s="1"/>
  <c r="F59" i="8"/>
  <c r="E59" i="8"/>
  <c r="T58" i="8"/>
  <c r="U58" i="8"/>
  <c r="I52" i="8"/>
  <c r="D53" i="8"/>
  <c r="K52" i="8"/>
  <c r="J52" i="8"/>
  <c r="L52" i="8"/>
  <c r="AA59" i="8" l="1"/>
  <c r="U59" i="8"/>
  <c r="T59" i="8"/>
  <c r="L53" i="8"/>
  <c r="Z53" i="8" s="1"/>
  <c r="I53" i="8"/>
  <c r="W53" i="8" s="1"/>
  <c r="D54" i="8"/>
  <c r="J53" i="8"/>
  <c r="X53" i="8" s="1"/>
  <c r="K53" i="8"/>
  <c r="Y53" i="8" s="1"/>
  <c r="Z60" i="8"/>
  <c r="F60" i="8"/>
  <c r="Y60" i="8"/>
  <c r="W60" i="8"/>
  <c r="B61" i="8"/>
  <c r="G61" i="8" s="1"/>
  <c r="X60" i="8"/>
  <c r="E60" i="8"/>
  <c r="T60" i="8" l="1"/>
  <c r="U60" i="8"/>
  <c r="E61" i="8"/>
  <c r="D55" i="8"/>
  <c r="L54" i="8"/>
  <c r="I54" i="8"/>
  <c r="J54" i="8"/>
  <c r="K54" i="8"/>
  <c r="X61" i="8"/>
  <c r="Z61" i="8"/>
  <c r="F61" i="8"/>
  <c r="W61" i="8"/>
  <c r="Y61" i="8"/>
  <c r="B62" i="8"/>
  <c r="G62" i="8" s="1"/>
  <c r="L55" i="8" l="1"/>
  <c r="D56" i="8"/>
  <c r="J55" i="8"/>
  <c r="I55" i="8"/>
  <c r="K55" i="8"/>
  <c r="E62" i="8"/>
  <c r="B63" i="8"/>
  <c r="G63" i="8" s="1"/>
  <c r="F62" i="8"/>
  <c r="U61" i="8"/>
  <c r="T61" i="8"/>
  <c r="AA62" i="8" l="1"/>
  <c r="E63" i="8"/>
  <c r="W63" i="8"/>
  <c r="X63" i="8"/>
  <c r="Y63" i="8"/>
  <c r="Z63" i="8"/>
  <c r="F63" i="8"/>
  <c r="B64" i="8"/>
  <c r="G64" i="8" s="1"/>
  <c r="K56" i="8"/>
  <c r="Y56" i="8" s="1"/>
  <c r="J56" i="8"/>
  <c r="X56" i="8" s="1"/>
  <c r="L56" i="8"/>
  <c r="Z56" i="8" s="1"/>
  <c r="I56" i="8"/>
  <c r="W56" i="8" s="1"/>
  <c r="D57" i="8"/>
  <c r="U62" i="8"/>
  <c r="T62" i="8"/>
  <c r="D58" i="8" l="1"/>
  <c r="K57" i="8"/>
  <c r="L57" i="8"/>
  <c r="I57" i="8"/>
  <c r="J57" i="8"/>
  <c r="U63" i="8"/>
  <c r="T63" i="8"/>
  <c r="Z64" i="8"/>
  <c r="B65" i="8"/>
  <c r="G65" i="8" s="1"/>
  <c r="X64" i="8"/>
  <c r="Y64" i="8"/>
  <c r="F64" i="8"/>
  <c r="E64" i="8"/>
  <c r="W64" i="8"/>
  <c r="B66" i="8" l="1"/>
  <c r="G66" i="8" s="1"/>
  <c r="F65" i="8"/>
  <c r="U64" i="8"/>
  <c r="T64" i="8"/>
  <c r="E65" i="8"/>
  <c r="J58" i="8"/>
  <c r="K58" i="8"/>
  <c r="D59" i="8"/>
  <c r="L58" i="8"/>
  <c r="I58" i="8"/>
  <c r="AA65" i="8" l="1"/>
  <c r="U65" i="8"/>
  <c r="T65" i="8"/>
  <c r="E66" i="8"/>
  <c r="F66" i="8"/>
  <c r="X66" i="8"/>
  <c r="W66" i="8"/>
  <c r="B67" i="8"/>
  <c r="G67" i="8" s="1"/>
  <c r="Y66" i="8"/>
  <c r="Z66" i="8"/>
  <c r="J59" i="8"/>
  <c r="X59" i="8" s="1"/>
  <c r="K59" i="8"/>
  <c r="Y59" i="8" s="1"/>
  <c r="L59" i="8"/>
  <c r="Z59" i="8" s="1"/>
  <c r="D60" i="8"/>
  <c r="I59" i="8"/>
  <c r="W59" i="8" s="1"/>
  <c r="U66" i="8" l="1"/>
  <c r="T66" i="8"/>
  <c r="W67" i="8"/>
  <c r="X67" i="8"/>
  <c r="E67" i="8"/>
  <c r="Z67" i="8"/>
  <c r="B68" i="8"/>
  <c r="G68" i="8" s="1"/>
  <c r="Y67" i="8"/>
  <c r="F67" i="8"/>
  <c r="D61" i="8"/>
  <c r="I60" i="8"/>
  <c r="K60" i="8"/>
  <c r="L60" i="8"/>
  <c r="J60" i="8"/>
  <c r="L61" i="8" l="1"/>
  <c r="I61" i="8"/>
  <c r="J61" i="8"/>
  <c r="D62" i="8"/>
  <c r="K61" i="8"/>
  <c r="U67" i="8"/>
  <c r="T67" i="8"/>
  <c r="E68" i="8"/>
  <c r="B69" i="8"/>
  <c r="G69" i="8" s="1"/>
  <c r="F68" i="8"/>
  <c r="T68" i="8" l="1"/>
  <c r="U68" i="8"/>
  <c r="AA68" i="8" s="1"/>
  <c r="J62" i="8"/>
  <c r="X62" i="8" s="1"/>
  <c r="K62" i="8"/>
  <c r="Y62" i="8" s="1"/>
  <c r="D63" i="8"/>
  <c r="L62" i="8"/>
  <c r="Z62" i="8" s="1"/>
  <c r="I62" i="8"/>
  <c r="W62" i="8" s="1"/>
  <c r="W69" i="8"/>
  <c r="X69" i="8"/>
  <c r="B70" i="8"/>
  <c r="G70" i="8" s="1"/>
  <c r="Y69" i="8"/>
  <c r="Z69" i="8"/>
  <c r="F69" i="8"/>
  <c r="E69" i="8"/>
  <c r="W70" i="8" l="1"/>
  <c r="Y70" i="8"/>
  <c r="X70" i="8"/>
  <c r="F70" i="8"/>
  <c r="B71" i="8"/>
  <c r="G71" i="8" s="1"/>
  <c r="E70" i="8"/>
  <c r="Z70" i="8"/>
  <c r="L63" i="8"/>
  <c r="D64" i="8"/>
  <c r="K63" i="8"/>
  <c r="I63" i="8"/>
  <c r="J63" i="8"/>
  <c r="T69" i="8"/>
  <c r="U69" i="8"/>
  <c r="B72" i="8" l="1"/>
  <c r="G72" i="8" s="1"/>
  <c r="F71" i="8"/>
  <c r="T70" i="8"/>
  <c r="U70" i="8"/>
  <c r="E71" i="8"/>
  <c r="L64" i="8"/>
  <c r="I64" i="8"/>
  <c r="D65" i="8"/>
  <c r="K64" i="8"/>
  <c r="J64" i="8"/>
  <c r="U71" i="8" l="1"/>
  <c r="AA71" i="8" s="1"/>
  <c r="T71" i="8"/>
  <c r="W72" i="8"/>
  <c r="Y72" i="8"/>
  <c r="Z72" i="8"/>
  <c r="F72" i="8"/>
  <c r="E72" i="8"/>
  <c r="B73" i="8"/>
  <c r="G73" i="8" s="1"/>
  <c r="X72" i="8"/>
  <c r="L65" i="8"/>
  <c r="Z65" i="8" s="1"/>
  <c r="D66" i="8"/>
  <c r="J65" i="8"/>
  <c r="X65" i="8" s="1"/>
  <c r="I65" i="8"/>
  <c r="W65" i="8" s="1"/>
  <c r="K65" i="8"/>
  <c r="Y65" i="8" s="1"/>
  <c r="K66" i="8" l="1"/>
  <c r="D67" i="8"/>
  <c r="J66" i="8"/>
  <c r="L66" i="8"/>
  <c r="I66" i="8"/>
  <c r="E73" i="8"/>
  <c r="W73" i="8"/>
  <c r="X73" i="8"/>
  <c r="Z73" i="8"/>
  <c r="F73" i="8"/>
  <c r="B74" i="8"/>
  <c r="G74" i="8" s="1"/>
  <c r="Y73" i="8"/>
  <c r="T72" i="8"/>
  <c r="U72" i="8"/>
  <c r="F74" i="8" l="1"/>
  <c r="E74" i="8"/>
  <c r="B75" i="8"/>
  <c r="G75" i="8" s="1"/>
  <c r="J67" i="8"/>
  <c r="K67" i="8"/>
  <c r="I67" i="8"/>
  <c r="L67" i="8"/>
  <c r="D68" i="8"/>
  <c r="U73" i="8"/>
  <c r="T73" i="8"/>
  <c r="W75" i="8" l="1"/>
  <c r="F75" i="8"/>
  <c r="X75" i="8"/>
  <c r="Y75" i="8"/>
  <c r="Z75" i="8"/>
  <c r="B76" i="8"/>
  <c r="G76" i="8" s="1"/>
  <c r="E75" i="8"/>
  <c r="T74" i="8"/>
  <c r="U74" i="8"/>
  <c r="AA74" i="8" s="1"/>
  <c r="D69" i="8"/>
  <c r="J68" i="8"/>
  <c r="X68" i="8" s="1"/>
  <c r="K68" i="8"/>
  <c r="Y68" i="8" s="1"/>
  <c r="L68" i="8"/>
  <c r="Z68" i="8" s="1"/>
  <c r="I68" i="8"/>
  <c r="W68" i="8" s="1"/>
  <c r="K69" i="8" l="1"/>
  <c r="L69" i="8"/>
  <c r="I69" i="8"/>
  <c r="J69" i="8"/>
  <c r="D70" i="8"/>
  <c r="W76" i="8"/>
  <c r="B77" i="8"/>
  <c r="G77" i="8" s="1"/>
  <c r="Y76" i="8"/>
  <c r="X76" i="8"/>
  <c r="Z76" i="8"/>
  <c r="F76" i="8"/>
  <c r="E76" i="8"/>
  <c r="T75" i="8"/>
  <c r="U75" i="8"/>
  <c r="K70" i="8" l="1"/>
  <c r="L70" i="8"/>
  <c r="J70" i="8"/>
  <c r="D71" i="8"/>
  <c r="I70" i="8"/>
  <c r="T76" i="8"/>
  <c r="U76" i="8"/>
  <c r="B78" i="8"/>
  <c r="G78" i="8" s="1"/>
  <c r="F77" i="8"/>
  <c r="E77" i="8"/>
  <c r="K71" i="8" l="1"/>
  <c r="Y71" i="8" s="1"/>
  <c r="L71" i="8"/>
  <c r="Z71" i="8" s="1"/>
  <c r="I71" i="8"/>
  <c r="W71" i="8" s="1"/>
  <c r="D72" i="8"/>
  <c r="J71" i="8"/>
  <c r="X71" i="8" s="1"/>
  <c r="U77" i="8"/>
  <c r="AA77" i="8" s="1"/>
  <c r="T77" i="8"/>
  <c r="Z78" i="8"/>
  <c r="E78" i="8"/>
  <c r="F78" i="8"/>
  <c r="B79" i="8"/>
  <c r="G79" i="8" s="1"/>
  <c r="W78" i="8"/>
  <c r="X78" i="8"/>
  <c r="Y78" i="8"/>
  <c r="U78" i="8" l="1"/>
  <c r="T78" i="8"/>
  <c r="I72" i="8"/>
  <c r="D73" i="8"/>
  <c r="K72" i="8"/>
  <c r="J72" i="8"/>
  <c r="L72" i="8"/>
  <c r="X79" i="8"/>
  <c r="W79" i="8"/>
  <c r="Y79" i="8"/>
  <c r="F79" i="8"/>
  <c r="B80" i="8"/>
  <c r="G80" i="8" s="1"/>
  <c r="Z79" i="8"/>
  <c r="E79" i="8"/>
  <c r="U79" i="8" l="1"/>
  <c r="T79" i="8"/>
  <c r="E80" i="8"/>
  <c r="B81" i="8"/>
  <c r="G81" i="8" s="1"/>
  <c r="F80" i="8"/>
  <c r="J73" i="8"/>
  <c r="D74" i="8"/>
  <c r="K73" i="8"/>
  <c r="I73" i="8"/>
  <c r="L73" i="8"/>
  <c r="I74" i="8" l="1"/>
  <c r="W74" i="8" s="1"/>
  <c r="J74" i="8"/>
  <c r="X74" i="8" s="1"/>
  <c r="K74" i="8"/>
  <c r="Y74" i="8" s="1"/>
  <c r="D75" i="8"/>
  <c r="L74" i="8"/>
  <c r="Z74" i="8" s="1"/>
  <c r="Y81" i="8"/>
  <c r="Z81" i="8"/>
  <c r="B82" i="8"/>
  <c r="G82" i="8" s="1"/>
  <c r="X81" i="8"/>
  <c r="F81" i="8"/>
  <c r="W81" i="8"/>
  <c r="E81" i="8"/>
  <c r="E82" i="8" s="1"/>
  <c r="U80" i="8"/>
  <c r="AA80" i="8" s="1"/>
  <c r="T80" i="8"/>
  <c r="D76" i="8" l="1"/>
  <c r="I75" i="8"/>
  <c r="K75" i="8"/>
  <c r="J75" i="8"/>
  <c r="L75" i="8"/>
  <c r="U81" i="8"/>
  <c r="T81" i="8"/>
  <c r="F82" i="8"/>
  <c r="Z82" i="8"/>
  <c r="X82" i="8"/>
  <c r="W82" i="8"/>
  <c r="Y82" i="8"/>
  <c r="B83" i="8"/>
  <c r="G83" i="8" s="1"/>
  <c r="U82" i="8" l="1"/>
  <c r="T82" i="8"/>
  <c r="E83" i="8"/>
  <c r="F83" i="8"/>
  <c r="B84" i="8"/>
  <c r="G84" i="8" s="1"/>
  <c r="L76" i="8"/>
  <c r="I76" i="8"/>
  <c r="D77" i="8"/>
  <c r="J76" i="8"/>
  <c r="K76" i="8"/>
  <c r="E84" i="8" l="1"/>
  <c r="U83" i="8"/>
  <c r="AA83" i="8" s="1"/>
  <c r="T83" i="8"/>
  <c r="I77" i="8"/>
  <c r="W77" i="8" s="1"/>
  <c r="J77" i="8"/>
  <c r="X77" i="8" s="1"/>
  <c r="L77" i="8"/>
  <c r="Z77" i="8" s="1"/>
  <c r="K77" i="8"/>
  <c r="Y77" i="8" s="1"/>
  <c r="D78" i="8"/>
  <c r="X84" i="8"/>
  <c r="B85" i="8"/>
  <c r="G85" i="8" s="1"/>
  <c r="W84" i="8"/>
  <c r="Y84" i="8"/>
  <c r="F84" i="8"/>
  <c r="Z84" i="8"/>
  <c r="X85" i="8" l="1"/>
  <c r="Z85" i="8"/>
  <c r="B86" i="8"/>
  <c r="G86" i="8" s="1"/>
  <c r="E85" i="8"/>
  <c r="Y85" i="8"/>
  <c r="F85" i="8"/>
  <c r="W85" i="8"/>
  <c r="D79" i="8"/>
  <c r="L78" i="8"/>
  <c r="J78" i="8"/>
  <c r="K78" i="8"/>
  <c r="I78" i="8"/>
  <c r="U84" i="8"/>
  <c r="T84" i="8"/>
  <c r="E86" i="8" l="1"/>
  <c r="T85" i="8"/>
  <c r="U85" i="8"/>
  <c r="B87" i="8"/>
  <c r="G87" i="8" s="1"/>
  <c r="F86" i="8"/>
  <c r="K79" i="8"/>
  <c r="L79" i="8"/>
  <c r="I79" i="8"/>
  <c r="J79" i="8"/>
  <c r="D80" i="8"/>
  <c r="AA86" i="8" l="1"/>
  <c r="U86" i="8"/>
  <c r="T86" i="8"/>
  <c r="E87" i="8"/>
  <c r="W87" i="8"/>
  <c r="Y87" i="8"/>
  <c r="Z87" i="8"/>
  <c r="F87" i="8"/>
  <c r="X87" i="8"/>
  <c r="B88" i="8"/>
  <c r="G88" i="8" s="1"/>
  <c r="K80" i="8"/>
  <c r="Y80" i="8" s="1"/>
  <c r="L80" i="8"/>
  <c r="Z80" i="8" s="1"/>
  <c r="I80" i="8"/>
  <c r="W80" i="8" s="1"/>
  <c r="D81" i="8"/>
  <c r="J80" i="8"/>
  <c r="X80" i="8" s="1"/>
  <c r="Y88" i="8" l="1"/>
  <c r="X88" i="8"/>
  <c r="W88" i="8"/>
  <c r="F88" i="8"/>
  <c r="E88" i="8"/>
  <c r="Z88" i="8"/>
  <c r="B89" i="8"/>
  <c r="G89" i="8" s="1"/>
  <c r="U87" i="8"/>
  <c r="T87" i="8"/>
  <c r="K81" i="8"/>
  <c r="J81" i="8"/>
  <c r="L81" i="8"/>
  <c r="D82" i="8"/>
  <c r="I81" i="8"/>
  <c r="E89" i="8" l="1"/>
  <c r="T88" i="8"/>
  <c r="U88" i="8"/>
  <c r="F89" i="8"/>
  <c r="B90" i="8"/>
  <c r="G90" i="8" s="1"/>
  <c r="I82" i="8"/>
  <c r="J82" i="8"/>
  <c r="L82" i="8"/>
  <c r="K82" i="8"/>
  <c r="D83" i="8"/>
  <c r="AA89" i="8" l="1"/>
  <c r="U89" i="8"/>
  <c r="T89" i="8"/>
  <c r="K83" i="8"/>
  <c r="Y83" i="8" s="1"/>
  <c r="J83" i="8"/>
  <c r="X83" i="8" s="1"/>
  <c r="L83" i="8"/>
  <c r="Z83" i="8" s="1"/>
  <c r="I83" i="8"/>
  <c r="W83" i="8" s="1"/>
  <c r="D84" i="8"/>
  <c r="W90" i="8"/>
  <c r="F90" i="8"/>
  <c r="E90" i="8"/>
  <c r="X90" i="8"/>
  <c r="B91" i="8"/>
  <c r="G91" i="8" s="1"/>
  <c r="Y90" i="8"/>
  <c r="Z90" i="8"/>
  <c r="T90" i="8" l="1"/>
  <c r="U90" i="8"/>
  <c r="K84" i="8"/>
  <c r="J84" i="8"/>
  <c r="I84" i="8"/>
  <c r="L84" i="8"/>
  <c r="D85" i="8"/>
  <c r="X91" i="8"/>
  <c r="W91" i="8"/>
  <c r="Z91" i="8"/>
  <c r="Y91" i="8"/>
  <c r="B92" i="8"/>
  <c r="G92" i="8" s="1"/>
  <c r="F91" i="8"/>
  <c r="E91" i="8"/>
  <c r="E92" i="8" l="1"/>
  <c r="I85" i="8"/>
  <c r="J85" i="8"/>
  <c r="K85" i="8"/>
  <c r="D86" i="8"/>
  <c r="L85" i="8"/>
  <c r="U91" i="8"/>
  <c r="T91" i="8"/>
  <c r="F92" i="8"/>
  <c r="B93" i="8"/>
  <c r="G93" i="8" s="1"/>
  <c r="W93" i="8" l="1"/>
  <c r="E93" i="8"/>
  <c r="X93" i="8"/>
  <c r="Y93" i="8"/>
  <c r="Z93" i="8"/>
  <c r="F93" i="8"/>
  <c r="B94" i="8"/>
  <c r="G94" i="8" s="1"/>
  <c r="U92" i="8"/>
  <c r="AA92" i="8" s="1"/>
  <c r="T92" i="8"/>
  <c r="D87" i="8"/>
  <c r="L86" i="8"/>
  <c r="Z86" i="8" s="1"/>
  <c r="I86" i="8"/>
  <c r="W86" i="8" s="1"/>
  <c r="K86" i="8"/>
  <c r="Y86" i="8" s="1"/>
  <c r="J86" i="8"/>
  <c r="X86" i="8" s="1"/>
  <c r="U93" i="8" l="1"/>
  <c r="T93" i="8"/>
  <c r="L87" i="8"/>
  <c r="D88" i="8"/>
  <c r="J87" i="8"/>
  <c r="K87" i="8"/>
  <c r="I87" i="8"/>
  <c r="Y94" i="8"/>
  <c r="Z94" i="8"/>
  <c r="W94" i="8"/>
  <c r="F94" i="8"/>
  <c r="N65" i="7"/>
  <c r="X94" i="8"/>
  <c r="E94" i="8"/>
  <c r="D89" i="8" l="1"/>
  <c r="J88" i="8"/>
  <c r="I88" i="8"/>
  <c r="K88" i="8"/>
  <c r="L88" i="8"/>
  <c r="T94" i="8"/>
  <c r="U94" i="8"/>
  <c r="F1" i="8"/>
  <c r="J89" i="8" l="1"/>
  <c r="X89" i="8" s="1"/>
  <c r="D90" i="8"/>
  <c r="K89" i="8"/>
  <c r="Y89" i="8" s="1"/>
  <c r="L89" i="8"/>
  <c r="Z89" i="8" s="1"/>
  <c r="I89" i="8"/>
  <c r="W89" i="8" s="1"/>
  <c r="D91" i="8" l="1"/>
  <c r="L90" i="8"/>
  <c r="I90" i="8"/>
  <c r="J90" i="8"/>
  <c r="K90" i="8"/>
  <c r="L91" i="8" l="1"/>
  <c r="D92" i="8"/>
  <c r="J91" i="8"/>
  <c r="K91" i="8"/>
  <c r="I91" i="8"/>
  <c r="I92" i="8" l="1"/>
  <c r="W92" i="8" s="1"/>
  <c r="D65" i="7" s="1"/>
  <c r="K66" i="7" s="1"/>
  <c r="J92" i="8"/>
  <c r="X92" i="8" s="1"/>
  <c r="K65" i="7" s="1"/>
  <c r="D93" i="8"/>
  <c r="K92" i="8"/>
  <c r="Y92" i="8" s="1"/>
  <c r="L65" i="7" s="1"/>
  <c r="L92" i="8"/>
  <c r="Z92" i="8" s="1"/>
  <c r="M65" i="7" s="1"/>
  <c r="C46" i="5" l="1"/>
  <c r="N66" i="7"/>
  <c r="L93" i="8"/>
  <c r="I93" i="8"/>
  <c r="D94" i="8"/>
  <c r="J93" i="8"/>
  <c r="K93" i="8"/>
  <c r="I94" i="8" l="1"/>
  <c r="J94" i="8"/>
  <c r="K94" i="8"/>
  <c r="L94" i="8"/>
  <c r="L66" i="7"/>
  <c r="M66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<sst xmlns="http://schemas.openxmlformats.org/spreadsheetml/2006/main" count="405" uniqueCount="149">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</sst>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0" fillId="0" borderId="0" xfId="3" applyFont="1"/>
    <xf numFmtId="44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8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59</v>
      </c>
      <c r="C1" s="70">
        <v>43101</v>
      </c>
    </row>
    <row r="2" spans="2:12" x14ac:dyDescent="0.35">
      <c r="B2" s="67" t="s">
        <v>73</v>
      </c>
      <c r="C2" s="71">
        <v>36</v>
      </c>
    </row>
    <row r="3" spans="2:12" x14ac:dyDescent="0.35">
      <c r="B3" s="67" t="s">
        <v>123</v>
      </c>
      <c r="C3" s="55" t="s">
        <v>125</v>
      </c>
    </row>
    <row r="4" spans="2:12" x14ac:dyDescent="0.35">
      <c r="B4" s="67" t="s">
        <v>132</v>
      </c>
      <c r="C4" s="55" t="s">
        <v>41</v>
      </c>
    </row>
    <row r="5" spans="2:12" x14ac:dyDescent="0.3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3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3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3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35">
      <c r="B9" s="69" t="s">
        <v>140</v>
      </c>
      <c r="D9" s="55" t="s">
        <v>29</v>
      </c>
      <c r="E9" s="55" t="s">
        <v>3</v>
      </c>
      <c r="F9" s="55"/>
      <c r="G9" s="55"/>
      <c r="H9" s="56"/>
    </row>
    <row r="10" spans="2:12" ht="18" customHeight="1" x14ac:dyDescent="0.35">
      <c r="B10" s="69" t="s">
        <v>4</v>
      </c>
      <c r="D10" s="55">
        <v>50000</v>
      </c>
      <c r="E10" s="55">
        <v>50000</v>
      </c>
      <c r="F10" s="55"/>
      <c r="G10" s="55"/>
      <c r="H10" s="56"/>
      <c r="L10" t="s">
        <v>124</v>
      </c>
    </row>
    <row r="11" spans="2:12" ht="18" customHeight="1" x14ac:dyDescent="0.35">
      <c r="B11" s="69" t="s">
        <v>111</v>
      </c>
      <c r="D11" s="55">
        <v>1</v>
      </c>
      <c r="E11" s="55">
        <v>3</v>
      </c>
      <c r="F11" s="55"/>
      <c r="G11" s="55"/>
      <c r="H11" s="56"/>
      <c r="L11" t="s">
        <v>125</v>
      </c>
    </row>
    <row r="12" spans="2:12" ht="18" customHeight="1" x14ac:dyDescent="0.35">
      <c r="B12" s="69" t="s">
        <v>98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35">
      <c r="B13" s="69" t="s">
        <v>7</v>
      </c>
      <c r="D13" s="55" t="s">
        <v>29</v>
      </c>
      <c r="E13" s="55" t="s">
        <v>29</v>
      </c>
      <c r="F13" s="55"/>
      <c r="G13" s="55"/>
      <c r="H13" s="56"/>
      <c r="L13" t="s">
        <v>41</v>
      </c>
    </row>
    <row r="14" spans="2:12" ht="18" customHeight="1" x14ac:dyDescent="0.35">
      <c r="B14" s="69" t="s">
        <v>8</v>
      </c>
      <c r="D14" s="55" t="s">
        <v>29</v>
      </c>
      <c r="E14" s="55" t="s">
        <v>29</v>
      </c>
      <c r="F14" s="55"/>
      <c r="G14" s="55"/>
      <c r="H14" s="56"/>
      <c r="L14" t="s">
        <v>42</v>
      </c>
    </row>
    <row r="15" spans="2:12" ht="18" customHeight="1" x14ac:dyDescent="0.35">
      <c r="B15" s="69" t="s">
        <v>22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35">
      <c r="B16" s="69" t="s">
        <v>9</v>
      </c>
      <c r="D16" s="55" t="s">
        <v>29</v>
      </c>
      <c r="E16" s="55" t="s">
        <v>29</v>
      </c>
      <c r="F16" s="55"/>
      <c r="G16" s="55"/>
      <c r="H16" s="56"/>
      <c r="L16" t="s">
        <v>3</v>
      </c>
    </row>
    <row r="17" spans="2:12" ht="18" customHeight="1" x14ac:dyDescent="0.35">
      <c r="B17" s="69" t="s">
        <v>10</v>
      </c>
      <c r="D17" s="55" t="s">
        <v>29</v>
      </c>
      <c r="E17" s="55" t="s">
        <v>29</v>
      </c>
      <c r="F17" s="55"/>
      <c r="G17" s="55"/>
      <c r="H17" s="56"/>
      <c r="L17" t="s">
        <v>29</v>
      </c>
    </row>
    <row r="18" spans="2:12" ht="18" customHeight="1" x14ac:dyDescent="0.35">
      <c r="B18" s="69" t="s">
        <v>78</v>
      </c>
      <c r="D18" s="55" t="s">
        <v>29</v>
      </c>
      <c r="E18" s="55" t="s">
        <v>29</v>
      </c>
      <c r="F18" s="55"/>
      <c r="G18" s="55"/>
      <c r="H18" s="56"/>
      <c r="L18" t="s">
        <v>124</v>
      </c>
    </row>
    <row r="19" spans="2:12" ht="18" customHeight="1" x14ac:dyDescent="0.35">
      <c r="B19" s="69" t="s">
        <v>11</v>
      </c>
      <c r="D19" s="55" t="s">
        <v>29</v>
      </c>
      <c r="E19" s="55" t="s">
        <v>3</v>
      </c>
      <c r="F19" s="55"/>
      <c r="G19" s="55"/>
      <c r="H19" s="56"/>
    </row>
    <row r="20" spans="2:12" ht="18" customHeight="1" x14ac:dyDescent="0.35">
      <c r="B20" s="69" t="s">
        <v>12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35">
      <c r="B21" s="69" t="s">
        <v>13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35">
      <c r="B22" s="69" t="s">
        <v>14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35">
      <c r="B23" s="69" t="s">
        <v>15</v>
      </c>
      <c r="D23" s="55" t="s">
        <v>29</v>
      </c>
      <c r="E23" s="55" t="s">
        <v>29</v>
      </c>
      <c r="F23" s="55"/>
      <c r="G23" s="55"/>
      <c r="H23" s="56"/>
    </row>
    <row r="24" spans="2:12" ht="18" customHeight="1" x14ac:dyDescent="0.35">
      <c r="B24" s="69" t="s">
        <v>16</v>
      </c>
      <c r="D24" s="55" t="s">
        <v>3</v>
      </c>
      <c r="E24" s="55" t="s">
        <v>3</v>
      </c>
      <c r="F24" s="55"/>
      <c r="G24" s="55"/>
      <c r="H24" s="56"/>
    </row>
    <row r="25" spans="2:12" ht="18" customHeight="1" x14ac:dyDescent="0.35">
      <c r="B25" s="69" t="s">
        <v>130</v>
      </c>
      <c r="D25" s="55" t="s">
        <v>29</v>
      </c>
      <c r="E25" s="55" t="s">
        <v>3</v>
      </c>
      <c r="F25" s="55"/>
      <c r="G25" s="55"/>
      <c r="H25" s="56"/>
    </row>
    <row r="26" spans="2:12" ht="18" customHeight="1" x14ac:dyDescent="0.35">
      <c r="B26" s="69" t="s">
        <v>17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35">
      <c r="B27" s="69" t="s">
        <v>100</v>
      </c>
      <c r="D27" s="55" t="s">
        <v>29</v>
      </c>
      <c r="E27" s="55" t="s">
        <v>29</v>
      </c>
      <c r="F27" s="55"/>
      <c r="G27" s="55"/>
      <c r="H27" s="56"/>
    </row>
    <row r="28" spans="2:12" ht="18" customHeight="1" x14ac:dyDescent="0.35">
      <c r="B28" s="92" t="s">
        <v>99</v>
      </c>
      <c r="C28" s="93"/>
      <c r="D28" s="94" t="s">
        <v>29</v>
      </c>
      <c r="E28" s="94" t="s">
        <v>29</v>
      </c>
      <c r="F28" s="94"/>
      <c r="G28" s="94"/>
      <c r="H28" s="95"/>
    </row>
  </sheetData>
  <dataValidations count="5">
    <dataValidation type="list" allowBlank="1" showInputMessage="1" showErrorMessage="1" sqref="D13:H26 D6:H9 D28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D12:H12 D27:H27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32" sqref="L32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36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36750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37</v>
      </c>
    </row>
    <row r="19" spans="2:21" x14ac:dyDescent="0.3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16</v>
      </c>
      <c r="D21" s="1">
        <f>SUM(Calcs!D64, Calcs!D74)</f>
        <v>35000</v>
      </c>
      <c r="E21" s="1">
        <f>SUM(Calcs!E64, Calcs!E74)</f>
        <v>42250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130</v>
      </c>
      <c r="D22" s="1">
        <f>SUM(Calcs!D65, Calcs!D75)</f>
        <v>0</v>
      </c>
      <c r="E22" s="1">
        <f>SUM(Calcs!E65, Calcs!E75)</f>
        <v>42250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35">
      <c r="B28" s="6" t="s">
        <v>38</v>
      </c>
    </row>
    <row r="29" spans="2:21" x14ac:dyDescent="0.35">
      <c r="C29" t="s">
        <v>39</v>
      </c>
      <c r="D29" s="1">
        <f>SUM(Calcs!D102:D106)</f>
        <v>0</v>
      </c>
      <c r="E29" s="1">
        <f>SUM(Calcs!E102:E106)</f>
        <v>-12675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3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3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35">
      <c r="B33" s="6" t="s">
        <v>40</v>
      </c>
      <c r="D33" s="7">
        <f>SUM(D7:D16, D19:D26, D29:D31)</f>
        <v>27500</v>
      </c>
      <c r="E33" s="7">
        <f>SUM(E7:E16, E19:E26, E29:E30)</f>
        <v>108575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3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3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35">
      <c r="C36" s="64">
        <f>INDEX(Outputs_Timeline!$D$3:$D$94,MATCH(Inputs!$C$1,Outputs_Timeline!$B$3:$B$94,0),1)</f>
        <v>1</v>
      </c>
    </row>
    <row r="37" spans="2:21" x14ac:dyDescent="0.35">
      <c r="C37" s="64"/>
    </row>
    <row r="38" spans="2:21" x14ac:dyDescent="0.35">
      <c r="B38" s="6" t="s">
        <v>146</v>
      </c>
      <c r="C38" s="64"/>
      <c r="D38" s="106"/>
      <c r="E38" s="7"/>
      <c r="F38" s="7"/>
      <c r="G38" s="7"/>
      <c r="H38" s="7"/>
    </row>
    <row r="39" spans="2:21" x14ac:dyDescent="0.35">
      <c r="C39" s="64" t="s">
        <v>144</v>
      </c>
      <c r="D39" s="7">
        <f>IF(Inputs!D$6 = "N", SUMIF(Outputs_Timeline!$B$3:$B$204,"&lt;" &amp; EDATE(Inputs!$C$1,12), Outputs_Timeline!AD$3:AD$204), 0)</f>
        <v>0</v>
      </c>
      <c r="E39" s="7">
        <f>IF(Inputs!E$6 = "N", SUMIF(Outputs_Timeline!$B$3:$B$204,"&lt;" &amp; EDATE(Inputs!$C$1,12), Outputs_Timeline!AE$3:AE$204), 0)</f>
        <v>10000</v>
      </c>
      <c r="F39" s="7">
        <f>IF(Inputs!F$6 = "N", SUMIF(Outputs_Timeline!$B$3:$B$204,"&lt;" &amp; EDATE(Inputs!$C$1,12), Outputs_Timeline!AF$3:AF$204), 0)</f>
        <v>0</v>
      </c>
      <c r="G39" s="7">
        <f>IF(Inputs!G$6 = "N", SUMIF(Outputs_Timeline!$B$3:$B$204,"&lt;" &amp; EDATE(Inputs!$C$1,12), Outputs_Timeline!AG$3:AG$204), 0)</f>
        <v>0</v>
      </c>
      <c r="H39" s="7">
        <f>IF(Inputs!H$6 = "N", SUMIF(Outputs_Timeline!$B$3:$B$204,"&lt;" &amp; EDATE(Inputs!$C$1,12), Outputs_Timeline!AH$3:AH$204), 0)</f>
        <v>0</v>
      </c>
    </row>
    <row r="40" spans="2:21" x14ac:dyDescent="0.35">
      <c r="C40" s="64" t="s">
        <v>145</v>
      </c>
      <c r="D40" s="7">
        <f>IF(Inputs!D$6 = "N", SUM(Outputs_Timeline!AD$3:AD$204), 0)</f>
        <v>0</v>
      </c>
      <c r="E40" s="7">
        <f>IF(Inputs!E$6 = "N", SUM(Outputs_Timeline!AE$3:AE$204), 0)</f>
        <v>30500</v>
      </c>
      <c r="F40" s="7">
        <f>IF(Inputs!F$6 = "N", SUM(Outputs_Timeline!AF$3:AF$204), 0)</f>
        <v>0</v>
      </c>
      <c r="G40" s="7">
        <f>IF(Inputs!G$6 = "N", SUM(Outputs_Timeline!AG$3:AG$204), 0)</f>
        <v>0</v>
      </c>
      <c r="H40" s="7">
        <f>IF(Inputs!H$6 = "N", SUM(Outputs_Timeline!AH$3:AH$204), 0)</f>
        <v>0</v>
      </c>
    </row>
    <row r="42" spans="2:21" x14ac:dyDescent="0.35">
      <c r="B42" s="6" t="s">
        <v>74</v>
      </c>
      <c r="D42" s="7">
        <f>(D33/12*Inputs!$C$2+D4)*$C$36+D40</f>
        <v>92500</v>
      </c>
      <c r="E42" s="7">
        <f>(E33/12*Inputs!$C$2+E4)*$C$36+E40</f>
        <v>416225</v>
      </c>
      <c r="F42" s="7">
        <f>(F33/12*Inputs!$C$2+F4)*$C$36+F40</f>
        <v>0</v>
      </c>
      <c r="G42" s="7">
        <f>(G33/12*Inputs!$C$2+G4)*$C$36+G40</f>
        <v>0</v>
      </c>
      <c r="H42" s="7">
        <f>(H33/12*Inputs!$C$2+H4)*$C$36+H40</f>
        <v>0</v>
      </c>
      <c r="I42" s="7"/>
      <c r="J42" s="7"/>
      <c r="K42" s="7"/>
      <c r="M42" s="1"/>
      <c r="S42" s="1"/>
      <c r="T42" s="1"/>
      <c r="U42" s="1"/>
    </row>
    <row r="44" spans="2:21" x14ac:dyDescent="0.35">
      <c r="E44" s="7"/>
      <c r="F44" s="7"/>
      <c r="G44" s="7"/>
      <c r="H44" s="7"/>
      <c r="I44" s="7"/>
      <c r="J44" s="7"/>
      <c r="K44" s="7"/>
      <c r="L44" s="7"/>
      <c r="M44" s="1"/>
      <c r="S44" s="8"/>
      <c r="T44" s="8"/>
      <c r="U44" s="8"/>
    </row>
    <row r="45" spans="2:21" x14ac:dyDescent="0.35">
      <c r="B45" s="6" t="s">
        <v>71</v>
      </c>
    </row>
    <row r="46" spans="2:21" x14ac:dyDescent="0.35">
      <c r="C46" s="7">
        <f>SUM(Outputs_Timeline!W:W)</f>
        <v>508725</v>
      </c>
    </row>
    <row r="47" spans="2:21" x14ac:dyDescent="0.35">
      <c r="C47" s="52">
        <f>SUM(D42:H42)</f>
        <v>508725</v>
      </c>
      <c r="D47" s="1"/>
      <c r="G47" s="1"/>
    </row>
    <row r="48" spans="2:21" x14ac:dyDescent="0.35">
      <c r="D48" s="1"/>
      <c r="E48" s="1"/>
      <c r="F48" s="1"/>
    </row>
    <row r="49" spans="4:6" x14ac:dyDescent="0.35">
      <c r="D49" s="2"/>
      <c r="E49" s="1"/>
      <c r="F49" s="1"/>
    </row>
    <row r="50" spans="4:6" x14ac:dyDescent="0.35">
      <c r="D50" s="2"/>
      <c r="E50" s="2"/>
      <c r="F5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6"/>
  <sheetViews>
    <sheetView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P58" sqref="P58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58</v>
      </c>
      <c r="G1" s="50"/>
      <c r="H1" s="50"/>
      <c r="I1" s="50"/>
    </row>
    <row r="2" spans="2:17" x14ac:dyDescent="0.3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35">
      <c r="B3" s="6" t="s">
        <v>0</v>
      </c>
    </row>
    <row r="4" spans="2:17" x14ac:dyDescent="0.3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6750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2700.0000000000005</v>
      </c>
      <c r="L24" s="16">
        <f>(IF(Inputs!C4="New York",-$H$7,$H$7)+G24)*$D24</f>
        <v>4050</v>
      </c>
      <c r="M24" s="16">
        <f>H24*$D24</f>
        <v>0</v>
      </c>
      <c r="N24" s="16">
        <f>I24*$D24</f>
        <v>0</v>
      </c>
    </row>
    <row r="25" spans="2:14" x14ac:dyDescent="0.3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5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3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3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4500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112.5000000000001</v>
      </c>
      <c r="L31" s="20">
        <f t="shared" si="9"/>
        <v>4387.5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12</v>
      </c>
      <c r="D32" s="20">
        <f>SUM(Calcs!D34:H34)</f>
        <v>1750.0000000000002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43.750000000000043</v>
      </c>
      <c r="L32" s="20">
        <f t="shared" si="9"/>
        <v>1706.2500000000002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3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3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35">
      <c r="K44" s="9"/>
      <c r="L44" s="9"/>
      <c r="M44" s="9"/>
    </row>
    <row r="45" spans="2:14" x14ac:dyDescent="0.3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3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3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35">
      <c r="C48" s="19" t="s">
        <v>16</v>
      </c>
      <c r="D48" s="20">
        <f>SUM(Calcs!D94:H94)</f>
        <v>999.99999999999909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25</v>
      </c>
      <c r="L48" s="20">
        <f t="shared" si="31"/>
        <v>974.99999999999909</v>
      </c>
      <c r="M48" s="20">
        <f t="shared" si="32"/>
        <v>0</v>
      </c>
      <c r="N48" s="20">
        <f t="shared" si="32"/>
        <v>0</v>
      </c>
    </row>
    <row r="49" spans="2:14" x14ac:dyDescent="0.35">
      <c r="C49" s="19" t="s">
        <v>130</v>
      </c>
      <c r="D49" s="20">
        <f>SUM(Calcs!D95:H95)</f>
        <v>7249.9999999999991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181.25000000000014</v>
      </c>
      <c r="L49" s="20">
        <f t="shared" ref="L49" si="35">G49*$D49</f>
        <v>7068.7499999999991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3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3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3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3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35">
      <c r="K54" s="9"/>
      <c r="L54" s="9"/>
      <c r="M54" s="9"/>
    </row>
    <row r="55" spans="2:14" x14ac:dyDescent="0.35">
      <c r="B55" s="6" t="s">
        <v>38</v>
      </c>
      <c r="K55" s="9"/>
      <c r="L55" s="9"/>
      <c r="M55" s="9"/>
    </row>
    <row r="56" spans="2:14" x14ac:dyDescent="0.35">
      <c r="C56" t="s">
        <v>39</v>
      </c>
      <c r="D56" s="1">
        <f>SUM(Outputs_External!D29:'Outputs_External'!H29)</f>
        <v>-12675</v>
      </c>
      <c r="F56" s="8">
        <f>IFERROR(SUM(K70:K76)/SUM($K$70:$N$76), 0)</f>
        <v>9.2961165048543695E-2</v>
      </c>
      <c r="G56" s="8">
        <f t="shared" ref="G56:I56" si="49">IFERROR(SUM(L70:L76)/SUM($K$70:$N$76), 0)</f>
        <v>0.90703883495145632</v>
      </c>
      <c r="H56" s="8">
        <f t="shared" si="49"/>
        <v>0</v>
      </c>
      <c r="I56" s="8">
        <f t="shared" si="49"/>
        <v>0</v>
      </c>
      <c r="K56" s="12">
        <f>F56*$D$56</f>
        <v>-1178.2827669902913</v>
      </c>
      <c r="L56" s="12">
        <f>G56*$D$56</f>
        <v>-11496.717233009709</v>
      </c>
      <c r="M56" s="12">
        <f>H56*$D$56</f>
        <v>0</v>
      </c>
      <c r="N56" s="12">
        <f>I56*$D$56</f>
        <v>0</v>
      </c>
    </row>
    <row r="57" spans="2:14" x14ac:dyDescent="0.35">
      <c r="C57" t="s">
        <v>116</v>
      </c>
      <c r="D57" s="1">
        <f>SUM(Outputs_External!D30:'Outputs_External'!H30)</f>
        <v>-22500</v>
      </c>
      <c r="F57" s="3">
        <f>IFERROR(SUM(K10:K56)/SUM($K10:$N56), 0)</f>
        <v>0.21289116968632957</v>
      </c>
      <c r="G57" s="3">
        <f>IFERROR(SUM(L10:L56)/SUM($K10:$N56), 0)</f>
        <v>0.7871088303136704</v>
      </c>
      <c r="H57" s="3">
        <f>IFERROR(SUM(M10:M56)/SUM($K10:$N56), 0)</f>
        <v>0</v>
      </c>
      <c r="I57" s="3">
        <f>1-F57-G57-H57</f>
        <v>0</v>
      </c>
      <c r="K57" s="12">
        <f>F57*$D$57</f>
        <v>-4790.0513179424152</v>
      </c>
      <c r="L57" s="12">
        <f>G57*$D$57</f>
        <v>-17709.948682057584</v>
      </c>
      <c r="M57" s="12">
        <f>H57*$D$57</f>
        <v>0</v>
      </c>
      <c r="N57" s="12">
        <f>I57*$D$57</f>
        <v>0</v>
      </c>
    </row>
    <row r="58" spans="2:14" x14ac:dyDescent="0.3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35">
      <c r="K59" s="9"/>
      <c r="L59" s="9"/>
      <c r="M59" s="9"/>
    </row>
    <row r="60" spans="2:14" x14ac:dyDescent="0.35">
      <c r="B60" s="6" t="s">
        <v>40</v>
      </c>
      <c r="D60" s="1">
        <f>SUM(Outputs_External!D33:'Outputs_External'!H33)</f>
        <v>136075</v>
      </c>
      <c r="K60" s="12">
        <f>SUM(K56:K58, K36:K43, K10:K19,K24:K33,K46:K53)</f>
        <v>28969.165915067293</v>
      </c>
      <c r="L60" s="12">
        <f>SUM(L56:L58, L36:L43, L10:L19,L24:L33,L46:L53)</f>
        <v>107105.83408493271</v>
      </c>
      <c r="M60" s="12">
        <f>SUM(M56:M58, M36:M43, M10:M19,M24:M33,M46:M53)</f>
        <v>0</v>
      </c>
      <c r="N60" s="12">
        <f>SUM(N56:N58, N36:N43, N10:N19,N24:N33,N46:N53)</f>
        <v>0</v>
      </c>
    </row>
    <row r="61" spans="2:14" x14ac:dyDescent="0.35">
      <c r="C61" s="21" t="s">
        <v>57</v>
      </c>
      <c r="D61" s="23">
        <f>SUM(K60:N60)</f>
        <v>136075</v>
      </c>
      <c r="K61" s="12"/>
      <c r="L61" s="12"/>
      <c r="M61" s="12"/>
    </row>
    <row r="62" spans="2:14" x14ac:dyDescent="0.35">
      <c r="C62" s="21"/>
      <c r="D62" s="23"/>
      <c r="K62" s="12"/>
      <c r="L62" s="12"/>
      <c r="M62" s="12"/>
    </row>
    <row r="63" spans="2:14" x14ac:dyDescent="0.35">
      <c r="B63" s="6" t="s">
        <v>148</v>
      </c>
      <c r="C63" s="21"/>
      <c r="D63" s="23">
        <f>SUM(Outputs_Timeline!N3:N204)</f>
        <v>30500</v>
      </c>
      <c r="F63" s="3">
        <v>0.1</v>
      </c>
      <c r="G63" s="3">
        <v>0.1</v>
      </c>
      <c r="H63" s="3">
        <v>0</v>
      </c>
      <c r="I63" s="3">
        <v>0.8</v>
      </c>
      <c r="K63" s="12">
        <f>$D$63*F63</f>
        <v>3050</v>
      </c>
      <c r="L63" s="12">
        <f>$D$63*G63</f>
        <v>3050</v>
      </c>
      <c r="M63" s="12">
        <f>$D$63*H63</f>
        <v>0</v>
      </c>
      <c r="N63" s="12">
        <f>$D$63*I63</f>
        <v>24400</v>
      </c>
    </row>
    <row r="64" spans="2:14" x14ac:dyDescent="0.35">
      <c r="K64" s="9"/>
      <c r="L64" s="9"/>
      <c r="M64" s="9"/>
    </row>
    <row r="65" spans="2:14" x14ac:dyDescent="0.35">
      <c r="B65" s="6" t="s">
        <v>71</v>
      </c>
      <c r="D65" s="1">
        <f>SUM(Outputs_Timeline!W:W)</f>
        <v>508725</v>
      </c>
      <c r="K65" s="12">
        <f>SUM(Outputs_Timeline!X:X)</f>
        <v>100957.49774520191</v>
      </c>
      <c r="L65" s="12">
        <f>SUM(Outputs_Timeline!Y:Y)</f>
        <v>383367.50225479814</v>
      </c>
      <c r="M65" s="12">
        <f>SUM(Outputs_Timeline!Z:Z)</f>
        <v>0</v>
      </c>
      <c r="N65" s="12">
        <f>SUM(Outputs_Timeline!AA:AA)</f>
        <v>24400.000000000004</v>
      </c>
    </row>
    <row r="66" spans="2:14" x14ac:dyDescent="0.35">
      <c r="D66" s="1"/>
      <c r="K66" s="53">
        <f>IFERROR(K65/$D$65, 0)</f>
        <v>0.19845200795164758</v>
      </c>
      <c r="L66" s="53">
        <f>IFERROR(L65/$D$65, 0)</f>
        <v>0.75358494718128288</v>
      </c>
      <c r="M66" s="53">
        <f>IFERROR(M65/$D$65, 0)</f>
        <v>0</v>
      </c>
      <c r="N66" s="53">
        <f>IFERROR(N65/$D$65, 0)</f>
        <v>4.7963044867069642E-2</v>
      </c>
    </row>
    <row r="68" spans="2:14" x14ac:dyDescent="0.35">
      <c r="K68" s="9"/>
      <c r="L68" s="9"/>
      <c r="M68" s="9"/>
    </row>
    <row r="69" spans="2:14" x14ac:dyDescent="0.35">
      <c r="B69" s="27" t="s">
        <v>53</v>
      </c>
      <c r="C69" s="21"/>
      <c r="D69" s="21"/>
      <c r="E69" s="21"/>
      <c r="F69" s="21"/>
      <c r="G69" s="21"/>
      <c r="H69" s="21"/>
      <c r="I69" s="21"/>
      <c r="J69" s="21"/>
      <c r="K69" s="22"/>
      <c r="L69" s="22"/>
      <c r="M69" s="22"/>
    </row>
    <row r="70" spans="2:14" x14ac:dyDescent="0.35">
      <c r="B70" s="27"/>
      <c r="C70" s="21" t="s">
        <v>14</v>
      </c>
      <c r="D70" s="23">
        <f>SUM(Calcs!D62:H62)+SUM(Calcs!D72:H72)</f>
        <v>0</v>
      </c>
      <c r="E70" s="21"/>
      <c r="F70" s="24">
        <f>F36</f>
        <v>0.9</v>
      </c>
      <c r="G70" s="24">
        <f>G36</f>
        <v>0.1</v>
      </c>
      <c r="H70" s="24">
        <f>H36</f>
        <v>0</v>
      </c>
      <c r="I70" s="24">
        <f>I36</f>
        <v>0</v>
      </c>
      <c r="J70" s="21"/>
      <c r="K70" s="25">
        <f t="shared" ref="K70:N72" si="51">F70*$D70</f>
        <v>0</v>
      </c>
      <c r="L70" s="25">
        <f t="shared" si="51"/>
        <v>0</v>
      </c>
      <c r="M70" s="25">
        <f t="shared" si="51"/>
        <v>0</v>
      </c>
      <c r="N70" s="25">
        <f t="shared" si="51"/>
        <v>0</v>
      </c>
    </row>
    <row r="71" spans="2:14" x14ac:dyDescent="0.35">
      <c r="B71" s="27"/>
      <c r="C71" s="21" t="s">
        <v>15</v>
      </c>
      <c r="D71" s="23">
        <f>SUM(Calcs!D63:H63)+SUM(Calcs!D73:H73)</f>
        <v>0</v>
      </c>
      <c r="E71" s="21"/>
      <c r="F71" s="24">
        <f>IFERROR(SUM(K$37,K$11:K$16,K$47,K$25:K$30)/SUM($K$37:$N$37,$K$11:$N$16,$K$47:$N$47,$K$25:$N$30),0)</f>
        <v>0</v>
      </c>
      <c r="G71" s="24">
        <f>IFERROR(SUM(L$37,L$11:L$16,L$47,L$25:L$30)/SUM($K$37:$N$37,$K$11:$N$16,$K$47:$N$47,$K$25:$N$30),0)</f>
        <v>0</v>
      </c>
      <c r="H71" s="24">
        <f>IFERROR(SUM(M$37,M$11:M$16,M$47,M$25:M$30)/SUM($K$37:$N$37,$K$11:$N$16,$K$47:$N$47,$K$25:$N$30),0)</f>
        <v>0</v>
      </c>
      <c r="I71" s="24">
        <f>IFERROR(SUM(N$37,N$11:N$16,N$47,N$25:N$30)/SUM($K$37:$N$37,$K$11:$N$16,$K$47:$N$47,$K$25:$N$30),0)</f>
        <v>0</v>
      </c>
      <c r="J71" s="21"/>
      <c r="K71" s="25">
        <f t="shared" si="51"/>
        <v>0</v>
      </c>
      <c r="L71" s="25">
        <f t="shared" si="51"/>
        <v>0</v>
      </c>
      <c r="M71" s="25">
        <f t="shared" si="51"/>
        <v>0</v>
      </c>
      <c r="N71" s="25">
        <f t="shared" si="51"/>
        <v>0</v>
      </c>
    </row>
    <row r="72" spans="2:14" x14ac:dyDescent="0.35">
      <c r="B72" s="27"/>
      <c r="C72" s="21" t="s">
        <v>16</v>
      </c>
      <c r="D72" s="23">
        <f>SUM(Calcs!D64:H64)+SUM(Calcs!D74:H74)</f>
        <v>77250</v>
      </c>
      <c r="E72" s="21"/>
      <c r="F72" s="24">
        <f>IFERROR(SUM(K38,K17:K19,K48,K31:K33)/SUM($K$38:$N$38,$K$17:$M$19,$K$48:$N$48,$K$31:$N$33),0)</f>
        <v>9.2961165048543695E-2</v>
      </c>
      <c r="G72" s="24">
        <f>IFERROR(SUM(L38,L17:L19,L48,L31:L33)/SUM($K$38:$N$38,$K$17:$M$19,$K$48:$N$48,$K$31:$N$33),0)</f>
        <v>0.90703883495145632</v>
      </c>
      <c r="H72" s="24">
        <f>IFERROR(SUM(M38,M17:M19,M48,M31:M33)/SUM($K$38:$N$38,$K$17:$M$19,$K$48:$N$48,$K$31:$N$33),0)</f>
        <v>0</v>
      </c>
      <c r="I72" s="24">
        <f>IFERROR(SUM(N38,N17:N19,N48,N31:N33)/SUM($K$38:$N$38,$K$17:$M$19,$K$48:$N$48,$K$31:$N$33),0)</f>
        <v>0</v>
      </c>
      <c r="J72" s="21"/>
      <c r="K72" s="25">
        <f t="shared" si="51"/>
        <v>7181.2500000000009</v>
      </c>
      <c r="L72" s="25">
        <f t="shared" si="51"/>
        <v>70068.75</v>
      </c>
      <c r="M72" s="25">
        <f t="shared" si="51"/>
        <v>0</v>
      </c>
      <c r="N72" s="25">
        <f t="shared" si="51"/>
        <v>0</v>
      </c>
    </row>
    <row r="73" spans="2:14" x14ac:dyDescent="0.35">
      <c r="B73" s="27"/>
      <c r="C73" s="21" t="s">
        <v>17</v>
      </c>
      <c r="D73" s="23">
        <f>SUM(Calcs!D66:H66)+SUM(Calcs!D76:H76)</f>
        <v>0</v>
      </c>
      <c r="E73" s="21"/>
      <c r="F73" s="24">
        <f t="shared" ref="F73:I75" si="52">IFERROR(SUM(K40,K50)/SUM($K40:$N40,$K50:$N50),0)</f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ref="K73:K76" si="53">F73*$D73</f>
        <v>0</v>
      </c>
      <c r="L73" s="25">
        <f t="shared" ref="L73:L76" si="54">G73*$D73</f>
        <v>0</v>
      </c>
      <c r="M73" s="25">
        <f t="shared" ref="M73:M76" si="55">H73*$D73</f>
        <v>0</v>
      </c>
      <c r="N73" s="25">
        <f t="shared" ref="N73:N76" si="56">I73*$D73</f>
        <v>0</v>
      </c>
    </row>
    <row r="74" spans="2:14" x14ac:dyDescent="0.35">
      <c r="B74" s="27"/>
      <c r="C74" s="21" t="s">
        <v>100</v>
      </c>
      <c r="D74" s="23">
        <f>SUM(Calcs!D67:H67)+SUM(Calcs!D77:H77)</f>
        <v>0</v>
      </c>
      <c r="E74" s="21"/>
      <c r="F74" s="24">
        <f t="shared" si="52"/>
        <v>0</v>
      </c>
      <c r="G74" s="24">
        <f t="shared" si="52"/>
        <v>0</v>
      </c>
      <c r="H74" s="24">
        <f t="shared" si="52"/>
        <v>0</v>
      </c>
      <c r="I74" s="24">
        <f t="shared" si="52"/>
        <v>0</v>
      </c>
      <c r="J74" s="21"/>
      <c r="K74" s="25">
        <f t="shared" ref="K74:K75" si="57">F74*$D74</f>
        <v>0</v>
      </c>
      <c r="L74" s="25">
        <f t="shared" ref="L74:L75" si="58">G74*$D74</f>
        <v>0</v>
      </c>
      <c r="M74" s="25">
        <f t="shared" ref="M74:M75" si="59">H74*$D74</f>
        <v>0</v>
      </c>
      <c r="N74" s="25">
        <f t="shared" ref="N74:N75" si="60">I74*$D74</f>
        <v>0</v>
      </c>
    </row>
    <row r="75" spans="2:14" x14ac:dyDescent="0.35">
      <c r="B75" s="27"/>
      <c r="C75" s="21" t="s">
        <v>99</v>
      </c>
      <c r="D75" s="23">
        <f>SUM(Calcs!D68:H68)+SUM(Calcs!D78:H78)</f>
        <v>0</v>
      </c>
      <c r="E75" s="21"/>
      <c r="F75" s="24">
        <f t="shared" si="52"/>
        <v>0</v>
      </c>
      <c r="G75" s="24">
        <f t="shared" si="52"/>
        <v>0</v>
      </c>
      <c r="H75" s="24">
        <f t="shared" si="52"/>
        <v>0</v>
      </c>
      <c r="I75" s="24">
        <f t="shared" si="52"/>
        <v>0</v>
      </c>
      <c r="J75" s="21"/>
      <c r="K75" s="25">
        <f t="shared" si="57"/>
        <v>0</v>
      </c>
      <c r="L75" s="25">
        <f t="shared" si="58"/>
        <v>0</v>
      </c>
      <c r="M75" s="25">
        <f t="shared" si="59"/>
        <v>0</v>
      </c>
      <c r="N75" s="25">
        <f t="shared" si="60"/>
        <v>0</v>
      </c>
    </row>
    <row r="76" spans="2:14" x14ac:dyDescent="0.35">
      <c r="B76" s="27"/>
      <c r="C76" s="21" t="s">
        <v>98</v>
      </c>
      <c r="D76" s="23">
        <f>SUM(Calcs!D69:H69)+SUM(Calcs!D79:H79)</f>
        <v>0</v>
      </c>
      <c r="E76" s="21"/>
      <c r="F76" s="24">
        <f t="shared" ref="F76" si="61">IFERROR(SUM(K43,K53)/SUM($K43:$N43,$K53:$N53),0)</f>
        <v>0</v>
      </c>
      <c r="G76" s="24">
        <f t="shared" ref="G76" si="62">IFERROR(SUM(L43,L53)/SUM($K43:$N43,$K53:$N53),0)</f>
        <v>0</v>
      </c>
      <c r="H76" s="24">
        <f t="shared" ref="H76" si="63">IFERROR(SUM(M43,M53)/SUM($K43:$N43,$K53:$N53),0)</f>
        <v>0</v>
      </c>
      <c r="I76" s="24">
        <f t="shared" ref="I76" si="64">IFERROR(SUM(N43,N53)/SUM($K43:$N43,$K53:$N53),0)</f>
        <v>0</v>
      </c>
      <c r="J76" s="21"/>
      <c r="K76" s="25">
        <f t="shared" si="53"/>
        <v>0</v>
      </c>
      <c r="L76" s="25">
        <f t="shared" si="54"/>
        <v>0</v>
      </c>
      <c r="M76" s="25">
        <f t="shared" si="55"/>
        <v>0</v>
      </c>
      <c r="N76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H3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63</v>
      </c>
      <c r="J1" s="61"/>
      <c r="K1" s="61"/>
      <c r="L1" s="61"/>
      <c r="M1" s="61"/>
      <c r="N1" s="61"/>
      <c r="P1" s="61" t="s">
        <v>68</v>
      </c>
      <c r="Q1" s="61"/>
      <c r="R1" s="61"/>
      <c r="S1" s="61"/>
      <c r="T1" s="61"/>
      <c r="U1" s="61"/>
      <c r="W1" s="61" t="s">
        <v>70</v>
      </c>
      <c r="X1" s="61"/>
      <c r="Y1" s="61"/>
      <c r="Z1" s="61"/>
    </row>
    <row r="2" spans="2:34" x14ac:dyDescent="0.3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 t="s">
        <v>141</v>
      </c>
      <c r="H2" s="59"/>
      <c r="I2" s="62" t="s">
        <v>64</v>
      </c>
      <c r="J2" s="62" t="s">
        <v>65</v>
      </c>
      <c r="K2" s="62" t="s">
        <v>42</v>
      </c>
      <c r="L2" s="62" t="s">
        <v>66</v>
      </c>
      <c r="M2" s="62"/>
      <c r="N2" s="107" t="s">
        <v>147</v>
      </c>
      <c r="P2" s="62" t="s">
        <v>64</v>
      </c>
      <c r="Q2" s="62" t="s">
        <v>65</v>
      </c>
      <c r="R2" s="62" t="s">
        <v>42</v>
      </c>
      <c r="S2" s="62" t="s">
        <v>139</v>
      </c>
      <c r="T2" s="62" t="s">
        <v>80</v>
      </c>
      <c r="U2" s="62" t="s">
        <v>79</v>
      </c>
      <c r="W2" s="62" t="s">
        <v>64</v>
      </c>
      <c r="X2" s="62" t="s">
        <v>65</v>
      </c>
      <c r="Y2" s="62" t="s">
        <v>42</v>
      </c>
      <c r="Z2" s="62" t="s">
        <v>80</v>
      </c>
      <c r="AA2" s="62" t="s">
        <v>79</v>
      </c>
      <c r="AD2" s="62" t="s">
        <v>106</v>
      </c>
      <c r="AE2" s="62" t="s">
        <v>107</v>
      </c>
      <c r="AF2" s="62" t="s">
        <v>108</v>
      </c>
      <c r="AG2" s="62" t="s">
        <v>109</v>
      </c>
      <c r="AH2" s="62" t="s">
        <v>110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$F3*Outputs_Internal!$D$60/12+N3</f>
        <v>0</v>
      </c>
      <c r="Q3" s="63">
        <f>$F3*Outputs_Internal!K$60/12+N3*'MARA Prices'!$F$5</f>
        <v>0</v>
      </c>
      <c r="R3" s="63">
        <f>$F3*Outputs_Internal!L$60/12+N3*'MARA Prices'!$F$6</f>
        <v>0</v>
      </c>
      <c r="S3" s="63">
        <f>N3*'MARA Prices'!$F$4</f>
        <v>0</v>
      </c>
      <c r="T3" s="63">
        <f>$F3*Outputs_Internal!M$60/12</f>
        <v>0</v>
      </c>
      <c r="U3" s="63">
        <f>$F3*Outputs_Internal!N$60/12</f>
        <v>0</v>
      </c>
      <c r="W3" s="63"/>
      <c r="X3" s="63"/>
      <c r="Y3" s="63"/>
      <c r="Z3" s="63"/>
      <c r="AD3" s="105">
        <f>'MARA Prices'!H$21*$G3</f>
        <v>0</v>
      </c>
      <c r="AE3" s="105">
        <f>'MARA Prices'!I$21*$G3</f>
        <v>0</v>
      </c>
      <c r="AF3" s="105">
        <f>'MARA Prices'!J$21*$G3</f>
        <v>0</v>
      </c>
      <c r="AG3" s="105">
        <f>'MARA Prices'!K$21*$G3</f>
        <v>0</v>
      </c>
      <c r="AH3" s="105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$F4*Outputs_Internal!$D$60/12+N4</f>
        <v>0</v>
      </c>
      <c r="Q4" s="63">
        <f>$F4*Outputs_Internal!K$60/12+N4*'MARA Prices'!$F$5</f>
        <v>0</v>
      </c>
      <c r="R4" s="63">
        <f>$F4*Outputs_Internal!L$60/12+N4*'MARA Prices'!$F$6</f>
        <v>0</v>
      </c>
      <c r="S4" s="63">
        <f>N4*'MARA Prices'!$F$4</f>
        <v>0</v>
      </c>
      <c r="T4" s="63">
        <f>$F4*Outputs_Internal!M$60/12</f>
        <v>0</v>
      </c>
      <c r="U4" s="63">
        <f>$F4*Outputs_Internal!N$60/12</f>
        <v>0</v>
      </c>
      <c r="AD4" s="105">
        <f>'MARA Prices'!H$21*$G4</f>
        <v>0</v>
      </c>
      <c r="AE4" s="105">
        <f>'MARA Prices'!I$21*$G4</f>
        <v>0</v>
      </c>
      <c r="AF4" s="105">
        <f>'MARA Prices'!J$21*$G4</f>
        <v>0</v>
      </c>
      <c r="AG4" s="105">
        <f>'MARA Prices'!K$21*$G4</f>
        <v>0</v>
      </c>
      <c r="AH4" s="105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$F5*Outputs_Internal!$D$60/12+N5</f>
        <v>0</v>
      </c>
      <c r="Q5" s="63">
        <f>$F5*Outputs_Internal!K$60/12+N5*'MARA Prices'!$F$5</f>
        <v>0</v>
      </c>
      <c r="R5" s="63">
        <f>$F5*Outputs_Internal!L$60/12+N5*'MARA Prices'!$F$6</f>
        <v>0</v>
      </c>
      <c r="S5" s="63">
        <f>N5*'MARA Prices'!$F$4</f>
        <v>0</v>
      </c>
      <c r="T5" s="63">
        <f>$F5*Outputs_Internal!M$60/12</f>
        <v>0</v>
      </c>
      <c r="U5" s="63">
        <f>$F5*Outputs_Internal!N$60/12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>IF(MOD(MONTH($B5),3)=0,SUM(U3:U5,S3:S5),0)</f>
        <v>0</v>
      </c>
      <c r="AD5" s="105">
        <f>'MARA Prices'!H$21*$G5</f>
        <v>0</v>
      </c>
      <c r="AE5" s="105">
        <f>'MARA Prices'!I$21*$G5</f>
        <v>0</v>
      </c>
      <c r="AF5" s="105">
        <f>'MARA Prices'!J$21*$G5</f>
        <v>0</v>
      </c>
      <c r="AG5" s="105">
        <f>'MARA Prices'!K$21*$G5</f>
        <v>0</v>
      </c>
      <c r="AH5" s="105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$F6*Outputs_Internal!$D$60/12+N6</f>
        <v>0</v>
      </c>
      <c r="Q6" s="63">
        <f>$F6*Outputs_Internal!K$60/12+N6*'MARA Prices'!$F$5</f>
        <v>0</v>
      </c>
      <c r="R6" s="63">
        <f>$F6*Outputs_Internal!L$60/12+N6*'MARA Prices'!$F$6</f>
        <v>0</v>
      </c>
      <c r="S6" s="63">
        <f>N6*'MARA Prices'!$F$4</f>
        <v>0</v>
      </c>
      <c r="T6" s="63">
        <f>$F6*Outputs_Internal!M$60/12</f>
        <v>0</v>
      </c>
      <c r="U6" s="63">
        <f>$F6*Outputs_Internal!N$60/12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ref="AA6:AA69" si="6">IF(MOD(MONTH($B6),3)=0,SUM(U4:U6,S4:S6),0)</f>
        <v>0</v>
      </c>
      <c r="AD6" s="105">
        <f>'MARA Prices'!H$21*$G6</f>
        <v>0</v>
      </c>
      <c r="AE6" s="105">
        <f>'MARA Prices'!I$21*$G6</f>
        <v>0</v>
      </c>
      <c r="AF6" s="105">
        <f>'MARA Prices'!J$21*$G6</f>
        <v>0</v>
      </c>
      <c r="AG6" s="105">
        <f>'MARA Prices'!K$21*$G6</f>
        <v>0</v>
      </c>
      <c r="AH6" s="105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$F7*Outputs_Internal!$D$60/12+N7</f>
        <v>0</v>
      </c>
      <c r="Q7" s="63">
        <f>$F7*Outputs_Internal!K$60/12+N7*'MARA Prices'!$F$5</f>
        <v>0</v>
      </c>
      <c r="R7" s="63">
        <f>$F7*Outputs_Internal!L$60/12+N7*'MARA Prices'!$F$6</f>
        <v>0</v>
      </c>
      <c r="S7" s="63">
        <f>N7*'MARA Prices'!$F$4</f>
        <v>0</v>
      </c>
      <c r="T7" s="63">
        <f>$F7*Outputs_Internal!M$60/12</f>
        <v>0</v>
      </c>
      <c r="U7" s="63">
        <f>$F7*Outputs_Internal!N$60/12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105">
        <f>'MARA Prices'!H$21*$G7</f>
        <v>0</v>
      </c>
      <c r="AE7" s="105">
        <f>'MARA Prices'!I$21*$G7</f>
        <v>0</v>
      </c>
      <c r="AF7" s="105">
        <f>'MARA Prices'!J$21*$G7</f>
        <v>0</v>
      </c>
      <c r="AG7" s="105">
        <f>'MARA Prices'!K$21*$G7</f>
        <v>0</v>
      </c>
      <c r="AH7" s="105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$F8*Outputs_Internal!$D$60/12+N8</f>
        <v>0</v>
      </c>
      <c r="Q8" s="63">
        <f>$F8*Outputs_Internal!K$60/12+N8*'MARA Prices'!$F$5</f>
        <v>0</v>
      </c>
      <c r="R8" s="63">
        <f>$F8*Outputs_Internal!L$60/12+N8*'MARA Prices'!$F$6</f>
        <v>0</v>
      </c>
      <c r="S8" s="63">
        <f>N8*'MARA Prices'!$F$4</f>
        <v>0</v>
      </c>
      <c r="T8" s="63">
        <f>$F8*Outputs_Internal!M$60/12</f>
        <v>0</v>
      </c>
      <c r="U8" s="63">
        <f>$F8*Outputs_Internal!N$60/12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105">
        <f>'MARA Prices'!H$21*$G8</f>
        <v>0</v>
      </c>
      <c r="AE8" s="105">
        <f>'MARA Prices'!I$21*$G8</f>
        <v>0</v>
      </c>
      <c r="AF8" s="105">
        <f>'MARA Prices'!J$21*$G8</f>
        <v>0</v>
      </c>
      <c r="AG8" s="105">
        <f>'MARA Prices'!K$21*$G8</f>
        <v>0</v>
      </c>
      <c r="AH8" s="105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G9" s="64">
        <f>IF(AND(B9&gt;=Inputs!$C$1,B9&lt;EDATE(Inputs!$C$1,Inputs!$C$2)),(1+'MARA Prices'!$F$1)^IFERROR(DATEDIF('MARA Prices'!$F$2,B9,"Y")+1, 0),0)</f>
        <v>1</v>
      </c>
      <c r="I9" s="63">
        <f>IF($B9=Inputs!$C$1,SUM(Outputs_Internal!$D$4, Outputs_Internal!$D$5),0)*$D9</f>
        <v>70000</v>
      </c>
      <c r="J9" s="63">
        <f>IF($B9=Inputs!$C$1,SUM(Outputs_Internal!K$4, Outputs_Internal!K$5),0)*$D9</f>
        <v>11000</v>
      </c>
      <c r="K9" s="63">
        <f>IF($B9=Inputs!$C$1,SUM(Outputs_Internal!L$4, Outputs_Internal!L$5),0)*$D9</f>
        <v>59000</v>
      </c>
      <c r="L9" s="63">
        <f>IF($B9=Inputs!$C$1,SUM(Outputs_Internal!M$4, Outputs_Internal!$M$5),0)*$D9</f>
        <v>0</v>
      </c>
      <c r="N9" s="63">
        <f t="shared" si="0"/>
        <v>833.33333333333337</v>
      </c>
      <c r="P9" s="63">
        <f>$F9*Outputs_Internal!$D$60/12+N9</f>
        <v>12172.916666666668</v>
      </c>
      <c r="Q9" s="63">
        <f>$F9*Outputs_Internal!K$60/12+N9*'MARA Prices'!$F$5</f>
        <v>2497.4304929222744</v>
      </c>
      <c r="R9" s="63">
        <f>$F9*Outputs_Internal!L$60/12+N9*'MARA Prices'!$F$6</f>
        <v>9008.8195070777256</v>
      </c>
      <c r="S9" s="63">
        <f>N9*'MARA Prices'!$F$4</f>
        <v>666.66666666666674</v>
      </c>
      <c r="T9" s="63">
        <f>$F9*Outputs_Internal!M$60/12</f>
        <v>0</v>
      </c>
      <c r="U9" s="63">
        <f>$F9*Outputs_Internal!N$60/12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105">
        <f>'MARA Prices'!H$21*$G9</f>
        <v>0</v>
      </c>
      <c r="AE9" s="105">
        <f>'MARA Prices'!I$21*$G9</f>
        <v>833.33333333333337</v>
      </c>
      <c r="AF9" s="105">
        <f>'MARA Prices'!J$21*$G9</f>
        <v>0</v>
      </c>
      <c r="AG9" s="105">
        <f>'MARA Prices'!K$21*$G9</f>
        <v>0</v>
      </c>
      <c r="AH9" s="105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G10" s="64">
        <f>IF(AND(B10&gt;=Inputs!$C$1,B10&lt;EDATE(Inputs!$C$1,Inputs!$C$2)),(1+'MARA Prices'!$F$1)^IFERROR(DATEDIF('MARA Prices'!$F$2,B10,"Y")+1, 0),0)</f>
        <v>1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833.33333333333337</v>
      </c>
      <c r="P10" s="63">
        <f>$F10*Outputs_Internal!$D$60/12+N10</f>
        <v>12172.916666666668</v>
      </c>
      <c r="Q10" s="63">
        <f>$F10*Outputs_Internal!K$60/12+N10*'MARA Prices'!$F$5</f>
        <v>2497.4304929222744</v>
      </c>
      <c r="R10" s="63">
        <f>$F10*Outputs_Internal!L$60/12+N10*'MARA Prices'!$F$6</f>
        <v>9008.8195070777256</v>
      </c>
      <c r="S10" s="63">
        <f>N10*'MARA Prices'!$F$4</f>
        <v>666.66666666666674</v>
      </c>
      <c r="T10" s="63">
        <f>$F10*Outputs_Internal!M$60/12</f>
        <v>0</v>
      </c>
      <c r="U10" s="63">
        <f>$F10*Outputs_Internal!N$60/12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105">
        <f>'MARA Prices'!H$21*$G10</f>
        <v>0</v>
      </c>
      <c r="AE10" s="105">
        <f>'MARA Prices'!I$21*$G10</f>
        <v>833.33333333333337</v>
      </c>
      <c r="AF10" s="105">
        <f>'MARA Prices'!J$21*$G10</f>
        <v>0</v>
      </c>
      <c r="AG10" s="105">
        <f>'MARA Prices'!K$21*$G10</f>
        <v>0</v>
      </c>
      <c r="AH10" s="105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G11" s="64">
        <f>IF(AND(B11&gt;=Inputs!$C$1,B11&lt;EDATE(Inputs!$C$1,Inputs!$C$2)),(1+'MARA Prices'!$F$1)^IFERROR(DATEDIF('MARA Prices'!$F$2,B11,"Y")+1, 0),0)</f>
        <v>1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833.33333333333337</v>
      </c>
      <c r="P11" s="63">
        <f>$F11*Outputs_Internal!$D$60/12+N11</f>
        <v>12172.916666666668</v>
      </c>
      <c r="Q11" s="63">
        <f>$F11*Outputs_Internal!K$60/12+N11*'MARA Prices'!$F$5</f>
        <v>2497.4304929222744</v>
      </c>
      <c r="R11" s="63">
        <f>$F11*Outputs_Internal!L$60/12+N11*'MARA Prices'!$F$6</f>
        <v>9008.8195070777256</v>
      </c>
      <c r="S11" s="63">
        <f>N11*'MARA Prices'!$F$4</f>
        <v>666.66666666666674</v>
      </c>
      <c r="T11" s="63">
        <f>$F11*Outputs_Internal!M$60/12</f>
        <v>0</v>
      </c>
      <c r="U11" s="63">
        <f>$F11*Outputs_Internal!N$60/12</f>
        <v>0</v>
      </c>
      <c r="W11" s="63">
        <f t="shared" si="2"/>
        <v>106518.75000000001</v>
      </c>
      <c r="X11" s="63">
        <f t="shared" si="3"/>
        <v>18492.291478766823</v>
      </c>
      <c r="Y11" s="63">
        <f t="shared" si="4"/>
        <v>86026.458521233188</v>
      </c>
      <c r="Z11" s="63">
        <f t="shared" si="5"/>
        <v>0</v>
      </c>
      <c r="AA11" s="63">
        <f t="shared" si="6"/>
        <v>2000.0000000000002</v>
      </c>
      <c r="AD11" s="105">
        <f>'MARA Prices'!H$21*$G11</f>
        <v>0</v>
      </c>
      <c r="AE11" s="105">
        <f>'MARA Prices'!I$21*$G11</f>
        <v>833.33333333333337</v>
      </c>
      <c r="AF11" s="105">
        <f>'MARA Prices'!J$21*$G11</f>
        <v>0</v>
      </c>
      <c r="AG11" s="105">
        <f>'MARA Prices'!K$21*$G11</f>
        <v>0</v>
      </c>
      <c r="AH11" s="105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G12" s="64">
        <f>IF(AND(B12&gt;=Inputs!$C$1,B12&lt;EDATE(Inputs!$C$1,Inputs!$C$2)),(1+'MARA Prices'!$F$1)^IFERROR(DATEDIF('MARA Prices'!$F$2,B12,"Y")+1, 0),0)</f>
        <v>1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833.33333333333337</v>
      </c>
      <c r="P12" s="63">
        <f>$F12*Outputs_Internal!$D$60/12+N12</f>
        <v>12172.916666666668</v>
      </c>
      <c r="Q12" s="63">
        <f>$F12*Outputs_Internal!K$60/12+N12*'MARA Prices'!$F$5</f>
        <v>2497.4304929222744</v>
      </c>
      <c r="R12" s="63">
        <f>$F12*Outputs_Internal!L$60/12+N12*'MARA Prices'!$F$6</f>
        <v>9008.8195070777256</v>
      </c>
      <c r="S12" s="63">
        <f>N12*'MARA Prices'!$F$4</f>
        <v>666.66666666666674</v>
      </c>
      <c r="T12" s="63">
        <f>$F12*Outputs_Internal!M$60/12</f>
        <v>0</v>
      </c>
      <c r="U12" s="63">
        <f>$F12*Outputs_Internal!N$60/12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105">
        <f>'MARA Prices'!H$21*$G12</f>
        <v>0</v>
      </c>
      <c r="AE12" s="105">
        <f>'MARA Prices'!I$21*$G12</f>
        <v>833.33333333333337</v>
      </c>
      <c r="AF12" s="105">
        <f>'MARA Prices'!J$21*$G12</f>
        <v>0</v>
      </c>
      <c r="AG12" s="105">
        <f>'MARA Prices'!K$21*$G12</f>
        <v>0</v>
      </c>
      <c r="AH12" s="105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G13" s="64">
        <f>IF(AND(B13&gt;=Inputs!$C$1,B13&lt;EDATE(Inputs!$C$1,Inputs!$C$2)),(1+'MARA Prices'!$F$1)^IFERROR(DATEDIF('MARA Prices'!$F$2,B13,"Y")+1, 0),0)</f>
        <v>1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833.33333333333337</v>
      </c>
      <c r="P13" s="63">
        <f>$F13*Outputs_Internal!$D$60/12+N13</f>
        <v>12172.916666666668</v>
      </c>
      <c r="Q13" s="63">
        <f>$F13*Outputs_Internal!K$60/12+N13*'MARA Prices'!$F$5</f>
        <v>2497.4304929222744</v>
      </c>
      <c r="R13" s="63">
        <f>$F13*Outputs_Internal!L$60/12+N13*'MARA Prices'!$F$6</f>
        <v>9008.8195070777256</v>
      </c>
      <c r="S13" s="63">
        <f>N13*'MARA Prices'!$F$4</f>
        <v>666.66666666666674</v>
      </c>
      <c r="T13" s="63">
        <f>$F13*Outputs_Internal!M$60/12</f>
        <v>0</v>
      </c>
      <c r="U13" s="63">
        <f>$F13*Outputs_Internal!N$60/12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105">
        <f>'MARA Prices'!H$21*$G13</f>
        <v>0</v>
      </c>
      <c r="AE13" s="105">
        <f>'MARA Prices'!I$21*$G13</f>
        <v>833.33333333333337</v>
      </c>
      <c r="AF13" s="105">
        <f>'MARA Prices'!J$21*$G13</f>
        <v>0</v>
      </c>
      <c r="AG13" s="105">
        <f>'MARA Prices'!K$21*$G13</f>
        <v>0</v>
      </c>
      <c r="AH13" s="105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G14" s="64">
        <f>IF(AND(B14&gt;=Inputs!$C$1,B14&lt;EDATE(Inputs!$C$1,Inputs!$C$2)),(1+'MARA Prices'!$F$1)^IFERROR(DATEDIF('MARA Prices'!$F$2,B14,"Y")+1, 0),0)</f>
        <v>1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833.33333333333337</v>
      </c>
      <c r="P14" s="63">
        <f>$F14*Outputs_Internal!$D$60/12+N14</f>
        <v>12172.916666666668</v>
      </c>
      <c r="Q14" s="63">
        <f>$F14*Outputs_Internal!K$60/12+N14*'MARA Prices'!$F$5</f>
        <v>2497.4304929222744</v>
      </c>
      <c r="R14" s="63">
        <f>$F14*Outputs_Internal!L$60/12+N14*'MARA Prices'!$F$6</f>
        <v>9008.8195070777256</v>
      </c>
      <c r="S14" s="63">
        <f>N14*'MARA Prices'!$F$4</f>
        <v>666.66666666666674</v>
      </c>
      <c r="T14" s="63">
        <f>$F14*Outputs_Internal!M$60/12</f>
        <v>0</v>
      </c>
      <c r="U14" s="63">
        <f>$F14*Outputs_Internal!N$60/12</f>
        <v>0</v>
      </c>
      <c r="W14" s="63">
        <f t="shared" si="2"/>
        <v>36518.75</v>
      </c>
      <c r="X14" s="63">
        <f t="shared" si="3"/>
        <v>7492.2914787668233</v>
      </c>
      <c r="Y14" s="63">
        <f t="shared" si="4"/>
        <v>27026.458521233177</v>
      </c>
      <c r="Z14" s="63">
        <f t="shared" si="5"/>
        <v>0</v>
      </c>
      <c r="AA14" s="63">
        <f t="shared" si="6"/>
        <v>2000.0000000000002</v>
      </c>
      <c r="AD14" s="105">
        <f>'MARA Prices'!H$21*$G14</f>
        <v>0</v>
      </c>
      <c r="AE14" s="105">
        <f>'MARA Prices'!I$21*$G14</f>
        <v>833.33333333333337</v>
      </c>
      <c r="AF14" s="105">
        <f>'MARA Prices'!J$21*$G14</f>
        <v>0</v>
      </c>
      <c r="AG14" s="105">
        <f>'MARA Prices'!K$21*$G14</f>
        <v>0</v>
      </c>
      <c r="AH14" s="105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G15" s="64">
        <f>IF(AND(B15&gt;=Inputs!$C$1,B15&lt;EDATE(Inputs!$C$1,Inputs!$C$2)),(1+'MARA Prices'!$F$1)^IFERROR(DATEDIF('MARA Prices'!$F$2,B15,"Y")+1, 0),0)</f>
        <v>1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833.33333333333337</v>
      </c>
      <c r="P15" s="63">
        <f>$F15*Outputs_Internal!$D$60/12+N15</f>
        <v>12172.916666666668</v>
      </c>
      <c r="Q15" s="63">
        <f>$F15*Outputs_Internal!K$60/12+N15*'MARA Prices'!$F$5</f>
        <v>2497.4304929222744</v>
      </c>
      <c r="R15" s="63">
        <f>$F15*Outputs_Internal!L$60/12+N15*'MARA Prices'!$F$6</f>
        <v>9008.8195070777256</v>
      </c>
      <c r="S15" s="63">
        <f>N15*'MARA Prices'!$F$4</f>
        <v>666.66666666666674</v>
      </c>
      <c r="T15" s="63">
        <f>$F15*Outputs_Internal!M$60/12</f>
        <v>0</v>
      </c>
      <c r="U15" s="63">
        <f>$F15*Outputs_Internal!N$60/12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105">
        <f>'MARA Prices'!H$21*$G15</f>
        <v>0</v>
      </c>
      <c r="AE15" s="105">
        <f>'MARA Prices'!I$21*$G15</f>
        <v>833.33333333333337</v>
      </c>
      <c r="AF15" s="105">
        <f>'MARA Prices'!J$21*$G15</f>
        <v>0</v>
      </c>
      <c r="AG15" s="105">
        <f>'MARA Prices'!K$21*$G15</f>
        <v>0</v>
      </c>
      <c r="AH15" s="105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G16" s="64">
        <f>IF(AND(B16&gt;=Inputs!$C$1,B16&lt;EDATE(Inputs!$C$1,Inputs!$C$2)),(1+'MARA Prices'!$F$1)^IFERROR(DATEDIF('MARA Prices'!$F$2,B16,"Y")+1, 0),0)</f>
        <v>1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833.33333333333337</v>
      </c>
      <c r="P16" s="63">
        <f>$F16*Outputs_Internal!$D$60/12+N16</f>
        <v>12172.916666666668</v>
      </c>
      <c r="Q16" s="63">
        <f>$F16*Outputs_Internal!K$60/12+N16*'MARA Prices'!$F$5</f>
        <v>2497.4304929222744</v>
      </c>
      <c r="R16" s="63">
        <f>$F16*Outputs_Internal!L$60/12+N16*'MARA Prices'!$F$6</f>
        <v>9008.8195070777256</v>
      </c>
      <c r="S16" s="63">
        <f>N16*'MARA Prices'!$F$4</f>
        <v>666.66666666666674</v>
      </c>
      <c r="T16" s="63">
        <f>$F16*Outputs_Internal!M$60/12</f>
        <v>0</v>
      </c>
      <c r="U16" s="63">
        <f>$F16*Outputs_Internal!N$60/12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105">
        <f>'MARA Prices'!H$21*$G16</f>
        <v>0</v>
      </c>
      <c r="AE16" s="105">
        <f>'MARA Prices'!I$21*$G16</f>
        <v>833.33333333333337</v>
      </c>
      <c r="AF16" s="105">
        <f>'MARA Prices'!J$21*$G16</f>
        <v>0</v>
      </c>
      <c r="AG16" s="105">
        <f>'MARA Prices'!K$21*$G16</f>
        <v>0</v>
      </c>
      <c r="AH16" s="105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G17" s="64">
        <f>IF(AND(B17&gt;=Inputs!$C$1,B17&lt;EDATE(Inputs!$C$1,Inputs!$C$2)),(1+'MARA Prices'!$F$1)^IFERROR(DATEDIF('MARA Prices'!$F$2,B17,"Y")+1, 0),0)</f>
        <v>1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833.33333333333337</v>
      </c>
      <c r="P17" s="63">
        <f>$F17*Outputs_Internal!$D$60/12+N17</f>
        <v>12172.916666666668</v>
      </c>
      <c r="Q17" s="63">
        <f>$F17*Outputs_Internal!K$60/12+N17*'MARA Prices'!$F$5</f>
        <v>2497.4304929222744</v>
      </c>
      <c r="R17" s="63">
        <f>$F17*Outputs_Internal!L$60/12+N17*'MARA Prices'!$F$6</f>
        <v>9008.8195070777256</v>
      </c>
      <c r="S17" s="63">
        <f>N17*'MARA Prices'!$F$4</f>
        <v>666.66666666666674</v>
      </c>
      <c r="T17" s="63">
        <f>$F17*Outputs_Internal!M$60/12</f>
        <v>0</v>
      </c>
      <c r="U17" s="63">
        <f>$F17*Outputs_Internal!N$60/12</f>
        <v>0</v>
      </c>
      <c r="W17" s="63">
        <f t="shared" si="2"/>
        <v>36518.75</v>
      </c>
      <c r="X17" s="63">
        <f t="shared" si="3"/>
        <v>7492.2914787668233</v>
      </c>
      <c r="Y17" s="63">
        <f t="shared" si="4"/>
        <v>27026.458521233177</v>
      </c>
      <c r="Z17" s="63">
        <f t="shared" si="5"/>
        <v>0</v>
      </c>
      <c r="AA17" s="63">
        <f t="shared" si="6"/>
        <v>2000.0000000000002</v>
      </c>
      <c r="AD17" s="105">
        <f>'MARA Prices'!H$21*$G17</f>
        <v>0</v>
      </c>
      <c r="AE17" s="105">
        <f>'MARA Prices'!I$21*$G17</f>
        <v>833.33333333333337</v>
      </c>
      <c r="AF17" s="105">
        <f>'MARA Prices'!J$21*$G17</f>
        <v>0</v>
      </c>
      <c r="AG17" s="105">
        <f>'MARA Prices'!K$21*$G17</f>
        <v>0</v>
      </c>
      <c r="AH17" s="105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G18" s="64">
        <f>IF(AND(B18&gt;=Inputs!$C$1,B18&lt;EDATE(Inputs!$C$1,Inputs!$C$2)),(1+'MARA Prices'!$F$1)^IFERROR(DATEDIF('MARA Prices'!$F$2,B18,"Y")+1, 0),0)</f>
        <v>1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833.33333333333337</v>
      </c>
      <c r="P18" s="63">
        <f>$F18*Outputs_Internal!$D$60/12+N18</f>
        <v>12172.916666666668</v>
      </c>
      <c r="Q18" s="63">
        <f>$F18*Outputs_Internal!K$60/12+N18*'MARA Prices'!$F$5</f>
        <v>2497.4304929222744</v>
      </c>
      <c r="R18" s="63">
        <f>$F18*Outputs_Internal!L$60/12+N18*'MARA Prices'!$F$6</f>
        <v>9008.8195070777256</v>
      </c>
      <c r="S18" s="63">
        <f>N18*'MARA Prices'!$F$4</f>
        <v>666.66666666666674</v>
      </c>
      <c r="T18" s="63">
        <f>$F18*Outputs_Internal!M$60/12</f>
        <v>0</v>
      </c>
      <c r="U18" s="63">
        <f>$F18*Outputs_Internal!N$60/12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105">
        <f>'MARA Prices'!H$21*$G18</f>
        <v>0</v>
      </c>
      <c r="AE18" s="105">
        <f>'MARA Prices'!I$21*$G18</f>
        <v>833.33333333333337</v>
      </c>
      <c r="AF18" s="105">
        <f>'MARA Prices'!J$21*$G18</f>
        <v>0</v>
      </c>
      <c r="AG18" s="105">
        <f>'MARA Prices'!K$21*$G18</f>
        <v>0</v>
      </c>
      <c r="AH18" s="105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G19" s="64">
        <f>IF(AND(B19&gt;=Inputs!$C$1,B19&lt;EDATE(Inputs!$C$1,Inputs!$C$2)),(1+'MARA Prices'!$F$1)^IFERROR(DATEDIF('MARA Prices'!$F$2,B19,"Y")+1, 0),0)</f>
        <v>1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833.33333333333337</v>
      </c>
      <c r="P19" s="63">
        <f>$F19*Outputs_Internal!$D$60/12+N19</f>
        <v>12172.916666666668</v>
      </c>
      <c r="Q19" s="63">
        <f>$F19*Outputs_Internal!K$60/12+N19*'MARA Prices'!$F$5</f>
        <v>2497.4304929222744</v>
      </c>
      <c r="R19" s="63">
        <f>$F19*Outputs_Internal!L$60/12+N19*'MARA Prices'!$F$6</f>
        <v>9008.8195070777256</v>
      </c>
      <c r="S19" s="63">
        <f>N19*'MARA Prices'!$F$4</f>
        <v>666.66666666666674</v>
      </c>
      <c r="T19" s="63">
        <f>$F19*Outputs_Internal!M$60/12</f>
        <v>0</v>
      </c>
      <c r="U19" s="63">
        <f>$F19*Outputs_Internal!N$60/12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105">
        <f>'MARA Prices'!H$21*$G19</f>
        <v>0</v>
      </c>
      <c r="AE19" s="105">
        <f>'MARA Prices'!I$21*$G19</f>
        <v>833.33333333333337</v>
      </c>
      <c r="AF19" s="105">
        <f>'MARA Prices'!J$21*$G19</f>
        <v>0</v>
      </c>
      <c r="AG19" s="105">
        <f>'MARA Prices'!K$21*$G19</f>
        <v>0</v>
      </c>
      <c r="AH19" s="105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G20" s="64">
        <f>IF(AND(B20&gt;=Inputs!$C$1,B20&lt;EDATE(Inputs!$C$1,Inputs!$C$2)),(1+'MARA Prices'!$F$1)^IFERROR(DATEDIF('MARA Prices'!$F$2,B20,"Y")+1, 0),0)</f>
        <v>1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833.33333333333337</v>
      </c>
      <c r="P20" s="63">
        <f>$F20*Outputs_Internal!$D$60/12+N20</f>
        <v>12172.916666666668</v>
      </c>
      <c r="Q20" s="63">
        <f>$F20*Outputs_Internal!K$60/12+N20*'MARA Prices'!$F$5</f>
        <v>2497.4304929222744</v>
      </c>
      <c r="R20" s="63">
        <f>$F20*Outputs_Internal!L$60/12+N20*'MARA Prices'!$F$6</f>
        <v>9008.8195070777256</v>
      </c>
      <c r="S20" s="63">
        <f>N20*'MARA Prices'!$F$4</f>
        <v>666.66666666666674</v>
      </c>
      <c r="T20" s="63">
        <f>$F20*Outputs_Internal!M$60/12</f>
        <v>0</v>
      </c>
      <c r="U20" s="63">
        <f>$F20*Outputs_Internal!N$60/12</f>
        <v>0</v>
      </c>
      <c r="W20" s="63">
        <f t="shared" si="2"/>
        <v>36518.75</v>
      </c>
      <c r="X20" s="63">
        <f t="shared" si="3"/>
        <v>7492.2914787668233</v>
      </c>
      <c r="Y20" s="63">
        <f t="shared" si="4"/>
        <v>27026.458521233177</v>
      </c>
      <c r="Z20" s="63">
        <f t="shared" si="5"/>
        <v>0</v>
      </c>
      <c r="AA20" s="63">
        <f t="shared" si="6"/>
        <v>2000.0000000000002</v>
      </c>
      <c r="AD20" s="105">
        <f>'MARA Prices'!H$21*$G20</f>
        <v>0</v>
      </c>
      <c r="AE20" s="105">
        <f>'MARA Prices'!I$21*$G20</f>
        <v>833.33333333333337</v>
      </c>
      <c r="AF20" s="105">
        <f>'MARA Prices'!J$21*$G20</f>
        <v>0</v>
      </c>
      <c r="AG20" s="105">
        <f>'MARA Prices'!K$21*$G20</f>
        <v>0</v>
      </c>
      <c r="AH20" s="105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G21" s="64">
        <f>IF(AND(B21&gt;=Inputs!$C$1,B21&lt;EDATE(Inputs!$C$1,Inputs!$C$2)),(1+'MARA Prices'!$F$1)^IFERROR(DATEDIF('MARA Prices'!$F$2,B21,"Y")+1, 0),0)</f>
        <v>1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833.33333333333337</v>
      </c>
      <c r="P21" s="63">
        <f>$F21*Outputs_Internal!$D$60/12+N21</f>
        <v>12172.916666666668</v>
      </c>
      <c r="Q21" s="63">
        <f>$F21*Outputs_Internal!K$60/12+N21*'MARA Prices'!$F$5</f>
        <v>2497.4304929222744</v>
      </c>
      <c r="R21" s="63">
        <f>$F21*Outputs_Internal!L$60/12+N21*'MARA Prices'!$F$6</f>
        <v>9008.8195070777256</v>
      </c>
      <c r="S21" s="63">
        <f>N21*'MARA Prices'!$F$4</f>
        <v>666.66666666666674</v>
      </c>
      <c r="T21" s="63">
        <f>$F21*Outputs_Internal!M$60/12</f>
        <v>0</v>
      </c>
      <c r="U21" s="63">
        <f>$F21*Outputs_Internal!N$60/12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105">
        <f>'MARA Prices'!H$21*$G21</f>
        <v>0</v>
      </c>
      <c r="AE21" s="105">
        <f>'MARA Prices'!I$21*$G21</f>
        <v>833.33333333333337</v>
      </c>
      <c r="AF21" s="105">
        <f>'MARA Prices'!J$21*$G21</f>
        <v>0</v>
      </c>
      <c r="AG21" s="105">
        <f>'MARA Prices'!K$21*$G21</f>
        <v>0</v>
      </c>
      <c r="AH21" s="105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G22" s="64">
        <f>IF(AND(B22&gt;=Inputs!$C$1,B22&lt;EDATE(Inputs!$C$1,Inputs!$C$2)),(1+'MARA Prices'!$F$1)^IFERROR(DATEDIF('MARA Prices'!$F$2,B22,"Y")+1, 0),0)</f>
        <v>1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833.33333333333337</v>
      </c>
      <c r="P22" s="63">
        <f>$F22*Outputs_Internal!$D$60/12+N22</f>
        <v>12172.916666666668</v>
      </c>
      <c r="Q22" s="63">
        <f>$F22*Outputs_Internal!K$60/12+N22*'MARA Prices'!$F$5</f>
        <v>2497.4304929222744</v>
      </c>
      <c r="R22" s="63">
        <f>$F22*Outputs_Internal!L$60/12+N22*'MARA Prices'!$F$6</f>
        <v>9008.8195070777256</v>
      </c>
      <c r="S22" s="63">
        <f>N22*'MARA Prices'!$F$4</f>
        <v>666.66666666666674</v>
      </c>
      <c r="T22" s="63">
        <f>$F22*Outputs_Internal!M$60/12</f>
        <v>0</v>
      </c>
      <c r="U22" s="63">
        <f>$F22*Outputs_Internal!N$60/12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105">
        <f>'MARA Prices'!H$21*$G22</f>
        <v>0</v>
      </c>
      <c r="AE22" s="105">
        <f>'MARA Prices'!I$21*$G22</f>
        <v>833.33333333333337</v>
      </c>
      <c r="AF22" s="105">
        <f>'MARA Prices'!J$21*$G22</f>
        <v>0</v>
      </c>
      <c r="AG22" s="105">
        <f>'MARA Prices'!K$21*$G22</f>
        <v>0</v>
      </c>
      <c r="AH22" s="105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G23" s="64">
        <f>IF(AND(B23&gt;=Inputs!$C$1,B23&lt;EDATE(Inputs!$C$1,Inputs!$C$2)),(1+'MARA Prices'!$F$1)^IFERROR(DATEDIF('MARA Prices'!$F$2,B23,"Y")+1, 0),0)</f>
        <v>1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833.33333333333337</v>
      </c>
      <c r="P23" s="63">
        <f>$F23*Outputs_Internal!$D$60/12+N23</f>
        <v>12172.916666666668</v>
      </c>
      <c r="Q23" s="63">
        <f>$F23*Outputs_Internal!K$60/12+N23*'MARA Prices'!$F$5</f>
        <v>2497.4304929222744</v>
      </c>
      <c r="R23" s="63">
        <f>$F23*Outputs_Internal!L$60/12+N23*'MARA Prices'!$F$6</f>
        <v>9008.8195070777256</v>
      </c>
      <c r="S23" s="63">
        <f>N23*'MARA Prices'!$F$4</f>
        <v>666.66666666666674</v>
      </c>
      <c r="T23" s="63">
        <f>$F23*Outputs_Internal!M$60/12</f>
        <v>0</v>
      </c>
      <c r="U23" s="63">
        <f>$F23*Outputs_Internal!N$60/12</f>
        <v>0</v>
      </c>
      <c r="W23" s="63">
        <f t="shared" si="2"/>
        <v>36518.75</v>
      </c>
      <c r="X23" s="63">
        <f t="shared" si="3"/>
        <v>7492.2914787668233</v>
      </c>
      <c r="Y23" s="63">
        <f t="shared" si="4"/>
        <v>27026.458521233177</v>
      </c>
      <c r="Z23" s="63">
        <f t="shared" si="5"/>
        <v>0</v>
      </c>
      <c r="AA23" s="63">
        <f t="shared" si="6"/>
        <v>2000.0000000000002</v>
      </c>
      <c r="AD23" s="105">
        <f>'MARA Prices'!H$21*$G23</f>
        <v>0</v>
      </c>
      <c r="AE23" s="105">
        <f>'MARA Prices'!I$21*$G23</f>
        <v>833.33333333333337</v>
      </c>
      <c r="AF23" s="105">
        <f>'MARA Prices'!J$21*$G23</f>
        <v>0</v>
      </c>
      <c r="AG23" s="105">
        <f>'MARA Prices'!K$21*$G23</f>
        <v>0</v>
      </c>
      <c r="AH23" s="105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G24" s="64">
        <f>IF(AND(B24&gt;=Inputs!$C$1,B24&lt;EDATE(Inputs!$C$1,Inputs!$C$2)),(1+'MARA Prices'!$F$1)^IFERROR(DATEDIF('MARA Prices'!$F$2,B24,"Y")+1, 0),0)</f>
        <v>1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833.33333333333337</v>
      </c>
      <c r="P24" s="63">
        <f>$F24*Outputs_Internal!$D$60/12+N24</f>
        <v>12172.916666666668</v>
      </c>
      <c r="Q24" s="63">
        <f>$F24*Outputs_Internal!K$60/12+N24*'MARA Prices'!$F$5</f>
        <v>2497.4304929222744</v>
      </c>
      <c r="R24" s="63">
        <f>$F24*Outputs_Internal!L$60/12+N24*'MARA Prices'!$F$6</f>
        <v>9008.8195070777256</v>
      </c>
      <c r="S24" s="63">
        <f>N24*'MARA Prices'!$F$4</f>
        <v>666.66666666666674</v>
      </c>
      <c r="T24" s="63">
        <f>$F24*Outputs_Internal!M$60/12</f>
        <v>0</v>
      </c>
      <c r="U24" s="63">
        <f>$F24*Outputs_Internal!N$60/12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105">
        <f>'MARA Prices'!H$21*$G24</f>
        <v>0</v>
      </c>
      <c r="AE24" s="105">
        <f>'MARA Prices'!I$21*$G24</f>
        <v>833.33333333333337</v>
      </c>
      <c r="AF24" s="105">
        <f>'MARA Prices'!J$21*$G24</f>
        <v>0</v>
      </c>
      <c r="AG24" s="105">
        <f>'MARA Prices'!K$21*$G24</f>
        <v>0</v>
      </c>
      <c r="AH24" s="105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G25" s="64">
        <f>IF(AND(B25&gt;=Inputs!$C$1,B25&lt;EDATE(Inputs!$C$1,Inputs!$C$2)),(1+'MARA Prices'!$F$1)^IFERROR(DATEDIF('MARA Prices'!$F$2,B25,"Y")+1, 0),0)</f>
        <v>1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833.33333333333337</v>
      </c>
      <c r="P25" s="63">
        <f>$F25*Outputs_Internal!$D$60/12+N25</f>
        <v>12172.916666666668</v>
      </c>
      <c r="Q25" s="63">
        <f>$F25*Outputs_Internal!K$60/12+N25*'MARA Prices'!$F$5</f>
        <v>2497.4304929222744</v>
      </c>
      <c r="R25" s="63">
        <f>$F25*Outputs_Internal!L$60/12+N25*'MARA Prices'!$F$6</f>
        <v>9008.8195070777256</v>
      </c>
      <c r="S25" s="63">
        <f>N25*'MARA Prices'!$F$4</f>
        <v>666.66666666666674</v>
      </c>
      <c r="T25" s="63">
        <f>$F25*Outputs_Internal!M$60/12</f>
        <v>0</v>
      </c>
      <c r="U25" s="63">
        <f>$F25*Outputs_Internal!N$60/12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105">
        <f>'MARA Prices'!H$21*$G25</f>
        <v>0</v>
      </c>
      <c r="AE25" s="105">
        <f>'MARA Prices'!I$21*$G25</f>
        <v>833.33333333333337</v>
      </c>
      <c r="AF25" s="105">
        <f>'MARA Prices'!J$21*$G25</f>
        <v>0</v>
      </c>
      <c r="AG25" s="105">
        <f>'MARA Prices'!K$21*$G25</f>
        <v>0</v>
      </c>
      <c r="AH25" s="105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G26" s="64">
        <f>IF(AND(B26&gt;=Inputs!$C$1,B26&lt;EDATE(Inputs!$C$1,Inputs!$C$2)),(1+'MARA Prices'!$F$1)^IFERROR(DATEDIF('MARA Prices'!$F$2,B26,"Y")+1, 0),0)</f>
        <v>1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833.33333333333337</v>
      </c>
      <c r="P26" s="63">
        <f>$F26*Outputs_Internal!$D$60/12+N26</f>
        <v>12172.916666666668</v>
      </c>
      <c r="Q26" s="63">
        <f>$F26*Outputs_Internal!K$60/12+N26*'MARA Prices'!$F$5</f>
        <v>2497.4304929222744</v>
      </c>
      <c r="R26" s="63">
        <f>$F26*Outputs_Internal!L$60/12+N26*'MARA Prices'!$F$6</f>
        <v>9008.8195070777256</v>
      </c>
      <c r="S26" s="63">
        <f>N26*'MARA Prices'!$F$4</f>
        <v>666.66666666666674</v>
      </c>
      <c r="T26" s="63">
        <f>$F26*Outputs_Internal!M$60/12</f>
        <v>0</v>
      </c>
      <c r="U26" s="63">
        <f>$F26*Outputs_Internal!N$60/12</f>
        <v>0</v>
      </c>
      <c r="W26" s="63">
        <f t="shared" si="2"/>
        <v>36518.75</v>
      </c>
      <c r="X26" s="63">
        <f t="shared" si="3"/>
        <v>7492.2914787668233</v>
      </c>
      <c r="Y26" s="63">
        <f t="shared" si="4"/>
        <v>27026.458521233177</v>
      </c>
      <c r="Z26" s="63">
        <f t="shared" si="5"/>
        <v>0</v>
      </c>
      <c r="AA26" s="63">
        <f t="shared" si="6"/>
        <v>2000.0000000000002</v>
      </c>
      <c r="AD26" s="105">
        <f>'MARA Prices'!H$21*$G26</f>
        <v>0</v>
      </c>
      <c r="AE26" s="105">
        <f>'MARA Prices'!I$21*$G26</f>
        <v>833.33333333333337</v>
      </c>
      <c r="AF26" s="105">
        <f>'MARA Prices'!J$21*$G26</f>
        <v>0</v>
      </c>
      <c r="AG26" s="105">
        <f>'MARA Prices'!K$21*$G26</f>
        <v>0</v>
      </c>
      <c r="AH26" s="105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0</v>
      </c>
      <c r="J27" s="63">
        <f>IF($B27=Inputs!$C$1,SUM(Outputs_Internal!K$4, Outputs_Internal!K$5),0)*$D27</f>
        <v>0</v>
      </c>
      <c r="K27" s="63">
        <f>IF($B27=Inputs!$C$1,SUM(Outputs_Internal!L$4, Outputs_Internal!L$5),0)*$D27</f>
        <v>0</v>
      </c>
      <c r="L27" s="63">
        <f>IF($B27=Inputs!$C$1,SUM(Outputs_Internal!M$4, Outputs_Internal!$M$5),0)*$D27</f>
        <v>0</v>
      </c>
      <c r="N27" s="63">
        <f t="shared" si="0"/>
        <v>833.33333333333337</v>
      </c>
      <c r="P27" s="63">
        <f>$F27*Outputs_Internal!$D$60/12+N27</f>
        <v>12172.916666666668</v>
      </c>
      <c r="Q27" s="63">
        <f>$F27*Outputs_Internal!K$60/12+N27*'MARA Prices'!$F$5</f>
        <v>2497.4304929222744</v>
      </c>
      <c r="R27" s="63">
        <f>$F27*Outputs_Internal!L$60/12+N27*'MARA Prices'!$F$6</f>
        <v>9008.8195070777256</v>
      </c>
      <c r="S27" s="63">
        <f>N27*'MARA Prices'!$F$4</f>
        <v>666.66666666666674</v>
      </c>
      <c r="T27" s="63">
        <f>$F27*Outputs_Internal!M$60/12</f>
        <v>0</v>
      </c>
      <c r="U27" s="63">
        <f>$F27*Outputs_Internal!N$60/12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105">
        <f>'MARA Prices'!H$21*$G27</f>
        <v>0</v>
      </c>
      <c r="AE27" s="105">
        <f>'MARA Prices'!I$21*$G27</f>
        <v>833.33333333333337</v>
      </c>
      <c r="AF27" s="105">
        <f>'MARA Prices'!J$21*$G27</f>
        <v>0</v>
      </c>
      <c r="AG27" s="105">
        <f>'MARA Prices'!K$21*$G27</f>
        <v>0</v>
      </c>
      <c r="AH27" s="105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833.33333333333337</v>
      </c>
      <c r="P28" s="63">
        <f>$F28*Outputs_Internal!$D$60/12+N28</f>
        <v>12172.916666666668</v>
      </c>
      <c r="Q28" s="63">
        <f>$F28*Outputs_Internal!K$60/12+N28*'MARA Prices'!$F$5</f>
        <v>2497.4304929222744</v>
      </c>
      <c r="R28" s="63">
        <f>$F28*Outputs_Internal!L$60/12+N28*'MARA Prices'!$F$6</f>
        <v>9008.8195070777256</v>
      </c>
      <c r="S28" s="63">
        <f>N28*'MARA Prices'!$F$4</f>
        <v>666.66666666666674</v>
      </c>
      <c r="T28" s="63">
        <f>$F28*Outputs_Internal!M$60/12</f>
        <v>0</v>
      </c>
      <c r="U28" s="63">
        <f>$F28*Outputs_Internal!N$60/12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105">
        <f>'MARA Prices'!H$21*$G28</f>
        <v>0</v>
      </c>
      <c r="AE28" s="105">
        <f>'MARA Prices'!I$21*$G28</f>
        <v>833.33333333333337</v>
      </c>
      <c r="AF28" s="105">
        <f>'MARA Prices'!J$21*$G28</f>
        <v>0</v>
      </c>
      <c r="AG28" s="105">
        <f>'MARA Prices'!K$21*$G28</f>
        <v>0</v>
      </c>
      <c r="AH28" s="105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833.33333333333337</v>
      </c>
      <c r="P29" s="63">
        <f>$F29*Outputs_Internal!$D$60/12+N29</f>
        <v>12172.916666666668</v>
      </c>
      <c r="Q29" s="63">
        <f>$F29*Outputs_Internal!K$60/12+N29*'MARA Prices'!$F$5</f>
        <v>2497.4304929222744</v>
      </c>
      <c r="R29" s="63">
        <f>$F29*Outputs_Internal!L$60/12+N29*'MARA Prices'!$F$6</f>
        <v>9008.8195070777256</v>
      </c>
      <c r="S29" s="63">
        <f>N29*'MARA Prices'!$F$4</f>
        <v>666.66666666666674</v>
      </c>
      <c r="T29" s="63">
        <f>$F29*Outputs_Internal!M$60/12</f>
        <v>0</v>
      </c>
      <c r="U29" s="63">
        <f>$F29*Outputs_Internal!N$60/12</f>
        <v>0</v>
      </c>
      <c r="W29" s="63">
        <f t="shared" si="2"/>
        <v>36518.75</v>
      </c>
      <c r="X29" s="63">
        <f t="shared" si="3"/>
        <v>7492.2914787668233</v>
      </c>
      <c r="Y29" s="63">
        <f t="shared" si="4"/>
        <v>27026.458521233177</v>
      </c>
      <c r="Z29" s="63">
        <f t="shared" si="5"/>
        <v>0</v>
      </c>
      <c r="AA29" s="63">
        <f t="shared" si="6"/>
        <v>2000.0000000000002</v>
      </c>
      <c r="AD29" s="105">
        <f>'MARA Prices'!H$21*$G29</f>
        <v>0</v>
      </c>
      <c r="AE29" s="105">
        <f>'MARA Prices'!I$21*$G29</f>
        <v>833.33333333333337</v>
      </c>
      <c r="AF29" s="105">
        <f>'MARA Prices'!J$21*$G29</f>
        <v>0</v>
      </c>
      <c r="AG29" s="105">
        <f>'MARA Prices'!K$21*$G29</f>
        <v>0</v>
      </c>
      <c r="AH29" s="105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833.33333333333337</v>
      </c>
      <c r="P30" s="63">
        <f>$F30*Outputs_Internal!$D$60/12+N30</f>
        <v>12172.916666666668</v>
      </c>
      <c r="Q30" s="63">
        <f>$F30*Outputs_Internal!K$60/12+N30*'MARA Prices'!$F$5</f>
        <v>2497.4304929222744</v>
      </c>
      <c r="R30" s="63">
        <f>$F30*Outputs_Internal!L$60/12+N30*'MARA Prices'!$F$6</f>
        <v>9008.8195070777256</v>
      </c>
      <c r="S30" s="63">
        <f>N30*'MARA Prices'!$F$4</f>
        <v>666.66666666666674</v>
      </c>
      <c r="T30" s="63">
        <f>$F30*Outputs_Internal!M$60/12</f>
        <v>0</v>
      </c>
      <c r="U30" s="63">
        <f>$F30*Outputs_Internal!N$60/12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105">
        <f>'MARA Prices'!H$21*$G30</f>
        <v>0</v>
      </c>
      <c r="AE30" s="105">
        <f>'MARA Prices'!I$21*$G30</f>
        <v>833.33333333333337</v>
      </c>
      <c r="AF30" s="105">
        <f>'MARA Prices'!J$21*$G30</f>
        <v>0</v>
      </c>
      <c r="AG30" s="105">
        <f>'MARA Prices'!K$21*$G30</f>
        <v>0</v>
      </c>
      <c r="AH30" s="105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833.33333333333337</v>
      </c>
      <c r="P31" s="63">
        <f>$F31*Outputs_Internal!$D$60/12+N31</f>
        <v>12172.916666666668</v>
      </c>
      <c r="Q31" s="63">
        <f>$F31*Outputs_Internal!K$60/12+N31*'MARA Prices'!$F$5</f>
        <v>2497.4304929222744</v>
      </c>
      <c r="R31" s="63">
        <f>$F31*Outputs_Internal!L$60/12+N31*'MARA Prices'!$F$6</f>
        <v>9008.8195070777256</v>
      </c>
      <c r="S31" s="63">
        <f>N31*'MARA Prices'!$F$4</f>
        <v>666.66666666666674</v>
      </c>
      <c r="T31" s="63">
        <f>$F31*Outputs_Internal!M$60/12</f>
        <v>0</v>
      </c>
      <c r="U31" s="63">
        <f>$F31*Outputs_Internal!N$60/12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105">
        <f>'MARA Prices'!H$21*$G31</f>
        <v>0</v>
      </c>
      <c r="AE31" s="105">
        <f>'MARA Prices'!I$21*$G31</f>
        <v>833.33333333333337</v>
      </c>
      <c r="AF31" s="105">
        <f>'MARA Prices'!J$21*$G31</f>
        <v>0</v>
      </c>
      <c r="AG31" s="105">
        <f>'MARA Prices'!K$21*$G31</f>
        <v>0</v>
      </c>
      <c r="AH31" s="105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833.33333333333337</v>
      </c>
      <c r="P32" s="63">
        <f>$F32*Outputs_Internal!$D$60/12+N32</f>
        <v>12172.916666666668</v>
      </c>
      <c r="Q32" s="63">
        <f>$F32*Outputs_Internal!K$60/12+N32*'MARA Prices'!$F$5</f>
        <v>2497.4304929222744</v>
      </c>
      <c r="R32" s="63">
        <f>$F32*Outputs_Internal!L$60/12+N32*'MARA Prices'!$F$6</f>
        <v>9008.8195070777256</v>
      </c>
      <c r="S32" s="63">
        <f>N32*'MARA Prices'!$F$4</f>
        <v>666.66666666666674</v>
      </c>
      <c r="T32" s="63">
        <f>$F32*Outputs_Internal!M$60/12</f>
        <v>0</v>
      </c>
      <c r="U32" s="63">
        <f>$F32*Outputs_Internal!N$60/12</f>
        <v>0</v>
      </c>
      <c r="W32" s="63">
        <f t="shared" si="2"/>
        <v>36518.75</v>
      </c>
      <c r="X32" s="63">
        <f t="shared" si="3"/>
        <v>7492.2914787668233</v>
      </c>
      <c r="Y32" s="63">
        <f t="shared" si="4"/>
        <v>27026.458521233177</v>
      </c>
      <c r="Z32" s="63">
        <f t="shared" si="5"/>
        <v>0</v>
      </c>
      <c r="AA32" s="63">
        <f t="shared" si="6"/>
        <v>2000.0000000000002</v>
      </c>
      <c r="AD32" s="105">
        <f>'MARA Prices'!H$21*$G32</f>
        <v>0</v>
      </c>
      <c r="AE32" s="105">
        <f>'MARA Prices'!I$21*$G32</f>
        <v>833.33333333333337</v>
      </c>
      <c r="AF32" s="105">
        <f>'MARA Prices'!J$21*$G32</f>
        <v>0</v>
      </c>
      <c r="AG32" s="105">
        <f>'MARA Prices'!K$21*$G32</f>
        <v>0</v>
      </c>
      <c r="AH32" s="105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875.00000000000011</v>
      </c>
      <c r="P33" s="63">
        <f>$F33*Outputs_Internal!$D$60/12+N33</f>
        <v>12214.583333333334</v>
      </c>
      <c r="Q33" s="63">
        <f>$F33*Outputs_Internal!K$60/12+N33*'MARA Prices'!$F$5</f>
        <v>2501.5971595889409</v>
      </c>
      <c r="R33" s="63">
        <f>$F33*Outputs_Internal!L$60/12+N33*'MARA Prices'!$F$6</f>
        <v>9012.9861737443916</v>
      </c>
      <c r="S33" s="63">
        <f>N33*'MARA Prices'!$F$4</f>
        <v>700.00000000000011</v>
      </c>
      <c r="T33" s="63">
        <f>$F33*Outputs_Internal!M$60/12</f>
        <v>0</v>
      </c>
      <c r="U33" s="63">
        <f>$F33*Outputs_Internal!N$60/12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105">
        <f>'MARA Prices'!H$21*$G33</f>
        <v>0</v>
      </c>
      <c r="AE33" s="105">
        <f>'MARA Prices'!I$21*$G33</f>
        <v>875.00000000000011</v>
      </c>
      <c r="AF33" s="105">
        <f>'MARA Prices'!J$21*$G33</f>
        <v>0</v>
      </c>
      <c r="AG33" s="105">
        <f>'MARA Prices'!K$21*$G33</f>
        <v>0</v>
      </c>
      <c r="AH33" s="105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875.00000000000011</v>
      </c>
      <c r="P34" s="63">
        <f>$F34*Outputs_Internal!$D$60/12+N34</f>
        <v>12214.583333333334</v>
      </c>
      <c r="Q34" s="63">
        <f>$F34*Outputs_Internal!K$60/12+N34*'MARA Prices'!$F$5</f>
        <v>2501.5971595889409</v>
      </c>
      <c r="R34" s="63">
        <f>$F34*Outputs_Internal!L$60/12+N34*'MARA Prices'!$F$6</f>
        <v>9012.9861737443916</v>
      </c>
      <c r="S34" s="63">
        <f>N34*'MARA Prices'!$F$4</f>
        <v>700.00000000000011</v>
      </c>
      <c r="T34" s="63">
        <f>$F34*Outputs_Internal!M$60/12</f>
        <v>0</v>
      </c>
      <c r="U34" s="63">
        <f>$F34*Outputs_Internal!N$60/12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105">
        <f>'MARA Prices'!H$21*$G34</f>
        <v>0</v>
      </c>
      <c r="AE34" s="105">
        <f>'MARA Prices'!I$21*$G34</f>
        <v>875.00000000000011</v>
      </c>
      <c r="AF34" s="105">
        <f>'MARA Prices'!J$21*$G34</f>
        <v>0</v>
      </c>
      <c r="AG34" s="105">
        <f>'MARA Prices'!K$21*$G34</f>
        <v>0</v>
      </c>
      <c r="AH34" s="105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875.00000000000011</v>
      </c>
      <c r="P35" s="63">
        <f>$F35*Outputs_Internal!$D$60/12+N35</f>
        <v>12214.583333333334</v>
      </c>
      <c r="Q35" s="63">
        <f>$F35*Outputs_Internal!K$60/12+N35*'MARA Prices'!$F$5</f>
        <v>2501.5971595889409</v>
      </c>
      <c r="R35" s="63">
        <f>$F35*Outputs_Internal!L$60/12+N35*'MARA Prices'!$F$6</f>
        <v>9012.9861737443916</v>
      </c>
      <c r="S35" s="63">
        <f>N35*'MARA Prices'!$F$4</f>
        <v>700.00000000000011</v>
      </c>
      <c r="T35" s="63">
        <f>$F35*Outputs_Internal!M$60/12</f>
        <v>0</v>
      </c>
      <c r="U35" s="63">
        <f>$F35*Outputs_Internal!N$60/12</f>
        <v>0</v>
      </c>
      <c r="W35" s="63">
        <f t="shared" si="2"/>
        <v>36643.75</v>
      </c>
      <c r="X35" s="63">
        <f t="shared" si="3"/>
        <v>7504.7914787668233</v>
      </c>
      <c r="Y35" s="63">
        <f t="shared" si="4"/>
        <v>27038.958521233173</v>
      </c>
      <c r="Z35" s="63">
        <f t="shared" si="5"/>
        <v>0</v>
      </c>
      <c r="AA35" s="63">
        <f t="shared" si="6"/>
        <v>2100.0000000000005</v>
      </c>
      <c r="AD35" s="105">
        <f>'MARA Prices'!H$21*$G35</f>
        <v>0</v>
      </c>
      <c r="AE35" s="105">
        <f>'MARA Prices'!I$21*$G35</f>
        <v>875.00000000000011</v>
      </c>
      <c r="AF35" s="105">
        <f>'MARA Prices'!J$21*$G35</f>
        <v>0</v>
      </c>
      <c r="AG35" s="105">
        <f>'MARA Prices'!K$21*$G35</f>
        <v>0</v>
      </c>
      <c r="AH35" s="105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875.00000000000011</v>
      </c>
      <c r="P36" s="63">
        <f>$F36*Outputs_Internal!$D$60/12+N36</f>
        <v>12214.583333333334</v>
      </c>
      <c r="Q36" s="63">
        <f>$F36*Outputs_Internal!K$60/12+N36*'MARA Prices'!$F$5</f>
        <v>2501.5971595889409</v>
      </c>
      <c r="R36" s="63">
        <f>$F36*Outputs_Internal!L$60/12+N36*'MARA Prices'!$F$6</f>
        <v>9012.9861737443916</v>
      </c>
      <c r="S36" s="63">
        <f>N36*'MARA Prices'!$F$4</f>
        <v>700.00000000000011</v>
      </c>
      <c r="T36" s="63">
        <f>$F36*Outputs_Internal!M$60/12</f>
        <v>0</v>
      </c>
      <c r="U36" s="63">
        <f>$F36*Outputs_Internal!N$60/12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105">
        <f>'MARA Prices'!H$21*$G36</f>
        <v>0</v>
      </c>
      <c r="AE36" s="105">
        <f>'MARA Prices'!I$21*$G36</f>
        <v>875.00000000000011</v>
      </c>
      <c r="AF36" s="105">
        <f>'MARA Prices'!J$21*$G36</f>
        <v>0</v>
      </c>
      <c r="AG36" s="105">
        <f>'MARA Prices'!K$21*$G36</f>
        <v>0</v>
      </c>
      <c r="AH36" s="105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875.00000000000011</v>
      </c>
      <c r="P37" s="63">
        <f>$F37*Outputs_Internal!$D$60/12+N37</f>
        <v>12214.583333333334</v>
      </c>
      <c r="Q37" s="63">
        <f>$F37*Outputs_Internal!K$60/12+N37*'MARA Prices'!$F$5</f>
        <v>2501.5971595889409</v>
      </c>
      <c r="R37" s="63">
        <f>$F37*Outputs_Internal!L$60/12+N37*'MARA Prices'!$F$6</f>
        <v>9012.9861737443916</v>
      </c>
      <c r="S37" s="63">
        <f>N37*'MARA Prices'!$F$4</f>
        <v>700.00000000000011</v>
      </c>
      <c r="T37" s="63">
        <f>$F37*Outputs_Internal!M$60/12</f>
        <v>0</v>
      </c>
      <c r="U37" s="63">
        <f>$F37*Outputs_Internal!N$60/12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si="6"/>
        <v>0</v>
      </c>
      <c r="AD37" s="105">
        <f>'MARA Prices'!H$21*$G37</f>
        <v>0</v>
      </c>
      <c r="AE37" s="105">
        <f>'MARA Prices'!I$21*$G37</f>
        <v>875.00000000000011</v>
      </c>
      <c r="AF37" s="105">
        <f>'MARA Prices'!J$21*$G37</f>
        <v>0</v>
      </c>
      <c r="AG37" s="105">
        <f>'MARA Prices'!K$21*$G37</f>
        <v>0</v>
      </c>
      <c r="AH37" s="105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875.00000000000011</v>
      </c>
      <c r="P38" s="63">
        <f>$F38*Outputs_Internal!$D$60/12+N38</f>
        <v>12214.583333333334</v>
      </c>
      <c r="Q38" s="63">
        <f>$F38*Outputs_Internal!K$60/12+N38*'MARA Prices'!$F$5</f>
        <v>2501.5971595889409</v>
      </c>
      <c r="R38" s="63">
        <f>$F38*Outputs_Internal!L$60/12+N38*'MARA Prices'!$F$6</f>
        <v>9012.9861737443916</v>
      </c>
      <c r="S38" s="63">
        <f>N38*'MARA Prices'!$F$4</f>
        <v>700.00000000000011</v>
      </c>
      <c r="T38" s="63">
        <f>$F38*Outputs_Internal!M$60/12</f>
        <v>0</v>
      </c>
      <c r="U38" s="63">
        <f>$F38*Outputs_Internal!N$60/12</f>
        <v>0</v>
      </c>
      <c r="W38" s="63">
        <f t="shared" si="7"/>
        <v>36643.75</v>
      </c>
      <c r="X38" s="63">
        <f t="shared" si="8"/>
        <v>7504.7914787668233</v>
      </c>
      <c r="Y38" s="63">
        <f t="shared" si="9"/>
        <v>27038.958521233173</v>
      </c>
      <c r="Z38" s="63">
        <f t="shared" si="10"/>
        <v>0</v>
      </c>
      <c r="AA38" s="63">
        <f t="shared" si="6"/>
        <v>2100.0000000000005</v>
      </c>
      <c r="AD38" s="105">
        <f>'MARA Prices'!H$21*$G38</f>
        <v>0</v>
      </c>
      <c r="AE38" s="105">
        <f>'MARA Prices'!I$21*$G38</f>
        <v>875.00000000000011</v>
      </c>
      <c r="AF38" s="105">
        <f>'MARA Prices'!J$21*$G38</f>
        <v>0</v>
      </c>
      <c r="AG38" s="105">
        <f>'MARA Prices'!K$21*$G38</f>
        <v>0</v>
      </c>
      <c r="AH38" s="105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875.00000000000011</v>
      </c>
      <c r="P39" s="63">
        <f>$F39*Outputs_Internal!$D$60/12+N39</f>
        <v>12214.583333333334</v>
      </c>
      <c r="Q39" s="63">
        <f>$F39*Outputs_Internal!K$60/12+N39*'MARA Prices'!$F$5</f>
        <v>2501.5971595889409</v>
      </c>
      <c r="R39" s="63">
        <f>$F39*Outputs_Internal!L$60/12+N39*'MARA Prices'!$F$6</f>
        <v>9012.9861737443916</v>
      </c>
      <c r="S39" s="63">
        <f>N39*'MARA Prices'!$F$4</f>
        <v>700.00000000000011</v>
      </c>
      <c r="T39" s="63">
        <f>$F39*Outputs_Internal!M$60/12</f>
        <v>0</v>
      </c>
      <c r="U39" s="63">
        <f>$F39*Outputs_Internal!N$60/12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6"/>
        <v>0</v>
      </c>
      <c r="AD39" s="105">
        <f>'MARA Prices'!H$21*$G39</f>
        <v>0</v>
      </c>
      <c r="AE39" s="105">
        <f>'MARA Prices'!I$21*$G39</f>
        <v>875.00000000000011</v>
      </c>
      <c r="AF39" s="105">
        <f>'MARA Prices'!J$21*$G39</f>
        <v>0</v>
      </c>
      <c r="AG39" s="105">
        <f>'MARA Prices'!K$21*$G39</f>
        <v>0</v>
      </c>
      <c r="AH39" s="105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875.00000000000011</v>
      </c>
      <c r="P40" s="63">
        <f>$F40*Outputs_Internal!$D$60/12+N40</f>
        <v>12214.583333333334</v>
      </c>
      <c r="Q40" s="63">
        <f>$F40*Outputs_Internal!K$60/12+N40*'MARA Prices'!$F$5</f>
        <v>2501.5971595889409</v>
      </c>
      <c r="R40" s="63">
        <f>$F40*Outputs_Internal!L$60/12+N40*'MARA Prices'!$F$6</f>
        <v>9012.9861737443916</v>
      </c>
      <c r="S40" s="63">
        <f>N40*'MARA Prices'!$F$4</f>
        <v>700.00000000000011</v>
      </c>
      <c r="T40" s="63">
        <f>$F40*Outputs_Internal!M$60/12</f>
        <v>0</v>
      </c>
      <c r="U40" s="63">
        <f>$F40*Outputs_Internal!N$60/12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6"/>
        <v>0</v>
      </c>
      <c r="AD40" s="105">
        <f>'MARA Prices'!H$21*$G40</f>
        <v>0</v>
      </c>
      <c r="AE40" s="105">
        <f>'MARA Prices'!I$21*$G40</f>
        <v>875.00000000000011</v>
      </c>
      <c r="AF40" s="105">
        <f>'MARA Prices'!J$21*$G40</f>
        <v>0</v>
      </c>
      <c r="AG40" s="105">
        <f>'MARA Prices'!K$21*$G40</f>
        <v>0</v>
      </c>
      <c r="AH40" s="105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875.00000000000011</v>
      </c>
      <c r="P41" s="63">
        <f>$F41*Outputs_Internal!$D$60/12+N41</f>
        <v>12214.583333333334</v>
      </c>
      <c r="Q41" s="63">
        <f>$F41*Outputs_Internal!K$60/12+N41*'MARA Prices'!$F$5</f>
        <v>2501.5971595889409</v>
      </c>
      <c r="R41" s="63">
        <f>$F41*Outputs_Internal!L$60/12+N41*'MARA Prices'!$F$6</f>
        <v>9012.9861737443916</v>
      </c>
      <c r="S41" s="63">
        <f>N41*'MARA Prices'!$F$4</f>
        <v>700.00000000000011</v>
      </c>
      <c r="T41" s="63">
        <f>$F41*Outputs_Internal!M$60/12</f>
        <v>0</v>
      </c>
      <c r="U41" s="63">
        <f>$F41*Outputs_Internal!N$60/12</f>
        <v>0</v>
      </c>
      <c r="W41" s="63">
        <f t="shared" si="7"/>
        <v>36643.75</v>
      </c>
      <c r="X41" s="63">
        <f t="shared" si="8"/>
        <v>7504.7914787668233</v>
      </c>
      <c r="Y41" s="63">
        <f t="shared" si="9"/>
        <v>27038.958521233173</v>
      </c>
      <c r="Z41" s="63">
        <f t="shared" si="10"/>
        <v>0</v>
      </c>
      <c r="AA41" s="63">
        <f t="shared" si="6"/>
        <v>2100.0000000000005</v>
      </c>
      <c r="AD41" s="105">
        <f>'MARA Prices'!H$21*$G41</f>
        <v>0</v>
      </c>
      <c r="AE41" s="105">
        <f>'MARA Prices'!I$21*$G41</f>
        <v>875.00000000000011</v>
      </c>
      <c r="AF41" s="105">
        <f>'MARA Prices'!J$21*$G41</f>
        <v>0</v>
      </c>
      <c r="AG41" s="105">
        <f>'MARA Prices'!K$21*$G41</f>
        <v>0</v>
      </c>
      <c r="AH41" s="105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875.00000000000011</v>
      </c>
      <c r="P42" s="63">
        <f>$F42*Outputs_Internal!$D$60/12+N42</f>
        <v>12214.583333333334</v>
      </c>
      <c r="Q42" s="63">
        <f>$F42*Outputs_Internal!K$60/12+N42*'MARA Prices'!$F$5</f>
        <v>2501.5971595889409</v>
      </c>
      <c r="R42" s="63">
        <f>$F42*Outputs_Internal!L$60/12+N42*'MARA Prices'!$F$6</f>
        <v>9012.9861737443916</v>
      </c>
      <c r="S42" s="63">
        <f>N42*'MARA Prices'!$F$4</f>
        <v>700.00000000000011</v>
      </c>
      <c r="T42" s="63">
        <f>$F42*Outputs_Internal!M$60/12</f>
        <v>0</v>
      </c>
      <c r="U42" s="63">
        <f>$F42*Outputs_Internal!N$60/12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6"/>
        <v>0</v>
      </c>
      <c r="AD42" s="105">
        <f>'MARA Prices'!H$21*$G42</f>
        <v>0</v>
      </c>
      <c r="AE42" s="105">
        <f>'MARA Prices'!I$21*$G42</f>
        <v>875.00000000000011</v>
      </c>
      <c r="AF42" s="105">
        <f>'MARA Prices'!J$21*$G42</f>
        <v>0</v>
      </c>
      <c r="AG42" s="105">
        <f>'MARA Prices'!K$21*$G42</f>
        <v>0</v>
      </c>
      <c r="AH42" s="105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875.00000000000011</v>
      </c>
      <c r="P43" s="63">
        <f>$F43*Outputs_Internal!$D$60/12+N43</f>
        <v>12214.583333333334</v>
      </c>
      <c r="Q43" s="63">
        <f>$F43*Outputs_Internal!K$60/12+N43*'MARA Prices'!$F$5</f>
        <v>2501.5971595889409</v>
      </c>
      <c r="R43" s="63">
        <f>$F43*Outputs_Internal!L$60/12+N43*'MARA Prices'!$F$6</f>
        <v>9012.9861737443916</v>
      </c>
      <c r="S43" s="63">
        <f>N43*'MARA Prices'!$F$4</f>
        <v>700.00000000000011</v>
      </c>
      <c r="T43" s="63">
        <f>$F43*Outputs_Internal!M$60/12</f>
        <v>0</v>
      </c>
      <c r="U43" s="63">
        <f>$F43*Outputs_Internal!N$60/12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6"/>
        <v>0</v>
      </c>
      <c r="AD43" s="105">
        <f>'MARA Prices'!H$21*$G43</f>
        <v>0</v>
      </c>
      <c r="AE43" s="105">
        <f>'MARA Prices'!I$21*$G43</f>
        <v>875.00000000000011</v>
      </c>
      <c r="AF43" s="105">
        <f>'MARA Prices'!J$21*$G43</f>
        <v>0</v>
      </c>
      <c r="AG43" s="105">
        <f>'MARA Prices'!K$21*$G43</f>
        <v>0</v>
      </c>
      <c r="AH43" s="105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875.00000000000011</v>
      </c>
      <c r="P44" s="63">
        <f>$F44*Outputs_Internal!$D$60/12+N44</f>
        <v>12214.583333333334</v>
      </c>
      <c r="Q44" s="63">
        <f>$F44*Outputs_Internal!K$60/12+N44*'MARA Prices'!$F$5</f>
        <v>2501.5971595889409</v>
      </c>
      <c r="R44" s="63">
        <f>$F44*Outputs_Internal!L$60/12+N44*'MARA Prices'!$F$6</f>
        <v>9012.9861737443916</v>
      </c>
      <c r="S44" s="63">
        <f>N44*'MARA Prices'!$F$4</f>
        <v>700.00000000000011</v>
      </c>
      <c r="T44" s="63">
        <f>$F44*Outputs_Internal!M$60/12</f>
        <v>0</v>
      </c>
      <c r="U44" s="63">
        <f>$F44*Outputs_Internal!N$60/12</f>
        <v>0</v>
      </c>
      <c r="W44" s="63">
        <f t="shared" si="7"/>
        <v>36643.75</v>
      </c>
      <c r="X44" s="63">
        <f t="shared" si="8"/>
        <v>7504.7914787668233</v>
      </c>
      <c r="Y44" s="63">
        <f t="shared" si="9"/>
        <v>27038.958521233173</v>
      </c>
      <c r="Z44" s="63">
        <f t="shared" si="10"/>
        <v>0</v>
      </c>
      <c r="AA44" s="63">
        <f t="shared" si="6"/>
        <v>2100.0000000000005</v>
      </c>
      <c r="AD44" s="105">
        <f>'MARA Prices'!H$21*$G44</f>
        <v>0</v>
      </c>
      <c r="AE44" s="105">
        <f>'MARA Prices'!I$21*$G44</f>
        <v>875.00000000000011</v>
      </c>
      <c r="AF44" s="105">
        <f>'MARA Prices'!J$21*$G44</f>
        <v>0</v>
      </c>
      <c r="AG44" s="105">
        <f>'MARA Prices'!K$21*$G44</f>
        <v>0</v>
      </c>
      <c r="AH44" s="105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G45" s="64">
        <f>IF(AND(B45&gt;=Inputs!$C$1,B45&lt;EDATE(Inputs!$C$1,Inputs!$C$2)),(1+'MARA Prices'!$F$1)^IFERROR(DATEDIF('MARA Prices'!$F$2,B45,"Y")+1, 0),0)</f>
        <v>0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$F45*Outputs_Internal!$D$60/12+N45</f>
        <v>0</v>
      </c>
      <c r="Q45" s="63">
        <f>$F45*Outputs_Internal!K$60/12+N45*'MARA Prices'!$F$5</f>
        <v>0</v>
      </c>
      <c r="R45" s="63">
        <f>$F45*Outputs_Internal!L$60/12+N45*'MARA Prices'!$F$6</f>
        <v>0</v>
      </c>
      <c r="S45" s="63">
        <f>N45*'MARA Prices'!$F$4</f>
        <v>0</v>
      </c>
      <c r="T45" s="63">
        <f>$F45*Outputs_Internal!M$60/12</f>
        <v>0</v>
      </c>
      <c r="U45" s="63">
        <f>$F45*Outputs_Internal!N$60/12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6"/>
        <v>0</v>
      </c>
      <c r="AD45" s="105">
        <f>'MARA Prices'!H$21*$G45</f>
        <v>0</v>
      </c>
      <c r="AE45" s="105">
        <f>'MARA Prices'!I$21*$G45</f>
        <v>0</v>
      </c>
      <c r="AF45" s="105">
        <f>'MARA Prices'!J$21*$G45</f>
        <v>0</v>
      </c>
      <c r="AG45" s="105">
        <f>'MARA Prices'!K$21*$G45</f>
        <v>0</v>
      </c>
      <c r="AH45" s="105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G46" s="64">
        <f>IF(AND(B46&gt;=Inputs!$C$1,B46&lt;EDATE(Inputs!$C$1,Inputs!$C$2)),(1+'MARA Prices'!$F$1)^IFERROR(DATEDIF('MARA Prices'!$F$2,B46,"Y")+1, 0),0)</f>
        <v>0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$F46*Outputs_Internal!$D$60/12+N46</f>
        <v>0</v>
      </c>
      <c r="Q46" s="63">
        <f>$F46*Outputs_Internal!K$60/12+N46*'MARA Prices'!$F$5</f>
        <v>0</v>
      </c>
      <c r="R46" s="63">
        <f>$F46*Outputs_Internal!L$60/12+N46*'MARA Prices'!$F$6</f>
        <v>0</v>
      </c>
      <c r="S46" s="63">
        <f>N46*'MARA Prices'!$F$4</f>
        <v>0</v>
      </c>
      <c r="T46" s="63">
        <f>$F46*Outputs_Internal!M$60/12</f>
        <v>0</v>
      </c>
      <c r="U46" s="63">
        <f>$F46*Outputs_Internal!N$60/12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6"/>
        <v>0</v>
      </c>
      <c r="AD46" s="105">
        <f>'MARA Prices'!H$21*$G46</f>
        <v>0</v>
      </c>
      <c r="AE46" s="105">
        <f>'MARA Prices'!I$21*$G46</f>
        <v>0</v>
      </c>
      <c r="AF46" s="105">
        <f>'MARA Prices'!J$21*$G46</f>
        <v>0</v>
      </c>
      <c r="AG46" s="105">
        <f>'MARA Prices'!K$21*$G46</f>
        <v>0</v>
      </c>
      <c r="AH46" s="105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G47" s="64">
        <f>IF(AND(B47&gt;=Inputs!$C$1,B47&lt;EDATE(Inputs!$C$1,Inputs!$C$2)),(1+'MARA Prices'!$F$1)^IFERROR(DATEDIF('MARA Prices'!$F$2,B47,"Y")+1, 0),0)</f>
        <v>0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$F47*Outputs_Internal!$D$60/12+N47</f>
        <v>0</v>
      </c>
      <c r="Q47" s="63">
        <f>$F47*Outputs_Internal!K$60/12+N47*'MARA Prices'!$F$5</f>
        <v>0</v>
      </c>
      <c r="R47" s="63">
        <f>$F47*Outputs_Internal!L$60/12+N47*'MARA Prices'!$F$6</f>
        <v>0</v>
      </c>
      <c r="S47" s="63">
        <f>N47*'MARA Prices'!$F$4</f>
        <v>0</v>
      </c>
      <c r="T47" s="63">
        <f>$F47*Outputs_Internal!M$60/12</f>
        <v>0</v>
      </c>
      <c r="U47" s="63">
        <f>$F47*Outputs_Internal!N$60/12</f>
        <v>0</v>
      </c>
      <c r="W47" s="63">
        <f t="shared" si="7"/>
        <v>0</v>
      </c>
      <c r="X47" s="63">
        <f t="shared" si="8"/>
        <v>0</v>
      </c>
      <c r="Y47" s="63">
        <f t="shared" si="9"/>
        <v>0</v>
      </c>
      <c r="Z47" s="63">
        <f t="shared" si="10"/>
        <v>0</v>
      </c>
      <c r="AA47" s="63">
        <f t="shared" si="6"/>
        <v>0</v>
      </c>
      <c r="AD47" s="105">
        <f>'MARA Prices'!H$21*$G47</f>
        <v>0</v>
      </c>
      <c r="AE47" s="105">
        <f>'MARA Prices'!I$21*$G47</f>
        <v>0</v>
      </c>
      <c r="AF47" s="105">
        <f>'MARA Prices'!J$21*$G47</f>
        <v>0</v>
      </c>
      <c r="AG47" s="105">
        <f>'MARA Prices'!K$21*$G47</f>
        <v>0</v>
      </c>
      <c r="AH47" s="105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G48" s="64">
        <f>IF(AND(B48&gt;=Inputs!$C$1,B48&lt;EDATE(Inputs!$C$1,Inputs!$C$2)),(1+'MARA Prices'!$F$1)^IFERROR(DATEDIF('MARA Prices'!$F$2,B48,"Y")+1, 0),0)</f>
        <v>0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$F48*Outputs_Internal!$D$60/12+N48</f>
        <v>0</v>
      </c>
      <c r="Q48" s="63">
        <f>$F48*Outputs_Internal!K$60/12+N48*'MARA Prices'!$F$5</f>
        <v>0</v>
      </c>
      <c r="R48" s="63">
        <f>$F48*Outputs_Internal!L$60/12+N48*'MARA Prices'!$F$6</f>
        <v>0</v>
      </c>
      <c r="S48" s="63">
        <f>N48*'MARA Prices'!$F$4</f>
        <v>0</v>
      </c>
      <c r="T48" s="63">
        <f>$F48*Outputs_Internal!M$60/12</f>
        <v>0</v>
      </c>
      <c r="U48" s="63">
        <f>$F48*Outputs_Internal!N$60/12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6"/>
        <v>0</v>
      </c>
      <c r="AD48" s="105">
        <f>'MARA Prices'!H$21*$G48</f>
        <v>0</v>
      </c>
      <c r="AE48" s="105">
        <f>'MARA Prices'!I$21*$G48</f>
        <v>0</v>
      </c>
      <c r="AF48" s="105">
        <f>'MARA Prices'!J$21*$G48</f>
        <v>0</v>
      </c>
      <c r="AG48" s="105">
        <f>'MARA Prices'!K$21*$G48</f>
        <v>0</v>
      </c>
      <c r="AH48" s="105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G49" s="64">
        <f>IF(AND(B49&gt;=Inputs!$C$1,B49&lt;EDATE(Inputs!$C$1,Inputs!$C$2)),(1+'MARA Prices'!$F$1)^IFERROR(DATEDIF('MARA Prices'!$F$2,B49,"Y")+1, 0),0)</f>
        <v>0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$F49*Outputs_Internal!$D$60/12+N49</f>
        <v>0</v>
      </c>
      <c r="Q49" s="63">
        <f>$F49*Outputs_Internal!K$60/12+N49*'MARA Prices'!$F$5</f>
        <v>0</v>
      </c>
      <c r="R49" s="63">
        <f>$F49*Outputs_Internal!L$60/12+N49*'MARA Prices'!$F$6</f>
        <v>0</v>
      </c>
      <c r="S49" s="63">
        <f>N49*'MARA Prices'!$F$4</f>
        <v>0</v>
      </c>
      <c r="T49" s="63">
        <f>$F49*Outputs_Internal!M$60/12</f>
        <v>0</v>
      </c>
      <c r="U49" s="63">
        <f>$F49*Outputs_Internal!N$60/12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6"/>
        <v>0</v>
      </c>
      <c r="AD49" s="105">
        <f>'MARA Prices'!H$21*$G49</f>
        <v>0</v>
      </c>
      <c r="AE49" s="105">
        <f>'MARA Prices'!I$21*$G49</f>
        <v>0</v>
      </c>
      <c r="AF49" s="105">
        <f>'MARA Prices'!J$21*$G49</f>
        <v>0</v>
      </c>
      <c r="AG49" s="105">
        <f>'MARA Prices'!K$21*$G49</f>
        <v>0</v>
      </c>
      <c r="AH49" s="105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G50" s="64">
        <f>IF(AND(B50&gt;=Inputs!$C$1,B50&lt;EDATE(Inputs!$C$1,Inputs!$C$2)),(1+'MARA Prices'!$F$1)^IFERROR(DATEDIF('MARA Prices'!$F$2,B50,"Y")+1, 0),0)</f>
        <v>0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$F50*Outputs_Internal!$D$60/12+N50</f>
        <v>0</v>
      </c>
      <c r="Q50" s="63">
        <f>$F50*Outputs_Internal!K$60/12+N50*'MARA Prices'!$F$5</f>
        <v>0</v>
      </c>
      <c r="R50" s="63">
        <f>$F50*Outputs_Internal!L$60/12+N50*'MARA Prices'!$F$6</f>
        <v>0</v>
      </c>
      <c r="S50" s="63">
        <f>N50*'MARA Prices'!$F$4</f>
        <v>0</v>
      </c>
      <c r="T50" s="63">
        <f>$F50*Outputs_Internal!M$60/12</f>
        <v>0</v>
      </c>
      <c r="U50" s="63">
        <f>$F50*Outputs_Internal!N$60/12</f>
        <v>0</v>
      </c>
      <c r="W50" s="63">
        <f t="shared" si="7"/>
        <v>0</v>
      </c>
      <c r="X50" s="63">
        <f t="shared" si="8"/>
        <v>0</v>
      </c>
      <c r="Y50" s="63">
        <f t="shared" si="9"/>
        <v>0</v>
      </c>
      <c r="Z50" s="63">
        <f t="shared" si="10"/>
        <v>0</v>
      </c>
      <c r="AA50" s="63">
        <f t="shared" si="6"/>
        <v>0</v>
      </c>
      <c r="AD50" s="105">
        <f>'MARA Prices'!H$21*$G50</f>
        <v>0</v>
      </c>
      <c r="AE50" s="105">
        <f>'MARA Prices'!I$21*$G50</f>
        <v>0</v>
      </c>
      <c r="AF50" s="105">
        <f>'MARA Prices'!J$21*$G50</f>
        <v>0</v>
      </c>
      <c r="AG50" s="105">
        <f>'MARA Prices'!K$21*$G50</f>
        <v>0</v>
      </c>
      <c r="AH50" s="105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G51" s="64">
        <f>IF(AND(B51&gt;=Inputs!$C$1,B51&lt;EDATE(Inputs!$C$1,Inputs!$C$2)),(1+'MARA Prices'!$F$1)^IFERROR(DATEDIF('MARA Prices'!$F$2,B51,"Y")+1, 0),0)</f>
        <v>0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$F51*Outputs_Internal!$D$60/12+N51</f>
        <v>0</v>
      </c>
      <c r="Q51" s="63">
        <f>$F51*Outputs_Internal!K$60/12+N51*'MARA Prices'!$F$5</f>
        <v>0</v>
      </c>
      <c r="R51" s="63">
        <f>$F51*Outputs_Internal!L$60/12+N51*'MARA Prices'!$F$6</f>
        <v>0</v>
      </c>
      <c r="S51" s="63">
        <f>N51*'MARA Prices'!$F$4</f>
        <v>0</v>
      </c>
      <c r="T51" s="63">
        <f>$F51*Outputs_Internal!M$60/12</f>
        <v>0</v>
      </c>
      <c r="U51" s="63">
        <f>$F51*Outputs_Internal!N$60/12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6"/>
        <v>0</v>
      </c>
      <c r="AD51" s="105">
        <f>'MARA Prices'!H$21*$G51</f>
        <v>0</v>
      </c>
      <c r="AE51" s="105">
        <f>'MARA Prices'!I$21*$G51</f>
        <v>0</v>
      </c>
      <c r="AF51" s="105">
        <f>'MARA Prices'!J$21*$G51</f>
        <v>0</v>
      </c>
      <c r="AG51" s="105">
        <f>'MARA Prices'!K$21*$G51</f>
        <v>0</v>
      </c>
      <c r="AH51" s="105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G52" s="64">
        <f>IF(AND(B52&gt;=Inputs!$C$1,B52&lt;EDATE(Inputs!$C$1,Inputs!$C$2)),(1+'MARA Prices'!$F$1)^IFERROR(DATEDIF('MARA Prices'!$F$2,B52,"Y")+1, 0),0)</f>
        <v>0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$F52*Outputs_Internal!$D$60/12+N52</f>
        <v>0</v>
      </c>
      <c r="Q52" s="63">
        <f>$F52*Outputs_Internal!K$60/12+N52*'MARA Prices'!$F$5</f>
        <v>0</v>
      </c>
      <c r="R52" s="63">
        <f>$F52*Outputs_Internal!L$60/12+N52*'MARA Prices'!$F$6</f>
        <v>0</v>
      </c>
      <c r="S52" s="63">
        <f>N52*'MARA Prices'!$F$4</f>
        <v>0</v>
      </c>
      <c r="T52" s="63">
        <f>$F52*Outputs_Internal!M$60/12</f>
        <v>0</v>
      </c>
      <c r="U52" s="63">
        <f>$F52*Outputs_Internal!N$60/12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6"/>
        <v>0</v>
      </c>
      <c r="AD52" s="105">
        <f>'MARA Prices'!H$21*$G52</f>
        <v>0</v>
      </c>
      <c r="AE52" s="105">
        <f>'MARA Prices'!I$21*$G52</f>
        <v>0</v>
      </c>
      <c r="AF52" s="105">
        <f>'MARA Prices'!J$21*$G52</f>
        <v>0</v>
      </c>
      <c r="AG52" s="105">
        <f>'MARA Prices'!K$21*$G52</f>
        <v>0</v>
      </c>
      <c r="AH52" s="105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G53" s="64">
        <f>IF(AND(B53&gt;=Inputs!$C$1,B53&lt;EDATE(Inputs!$C$1,Inputs!$C$2)),(1+'MARA Prices'!$F$1)^IFERROR(DATEDIF('MARA Prices'!$F$2,B53,"Y")+1, 0),0)</f>
        <v>0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$F53*Outputs_Internal!$D$60/12+N53</f>
        <v>0</v>
      </c>
      <c r="Q53" s="63">
        <f>$F53*Outputs_Internal!K$60/12+N53*'MARA Prices'!$F$5</f>
        <v>0</v>
      </c>
      <c r="R53" s="63">
        <f>$F53*Outputs_Internal!L$60/12+N53*'MARA Prices'!$F$6</f>
        <v>0</v>
      </c>
      <c r="S53" s="63">
        <f>N53*'MARA Prices'!$F$4</f>
        <v>0</v>
      </c>
      <c r="T53" s="63">
        <f>$F53*Outputs_Internal!M$60/12</f>
        <v>0</v>
      </c>
      <c r="U53" s="63">
        <f>$F53*Outputs_Internal!N$60/12</f>
        <v>0</v>
      </c>
      <c r="W53" s="63">
        <f t="shared" si="7"/>
        <v>0</v>
      </c>
      <c r="X53" s="63">
        <f t="shared" si="8"/>
        <v>0</v>
      </c>
      <c r="Y53" s="63">
        <f t="shared" si="9"/>
        <v>0</v>
      </c>
      <c r="Z53" s="63">
        <f t="shared" si="10"/>
        <v>0</v>
      </c>
      <c r="AA53" s="63">
        <f t="shared" si="6"/>
        <v>0</v>
      </c>
      <c r="AD53" s="105">
        <f>'MARA Prices'!H$21*$G53</f>
        <v>0</v>
      </c>
      <c r="AE53" s="105">
        <f>'MARA Prices'!I$21*$G53</f>
        <v>0</v>
      </c>
      <c r="AF53" s="105">
        <f>'MARA Prices'!J$21*$G53</f>
        <v>0</v>
      </c>
      <c r="AG53" s="105">
        <f>'MARA Prices'!K$21*$G53</f>
        <v>0</v>
      </c>
      <c r="AH53" s="105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G54" s="64">
        <f>IF(AND(B54&gt;=Inputs!$C$1,B54&lt;EDATE(Inputs!$C$1,Inputs!$C$2)),(1+'MARA Prices'!$F$1)^IFERROR(DATEDIF('MARA Prices'!$F$2,B54,"Y")+1, 0),0)</f>
        <v>0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$F54*Outputs_Internal!$D$60/12+N54</f>
        <v>0</v>
      </c>
      <c r="Q54" s="63">
        <f>$F54*Outputs_Internal!K$60/12+N54*'MARA Prices'!$F$5</f>
        <v>0</v>
      </c>
      <c r="R54" s="63">
        <f>$F54*Outputs_Internal!L$60/12+N54*'MARA Prices'!$F$6</f>
        <v>0</v>
      </c>
      <c r="S54" s="63">
        <f>N54*'MARA Prices'!$F$4</f>
        <v>0</v>
      </c>
      <c r="T54" s="63">
        <f>$F54*Outputs_Internal!M$60/12</f>
        <v>0</v>
      </c>
      <c r="U54" s="63">
        <f>$F54*Outputs_Internal!N$60/12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6"/>
        <v>0</v>
      </c>
      <c r="AD54" s="105">
        <f>'MARA Prices'!H$21*$G54</f>
        <v>0</v>
      </c>
      <c r="AE54" s="105">
        <f>'MARA Prices'!I$21*$G54</f>
        <v>0</v>
      </c>
      <c r="AF54" s="105">
        <f>'MARA Prices'!J$21*$G54</f>
        <v>0</v>
      </c>
      <c r="AG54" s="105">
        <f>'MARA Prices'!K$21*$G54</f>
        <v>0</v>
      </c>
      <c r="AH54" s="105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G55" s="64">
        <f>IF(AND(B55&gt;=Inputs!$C$1,B55&lt;EDATE(Inputs!$C$1,Inputs!$C$2)),(1+'MARA Prices'!$F$1)^IFERROR(DATEDIF('MARA Prices'!$F$2,B55,"Y")+1, 0),0)</f>
        <v>0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$F55*Outputs_Internal!$D$60/12+N55</f>
        <v>0</v>
      </c>
      <c r="Q55" s="63">
        <f>$F55*Outputs_Internal!K$60/12+N55*'MARA Prices'!$F$5</f>
        <v>0</v>
      </c>
      <c r="R55" s="63">
        <f>$F55*Outputs_Internal!L$60/12+N55*'MARA Prices'!$F$6</f>
        <v>0</v>
      </c>
      <c r="S55" s="63">
        <f>N55*'MARA Prices'!$F$4</f>
        <v>0</v>
      </c>
      <c r="T55" s="63">
        <f>$F55*Outputs_Internal!M$60/12</f>
        <v>0</v>
      </c>
      <c r="U55" s="63">
        <f>$F55*Outputs_Internal!N$60/12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6"/>
        <v>0</v>
      </c>
      <c r="AD55" s="105">
        <f>'MARA Prices'!H$21*$G55</f>
        <v>0</v>
      </c>
      <c r="AE55" s="105">
        <f>'MARA Prices'!I$21*$G55</f>
        <v>0</v>
      </c>
      <c r="AF55" s="105">
        <f>'MARA Prices'!J$21*$G55</f>
        <v>0</v>
      </c>
      <c r="AG55" s="105">
        <f>'MARA Prices'!K$21*$G55</f>
        <v>0</v>
      </c>
      <c r="AH55" s="105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G56" s="64">
        <f>IF(AND(B56&gt;=Inputs!$C$1,B56&lt;EDATE(Inputs!$C$1,Inputs!$C$2)),(1+'MARA Prices'!$F$1)^IFERROR(DATEDIF('MARA Prices'!$F$2,B56,"Y")+1, 0),0)</f>
        <v>0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$F56*Outputs_Internal!$D$60/12+N56</f>
        <v>0</v>
      </c>
      <c r="Q56" s="63">
        <f>$F56*Outputs_Internal!K$60/12+N56*'MARA Prices'!$F$5</f>
        <v>0</v>
      </c>
      <c r="R56" s="63">
        <f>$F56*Outputs_Internal!L$60/12+N56*'MARA Prices'!$F$6</f>
        <v>0</v>
      </c>
      <c r="S56" s="63">
        <f>N56*'MARA Prices'!$F$4</f>
        <v>0</v>
      </c>
      <c r="T56" s="63">
        <f>$F56*Outputs_Internal!M$60/12</f>
        <v>0</v>
      </c>
      <c r="U56" s="63">
        <f>$F56*Outputs_Internal!N$60/12</f>
        <v>0</v>
      </c>
      <c r="W56" s="63">
        <f t="shared" si="7"/>
        <v>0</v>
      </c>
      <c r="X56" s="63">
        <f t="shared" si="8"/>
        <v>0</v>
      </c>
      <c r="Y56" s="63">
        <f t="shared" si="9"/>
        <v>0</v>
      </c>
      <c r="Z56" s="63">
        <f t="shared" si="10"/>
        <v>0</v>
      </c>
      <c r="AA56" s="63">
        <f t="shared" si="6"/>
        <v>0</v>
      </c>
      <c r="AD56" s="105">
        <f>'MARA Prices'!H$21*$G56</f>
        <v>0</v>
      </c>
      <c r="AE56" s="105">
        <f>'MARA Prices'!I$21*$G56</f>
        <v>0</v>
      </c>
      <c r="AF56" s="105">
        <f>'MARA Prices'!J$21*$G56</f>
        <v>0</v>
      </c>
      <c r="AG56" s="105">
        <f>'MARA Prices'!K$21*$G56</f>
        <v>0</v>
      </c>
      <c r="AH56" s="105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G57" s="64">
        <f>IF(AND(B57&gt;=Inputs!$C$1,B57&lt;EDATE(Inputs!$C$1,Inputs!$C$2)),(1+'MARA Prices'!$F$1)^IFERROR(DATEDIF('MARA Prices'!$F$2,B57,"Y")+1, 0),0)</f>
        <v>0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$F57*Outputs_Internal!$D$60/12+N57</f>
        <v>0</v>
      </c>
      <c r="Q57" s="63">
        <f>$F57*Outputs_Internal!K$60/12+N57*'MARA Prices'!$F$5</f>
        <v>0</v>
      </c>
      <c r="R57" s="63">
        <f>$F57*Outputs_Internal!L$60/12+N57*'MARA Prices'!$F$6</f>
        <v>0</v>
      </c>
      <c r="S57" s="63">
        <f>N57*'MARA Prices'!$F$4</f>
        <v>0</v>
      </c>
      <c r="T57" s="63">
        <f>$F57*Outputs_Internal!M$60/12</f>
        <v>0</v>
      </c>
      <c r="U57" s="63">
        <f>$F57*Outputs_Internal!N$60/12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6"/>
        <v>0</v>
      </c>
      <c r="AD57" s="105">
        <f>'MARA Prices'!H$21*$G57</f>
        <v>0</v>
      </c>
      <c r="AE57" s="105">
        <f>'MARA Prices'!I$21*$G57</f>
        <v>0</v>
      </c>
      <c r="AF57" s="105">
        <f>'MARA Prices'!J$21*$G57</f>
        <v>0</v>
      </c>
      <c r="AG57" s="105">
        <f>'MARA Prices'!K$21*$G57</f>
        <v>0</v>
      </c>
      <c r="AH57" s="105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G58" s="64">
        <f>IF(AND(B58&gt;=Inputs!$C$1,B58&lt;EDATE(Inputs!$C$1,Inputs!$C$2)),(1+'MARA Prices'!$F$1)^IFERROR(DATEDIF('MARA Prices'!$F$2,B58,"Y")+1, 0),0)</f>
        <v>0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$F58*Outputs_Internal!$D$60/12+N58</f>
        <v>0</v>
      </c>
      <c r="Q58" s="63">
        <f>$F58*Outputs_Internal!K$60/12+N58*'MARA Prices'!$F$5</f>
        <v>0</v>
      </c>
      <c r="R58" s="63">
        <f>$F58*Outputs_Internal!L$60/12+N58*'MARA Prices'!$F$6</f>
        <v>0</v>
      </c>
      <c r="S58" s="63">
        <f>N58*'MARA Prices'!$F$4</f>
        <v>0</v>
      </c>
      <c r="T58" s="63">
        <f>$F58*Outputs_Internal!M$60/12</f>
        <v>0</v>
      </c>
      <c r="U58" s="63">
        <f>$F58*Outputs_Internal!N$60/12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6"/>
        <v>0</v>
      </c>
      <c r="AD58" s="105">
        <f>'MARA Prices'!H$21*$G58</f>
        <v>0</v>
      </c>
      <c r="AE58" s="105">
        <f>'MARA Prices'!I$21*$G58</f>
        <v>0</v>
      </c>
      <c r="AF58" s="105">
        <f>'MARA Prices'!J$21*$G58</f>
        <v>0</v>
      </c>
      <c r="AG58" s="105">
        <f>'MARA Prices'!K$21*$G58</f>
        <v>0</v>
      </c>
      <c r="AH58" s="105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G59" s="64">
        <f>IF(AND(B59&gt;=Inputs!$C$1,B59&lt;EDATE(Inputs!$C$1,Inputs!$C$2)),(1+'MARA Prices'!$F$1)^IFERROR(DATEDIF('MARA Prices'!$F$2,B59,"Y")+1, 0),0)</f>
        <v>0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$F59*Outputs_Internal!$D$60/12+N59</f>
        <v>0</v>
      </c>
      <c r="Q59" s="63">
        <f>$F59*Outputs_Internal!K$60/12+N59*'MARA Prices'!$F$5</f>
        <v>0</v>
      </c>
      <c r="R59" s="63">
        <f>$F59*Outputs_Internal!L$60/12+N59*'MARA Prices'!$F$6</f>
        <v>0</v>
      </c>
      <c r="S59" s="63">
        <f>N59*'MARA Prices'!$F$4</f>
        <v>0</v>
      </c>
      <c r="T59" s="63">
        <f>$F59*Outputs_Internal!M$60/12</f>
        <v>0</v>
      </c>
      <c r="U59" s="63">
        <f>$F59*Outputs_Internal!N$60/12</f>
        <v>0</v>
      </c>
      <c r="W59" s="63">
        <f t="shared" si="7"/>
        <v>0</v>
      </c>
      <c r="X59" s="63">
        <f t="shared" si="8"/>
        <v>0</v>
      </c>
      <c r="Y59" s="63">
        <f t="shared" si="9"/>
        <v>0</v>
      </c>
      <c r="Z59" s="63">
        <f t="shared" si="10"/>
        <v>0</v>
      </c>
      <c r="AA59" s="63">
        <f t="shared" si="6"/>
        <v>0</v>
      </c>
      <c r="AD59" s="105">
        <f>'MARA Prices'!H$21*$G59</f>
        <v>0</v>
      </c>
      <c r="AE59" s="105">
        <f>'MARA Prices'!I$21*$G59</f>
        <v>0</v>
      </c>
      <c r="AF59" s="105">
        <f>'MARA Prices'!J$21*$G59</f>
        <v>0</v>
      </c>
      <c r="AG59" s="105">
        <f>'MARA Prices'!K$21*$G59</f>
        <v>0</v>
      </c>
      <c r="AH59" s="105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G60" s="64">
        <f>IF(AND(B60&gt;=Inputs!$C$1,B60&lt;EDATE(Inputs!$C$1,Inputs!$C$2)),(1+'MARA Prices'!$F$1)^IFERROR(DATEDIF('MARA Prices'!$F$2,B60,"Y")+1, 0),0)</f>
        <v>0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$F60*Outputs_Internal!$D$60/12+N60</f>
        <v>0</v>
      </c>
      <c r="Q60" s="63">
        <f>$F60*Outputs_Internal!K$60/12+N60*'MARA Prices'!$F$5</f>
        <v>0</v>
      </c>
      <c r="R60" s="63">
        <f>$F60*Outputs_Internal!L$60/12+N60*'MARA Prices'!$F$6</f>
        <v>0</v>
      </c>
      <c r="S60" s="63">
        <f>N60*'MARA Prices'!$F$4</f>
        <v>0</v>
      </c>
      <c r="T60" s="63">
        <f>$F60*Outputs_Internal!M$60/12</f>
        <v>0</v>
      </c>
      <c r="U60" s="63">
        <f>$F60*Outputs_Internal!N$60/12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6"/>
        <v>0</v>
      </c>
      <c r="AD60" s="105">
        <f>'MARA Prices'!H$21*$G60</f>
        <v>0</v>
      </c>
      <c r="AE60" s="105">
        <f>'MARA Prices'!I$21*$G60</f>
        <v>0</v>
      </c>
      <c r="AF60" s="105">
        <f>'MARA Prices'!J$21*$G60</f>
        <v>0</v>
      </c>
      <c r="AG60" s="105">
        <f>'MARA Prices'!K$21*$G60</f>
        <v>0</v>
      </c>
      <c r="AH60" s="105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G61" s="64">
        <f>IF(AND(B61&gt;=Inputs!$C$1,B61&lt;EDATE(Inputs!$C$1,Inputs!$C$2)),(1+'MARA Prices'!$F$1)^IFERROR(DATEDIF('MARA Prices'!$F$2,B61,"Y")+1, 0),0)</f>
        <v>0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$F61*Outputs_Internal!$D$60/12+N61</f>
        <v>0</v>
      </c>
      <c r="Q61" s="63">
        <f>$F61*Outputs_Internal!K$60/12+N61*'MARA Prices'!$F$5</f>
        <v>0</v>
      </c>
      <c r="R61" s="63">
        <f>$F61*Outputs_Internal!L$60/12+N61*'MARA Prices'!$F$6</f>
        <v>0</v>
      </c>
      <c r="S61" s="63">
        <f>N61*'MARA Prices'!$F$4</f>
        <v>0</v>
      </c>
      <c r="T61" s="63">
        <f>$F61*Outputs_Internal!M$60/12</f>
        <v>0</v>
      </c>
      <c r="U61" s="63">
        <f>$F61*Outputs_Internal!N$60/12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6"/>
        <v>0</v>
      </c>
      <c r="AD61" s="105">
        <f>'MARA Prices'!H$21*$G61</f>
        <v>0</v>
      </c>
      <c r="AE61" s="105">
        <f>'MARA Prices'!I$21*$G61</f>
        <v>0</v>
      </c>
      <c r="AF61" s="105">
        <f>'MARA Prices'!J$21*$G61</f>
        <v>0</v>
      </c>
      <c r="AG61" s="105">
        <f>'MARA Prices'!K$21*$G61</f>
        <v>0</v>
      </c>
      <c r="AH61" s="105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G62" s="64">
        <f>IF(AND(B62&gt;=Inputs!$C$1,B62&lt;EDATE(Inputs!$C$1,Inputs!$C$2)),(1+'MARA Prices'!$F$1)^IFERROR(DATEDIF('MARA Prices'!$F$2,B62,"Y")+1, 0),0)</f>
        <v>0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$F62*Outputs_Internal!$D$60/12+N62</f>
        <v>0</v>
      </c>
      <c r="Q62" s="63">
        <f>$F62*Outputs_Internal!K$60/12+N62*'MARA Prices'!$F$5</f>
        <v>0</v>
      </c>
      <c r="R62" s="63">
        <f>$F62*Outputs_Internal!L$60/12+N62*'MARA Prices'!$F$6</f>
        <v>0</v>
      </c>
      <c r="S62" s="63">
        <f>N62*'MARA Prices'!$F$4</f>
        <v>0</v>
      </c>
      <c r="T62" s="63">
        <f>$F62*Outputs_Internal!M$60/12</f>
        <v>0</v>
      </c>
      <c r="U62" s="63">
        <f>$F62*Outputs_Internal!N$60/12</f>
        <v>0</v>
      </c>
      <c r="W62" s="63">
        <f t="shared" si="7"/>
        <v>0</v>
      </c>
      <c r="X62" s="63">
        <f t="shared" si="8"/>
        <v>0</v>
      </c>
      <c r="Y62" s="63">
        <f t="shared" si="9"/>
        <v>0</v>
      </c>
      <c r="Z62" s="63">
        <f t="shared" si="10"/>
        <v>0</v>
      </c>
      <c r="AA62" s="63">
        <f t="shared" si="6"/>
        <v>0</v>
      </c>
      <c r="AD62" s="105">
        <f>'MARA Prices'!H$21*$G62</f>
        <v>0</v>
      </c>
      <c r="AE62" s="105">
        <f>'MARA Prices'!I$21*$G62</f>
        <v>0</v>
      </c>
      <c r="AF62" s="105">
        <f>'MARA Prices'!J$21*$G62</f>
        <v>0</v>
      </c>
      <c r="AG62" s="105">
        <f>'MARA Prices'!K$21*$G62</f>
        <v>0</v>
      </c>
      <c r="AH62" s="105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$F63*Outputs_Internal!$D$60/12+N63</f>
        <v>0</v>
      </c>
      <c r="Q63" s="63">
        <f>$F63*Outputs_Internal!K$60/12+N63*'MARA Prices'!$F$5</f>
        <v>0</v>
      </c>
      <c r="R63" s="63">
        <f>$F63*Outputs_Internal!L$60/12+N63*'MARA Prices'!$F$6</f>
        <v>0</v>
      </c>
      <c r="S63" s="63">
        <f>N63*'MARA Prices'!$F$4</f>
        <v>0</v>
      </c>
      <c r="T63" s="63">
        <f>$F63*Outputs_Internal!M$60/12</f>
        <v>0</v>
      </c>
      <c r="U63" s="63">
        <f>$F63*Outputs_Internal!N$60/12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6"/>
        <v>0</v>
      </c>
      <c r="AD63" s="105">
        <f>'MARA Prices'!H$21*$G63</f>
        <v>0</v>
      </c>
      <c r="AE63" s="105">
        <f>'MARA Prices'!I$21*$G63</f>
        <v>0</v>
      </c>
      <c r="AF63" s="105">
        <f>'MARA Prices'!J$21*$G63</f>
        <v>0</v>
      </c>
      <c r="AG63" s="105">
        <f>'MARA Prices'!K$21*$G63</f>
        <v>0</v>
      </c>
      <c r="AH63" s="105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$F64*Outputs_Internal!$D$60/12+N64</f>
        <v>0</v>
      </c>
      <c r="Q64" s="63">
        <f>$F64*Outputs_Internal!K$60/12+N64*'MARA Prices'!$F$5</f>
        <v>0</v>
      </c>
      <c r="R64" s="63">
        <f>$F64*Outputs_Internal!L$60/12+N64*'MARA Prices'!$F$6</f>
        <v>0</v>
      </c>
      <c r="S64" s="63">
        <f>N64*'MARA Prices'!$F$4</f>
        <v>0</v>
      </c>
      <c r="T64" s="63">
        <f>$F64*Outputs_Internal!M$60/12</f>
        <v>0</v>
      </c>
      <c r="U64" s="63">
        <f>$F64*Outputs_Internal!N$60/12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6"/>
        <v>0</v>
      </c>
      <c r="AD64" s="105">
        <f>'MARA Prices'!H$21*$G64</f>
        <v>0</v>
      </c>
      <c r="AE64" s="105">
        <f>'MARA Prices'!I$21*$G64</f>
        <v>0</v>
      </c>
      <c r="AF64" s="105">
        <f>'MARA Prices'!J$21*$G64</f>
        <v>0</v>
      </c>
      <c r="AG64" s="105">
        <f>'MARA Prices'!K$21*$G64</f>
        <v>0</v>
      </c>
      <c r="AH64" s="105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$F65*Outputs_Internal!$D$60/12+N65</f>
        <v>0</v>
      </c>
      <c r="Q65" s="63">
        <f>$F65*Outputs_Internal!K$60/12+N65*'MARA Prices'!$F$5</f>
        <v>0</v>
      </c>
      <c r="R65" s="63">
        <f>$F65*Outputs_Internal!L$60/12+N65*'MARA Prices'!$F$6</f>
        <v>0</v>
      </c>
      <c r="S65" s="63">
        <f>N65*'MARA Prices'!$F$4</f>
        <v>0</v>
      </c>
      <c r="T65" s="63">
        <f>$F65*Outputs_Internal!M$60/12</f>
        <v>0</v>
      </c>
      <c r="U65" s="63">
        <f>$F65*Outputs_Internal!N$60/12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6"/>
        <v>0</v>
      </c>
      <c r="AD65" s="105">
        <f>'MARA Prices'!H$21*$G65</f>
        <v>0</v>
      </c>
      <c r="AE65" s="105">
        <f>'MARA Prices'!I$21*$G65</f>
        <v>0</v>
      </c>
      <c r="AF65" s="105">
        <f>'MARA Prices'!J$21*$G65</f>
        <v>0</v>
      </c>
      <c r="AG65" s="105">
        <f>'MARA Prices'!K$21*$G65</f>
        <v>0</v>
      </c>
      <c r="AH65" s="105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$F66*Outputs_Internal!$D$60/12+N66</f>
        <v>0</v>
      </c>
      <c r="Q66" s="63">
        <f>$F66*Outputs_Internal!K$60/12+N66*'MARA Prices'!$F$5</f>
        <v>0</v>
      </c>
      <c r="R66" s="63">
        <f>$F66*Outputs_Internal!L$60/12+N66*'MARA Prices'!$F$6</f>
        <v>0</v>
      </c>
      <c r="S66" s="63">
        <f>N66*'MARA Prices'!$F$4</f>
        <v>0</v>
      </c>
      <c r="T66" s="63">
        <f>$F66*Outputs_Internal!M$60/12</f>
        <v>0</v>
      </c>
      <c r="U66" s="63">
        <f>$F66*Outputs_Internal!N$60/12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6"/>
        <v>0</v>
      </c>
      <c r="AD66" s="105">
        <f>'MARA Prices'!H$21*$G66</f>
        <v>0</v>
      </c>
      <c r="AE66" s="105">
        <f>'MARA Prices'!I$21*$G66</f>
        <v>0</v>
      </c>
      <c r="AF66" s="105">
        <f>'MARA Prices'!J$21*$G66</f>
        <v>0</v>
      </c>
      <c r="AG66" s="105">
        <f>'MARA Prices'!K$21*$G66</f>
        <v>0</v>
      </c>
      <c r="AH66" s="105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$F67*Outputs_Internal!$D$60/12+N67</f>
        <v>0</v>
      </c>
      <c r="Q67" s="63">
        <f>$F67*Outputs_Internal!K$60/12+N67*'MARA Prices'!$F$5</f>
        <v>0</v>
      </c>
      <c r="R67" s="63">
        <f>$F67*Outputs_Internal!L$60/12+N67*'MARA Prices'!$F$6</f>
        <v>0</v>
      </c>
      <c r="S67" s="63">
        <f>N67*'MARA Prices'!$F$4</f>
        <v>0</v>
      </c>
      <c r="T67" s="63">
        <f>$F67*Outputs_Internal!M$60/12</f>
        <v>0</v>
      </c>
      <c r="U67" s="63">
        <f>$F67*Outputs_Internal!N$60/12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6"/>
        <v>0</v>
      </c>
      <c r="AD67" s="105">
        <f>'MARA Prices'!H$21*$G67</f>
        <v>0</v>
      </c>
      <c r="AE67" s="105">
        <f>'MARA Prices'!I$21*$G67</f>
        <v>0</v>
      </c>
      <c r="AF67" s="105">
        <f>'MARA Prices'!J$21*$G67</f>
        <v>0</v>
      </c>
      <c r="AG67" s="105">
        <f>'MARA Prices'!K$21*$G67</f>
        <v>0</v>
      </c>
      <c r="AH67" s="105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1">SUM(AD68:AH68)</f>
        <v>0</v>
      </c>
      <c r="P68" s="63">
        <f>$F68*Outputs_Internal!$D$60/12+N68</f>
        <v>0</v>
      </c>
      <c r="Q68" s="63">
        <f>$F68*Outputs_Internal!K$60/12+N68*'MARA Prices'!$F$5</f>
        <v>0</v>
      </c>
      <c r="R68" s="63">
        <f>$F68*Outputs_Internal!L$60/12+N68*'MARA Prices'!$F$6</f>
        <v>0</v>
      </c>
      <c r="S68" s="63">
        <f>N68*'MARA Prices'!$F$4</f>
        <v>0</v>
      </c>
      <c r="T68" s="63">
        <f>$F68*Outputs_Internal!M$60/12</f>
        <v>0</v>
      </c>
      <c r="U68" s="63">
        <f>$F68*Outputs_Internal!N$60/12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6"/>
        <v>0</v>
      </c>
      <c r="AD68" s="105">
        <f>'MARA Prices'!H$21*$G68</f>
        <v>0</v>
      </c>
      <c r="AE68" s="105">
        <f>'MARA Prices'!I$21*$G68</f>
        <v>0</v>
      </c>
      <c r="AF68" s="105">
        <f>'MARA Prices'!J$21*$G68</f>
        <v>0</v>
      </c>
      <c r="AG68" s="105">
        <f>'MARA Prices'!K$21*$G68</f>
        <v>0</v>
      </c>
      <c r="AH68" s="105">
        <f>'MARA Prices'!L$21*$G68</f>
        <v>0</v>
      </c>
    </row>
    <row r="69" spans="2:34" x14ac:dyDescent="0.35">
      <c r="B69" s="60">
        <f t="shared" ref="B69:B94" si="12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1"/>
        <v>0</v>
      </c>
      <c r="P69" s="63">
        <f>$F69*Outputs_Internal!$D$60/12+N69</f>
        <v>0</v>
      </c>
      <c r="Q69" s="63">
        <f>$F69*Outputs_Internal!K$60/12+N69*'MARA Prices'!$F$5</f>
        <v>0</v>
      </c>
      <c r="R69" s="63">
        <f>$F69*Outputs_Internal!L$60/12+N69*'MARA Prices'!$F$6</f>
        <v>0</v>
      </c>
      <c r="S69" s="63">
        <f>N69*'MARA Prices'!$F$4</f>
        <v>0</v>
      </c>
      <c r="T69" s="63">
        <f>$F69*Outputs_Internal!M$60/12</f>
        <v>0</v>
      </c>
      <c r="U69" s="63">
        <f>$F69*Outputs_Internal!N$60/12</f>
        <v>0</v>
      </c>
      <c r="W69" s="63">
        <f t="shared" ref="W69:W100" si="13">IF(MOD(MONTH($B69),3)=0,SUM(I67:I69,P67:P69),0)</f>
        <v>0</v>
      </c>
      <c r="X69" s="63">
        <f t="shared" ref="X69:X100" si="14">IF(MOD(MONTH($B69),3)=0,SUM(J67:J69,Q67:Q69),0)</f>
        <v>0</v>
      </c>
      <c r="Y69" s="63">
        <f t="shared" ref="Y69:Y100" si="15">IF(MOD(MONTH($B69),3)=0,SUM(K67:K69,R67:R69),0)</f>
        <v>0</v>
      </c>
      <c r="Z69" s="63">
        <f t="shared" ref="Z69:Z100" si="16">IF(MOD(MONTH($B69),3)=0,SUM(L67:L69,T67:T69),0)</f>
        <v>0</v>
      </c>
      <c r="AA69" s="63">
        <f t="shared" si="6"/>
        <v>0</v>
      </c>
      <c r="AD69" s="105">
        <f>'MARA Prices'!H$21*$G69</f>
        <v>0</v>
      </c>
      <c r="AE69" s="105">
        <f>'MARA Prices'!I$21*$G69</f>
        <v>0</v>
      </c>
      <c r="AF69" s="105">
        <f>'MARA Prices'!J$21*$G69</f>
        <v>0</v>
      </c>
      <c r="AG69" s="105">
        <f>'MARA Prices'!K$21*$G69</f>
        <v>0</v>
      </c>
      <c r="AH69" s="105">
        <f>'MARA Prices'!L$21*$G69</f>
        <v>0</v>
      </c>
    </row>
    <row r="70" spans="2:34" x14ac:dyDescent="0.35">
      <c r="B70" s="60">
        <f t="shared" si="12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1"/>
        <v>0</v>
      </c>
      <c r="P70" s="63">
        <f>$F70*Outputs_Internal!$D$60/12+N70</f>
        <v>0</v>
      </c>
      <c r="Q70" s="63">
        <f>$F70*Outputs_Internal!K$60/12+N70*'MARA Prices'!$F$5</f>
        <v>0</v>
      </c>
      <c r="R70" s="63">
        <f>$F70*Outputs_Internal!L$60/12+N70*'MARA Prices'!$F$6</f>
        <v>0</v>
      </c>
      <c r="S70" s="63">
        <f>N70*'MARA Prices'!$F$4</f>
        <v>0</v>
      </c>
      <c r="T70" s="63">
        <f>$F70*Outputs_Internal!M$60/12</f>
        <v>0</v>
      </c>
      <c r="U70" s="63">
        <f>$F70*Outputs_Internal!N$60/12</f>
        <v>0</v>
      </c>
      <c r="W70" s="63">
        <f t="shared" si="13"/>
        <v>0</v>
      </c>
      <c r="X70" s="63">
        <f t="shared" si="14"/>
        <v>0</v>
      </c>
      <c r="Y70" s="63">
        <f t="shared" si="15"/>
        <v>0</v>
      </c>
      <c r="Z70" s="63">
        <f t="shared" si="16"/>
        <v>0</v>
      </c>
      <c r="AA70" s="63">
        <f t="shared" ref="AA70:AA94" si="17">IF(MOD(MONTH($B70),3)=0,SUM(U68:U70,S68:S70),0)</f>
        <v>0</v>
      </c>
      <c r="AD70" s="105">
        <f>'MARA Prices'!H$21*$G70</f>
        <v>0</v>
      </c>
      <c r="AE70" s="105">
        <f>'MARA Prices'!I$21*$G70</f>
        <v>0</v>
      </c>
      <c r="AF70" s="105">
        <f>'MARA Prices'!J$21*$G70</f>
        <v>0</v>
      </c>
      <c r="AG70" s="105">
        <f>'MARA Prices'!K$21*$G70</f>
        <v>0</v>
      </c>
      <c r="AH70" s="105">
        <f>'MARA Prices'!L$21*$G70</f>
        <v>0</v>
      </c>
    </row>
    <row r="71" spans="2:34" x14ac:dyDescent="0.35">
      <c r="B71" s="60">
        <f t="shared" si="12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1"/>
        <v>0</v>
      </c>
      <c r="P71" s="63">
        <f>$F71*Outputs_Internal!$D$60/12+N71</f>
        <v>0</v>
      </c>
      <c r="Q71" s="63">
        <f>$F71*Outputs_Internal!K$60/12+N71*'MARA Prices'!$F$5</f>
        <v>0</v>
      </c>
      <c r="R71" s="63">
        <f>$F71*Outputs_Internal!L$60/12+N71*'MARA Prices'!$F$6</f>
        <v>0</v>
      </c>
      <c r="S71" s="63">
        <f>N71*'MARA Prices'!$F$4</f>
        <v>0</v>
      </c>
      <c r="T71" s="63">
        <f>$F71*Outputs_Internal!M$60/12</f>
        <v>0</v>
      </c>
      <c r="U71" s="63">
        <f>$F71*Outputs_Internal!N$60/12</f>
        <v>0</v>
      </c>
      <c r="W71" s="63">
        <f t="shared" si="13"/>
        <v>0</v>
      </c>
      <c r="X71" s="63">
        <f t="shared" si="14"/>
        <v>0</v>
      </c>
      <c r="Y71" s="63">
        <f t="shared" si="15"/>
        <v>0</v>
      </c>
      <c r="Z71" s="63">
        <f t="shared" si="16"/>
        <v>0</v>
      </c>
      <c r="AA71" s="63">
        <f t="shared" si="17"/>
        <v>0</v>
      </c>
      <c r="AD71" s="105">
        <f>'MARA Prices'!H$21*$G71</f>
        <v>0</v>
      </c>
      <c r="AE71" s="105">
        <f>'MARA Prices'!I$21*$G71</f>
        <v>0</v>
      </c>
      <c r="AF71" s="105">
        <f>'MARA Prices'!J$21*$G71</f>
        <v>0</v>
      </c>
      <c r="AG71" s="105">
        <f>'MARA Prices'!K$21*$G71</f>
        <v>0</v>
      </c>
      <c r="AH71" s="105">
        <f>'MARA Prices'!L$21*$G71</f>
        <v>0</v>
      </c>
    </row>
    <row r="72" spans="2:34" x14ac:dyDescent="0.35">
      <c r="B72" s="60">
        <f t="shared" si="12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1"/>
        <v>0</v>
      </c>
      <c r="P72" s="63">
        <f>$F72*Outputs_Internal!$D$60/12+N72</f>
        <v>0</v>
      </c>
      <c r="Q72" s="63">
        <f>$F72*Outputs_Internal!K$60/12+N72*'MARA Prices'!$F$5</f>
        <v>0</v>
      </c>
      <c r="R72" s="63">
        <f>$F72*Outputs_Internal!L$60/12+N72*'MARA Prices'!$F$6</f>
        <v>0</v>
      </c>
      <c r="S72" s="63">
        <f>N72*'MARA Prices'!$F$4</f>
        <v>0</v>
      </c>
      <c r="T72" s="63">
        <f>$F72*Outputs_Internal!M$60/12</f>
        <v>0</v>
      </c>
      <c r="U72" s="63">
        <f>$F72*Outputs_Internal!N$60/12</f>
        <v>0</v>
      </c>
      <c r="W72" s="63">
        <f t="shared" si="13"/>
        <v>0</v>
      </c>
      <c r="X72" s="63">
        <f t="shared" si="14"/>
        <v>0</v>
      </c>
      <c r="Y72" s="63">
        <f t="shared" si="15"/>
        <v>0</v>
      </c>
      <c r="Z72" s="63">
        <f t="shared" si="16"/>
        <v>0</v>
      </c>
      <c r="AA72" s="63">
        <f t="shared" si="17"/>
        <v>0</v>
      </c>
      <c r="AD72" s="105">
        <f>'MARA Prices'!H$21*$G72</f>
        <v>0</v>
      </c>
      <c r="AE72" s="105">
        <f>'MARA Prices'!I$21*$G72</f>
        <v>0</v>
      </c>
      <c r="AF72" s="105">
        <f>'MARA Prices'!J$21*$G72</f>
        <v>0</v>
      </c>
      <c r="AG72" s="105">
        <f>'MARA Prices'!K$21*$G72</f>
        <v>0</v>
      </c>
      <c r="AH72" s="105">
        <f>'MARA Prices'!L$21*$G72</f>
        <v>0</v>
      </c>
    </row>
    <row r="73" spans="2:34" x14ac:dyDescent="0.35">
      <c r="B73" s="60">
        <f t="shared" si="12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1"/>
        <v>0</v>
      </c>
      <c r="P73" s="63">
        <f>$F73*Outputs_Internal!$D$60/12+N73</f>
        <v>0</v>
      </c>
      <c r="Q73" s="63">
        <f>$F73*Outputs_Internal!K$60/12+N73*'MARA Prices'!$F$5</f>
        <v>0</v>
      </c>
      <c r="R73" s="63">
        <f>$F73*Outputs_Internal!L$60/12+N73*'MARA Prices'!$F$6</f>
        <v>0</v>
      </c>
      <c r="S73" s="63">
        <f>N73*'MARA Prices'!$F$4</f>
        <v>0</v>
      </c>
      <c r="T73" s="63">
        <f>$F73*Outputs_Internal!M$60/12</f>
        <v>0</v>
      </c>
      <c r="U73" s="63">
        <f>$F73*Outputs_Internal!N$60/12</f>
        <v>0</v>
      </c>
      <c r="W73" s="63">
        <f t="shared" si="13"/>
        <v>0</v>
      </c>
      <c r="X73" s="63">
        <f t="shared" si="14"/>
        <v>0</v>
      </c>
      <c r="Y73" s="63">
        <f t="shared" si="15"/>
        <v>0</v>
      </c>
      <c r="Z73" s="63">
        <f t="shared" si="16"/>
        <v>0</v>
      </c>
      <c r="AA73" s="63">
        <f t="shared" si="17"/>
        <v>0</v>
      </c>
      <c r="AD73" s="105">
        <f>'MARA Prices'!H$21*$G73</f>
        <v>0</v>
      </c>
      <c r="AE73" s="105">
        <f>'MARA Prices'!I$21*$G73</f>
        <v>0</v>
      </c>
      <c r="AF73" s="105">
        <f>'MARA Prices'!J$21*$G73</f>
        <v>0</v>
      </c>
      <c r="AG73" s="105">
        <f>'MARA Prices'!K$21*$G73</f>
        <v>0</v>
      </c>
      <c r="AH73" s="105">
        <f>'MARA Prices'!L$21*$G73</f>
        <v>0</v>
      </c>
    </row>
    <row r="74" spans="2:34" x14ac:dyDescent="0.35">
      <c r="B74" s="60">
        <f t="shared" si="12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1"/>
        <v>0</v>
      </c>
      <c r="P74" s="63">
        <f>$F74*Outputs_Internal!$D$60/12+N74</f>
        <v>0</v>
      </c>
      <c r="Q74" s="63">
        <f>$F74*Outputs_Internal!K$60/12+N74*'MARA Prices'!$F$5</f>
        <v>0</v>
      </c>
      <c r="R74" s="63">
        <f>$F74*Outputs_Internal!L$60/12+N74*'MARA Prices'!$F$6</f>
        <v>0</v>
      </c>
      <c r="S74" s="63">
        <f>N74*'MARA Prices'!$F$4</f>
        <v>0</v>
      </c>
      <c r="T74" s="63">
        <f>$F74*Outputs_Internal!M$60/12</f>
        <v>0</v>
      </c>
      <c r="U74" s="63">
        <f>$F74*Outputs_Internal!N$60/12</f>
        <v>0</v>
      </c>
      <c r="W74" s="63">
        <f t="shared" si="13"/>
        <v>0</v>
      </c>
      <c r="X74" s="63">
        <f t="shared" si="14"/>
        <v>0</v>
      </c>
      <c r="Y74" s="63">
        <f t="shared" si="15"/>
        <v>0</v>
      </c>
      <c r="Z74" s="63">
        <f t="shared" si="16"/>
        <v>0</v>
      </c>
      <c r="AA74" s="63">
        <f t="shared" si="17"/>
        <v>0</v>
      </c>
      <c r="AD74" s="105">
        <f>'MARA Prices'!H$21*$G74</f>
        <v>0</v>
      </c>
      <c r="AE74" s="105">
        <f>'MARA Prices'!I$21*$G74</f>
        <v>0</v>
      </c>
      <c r="AF74" s="105">
        <f>'MARA Prices'!J$21*$G74</f>
        <v>0</v>
      </c>
      <c r="AG74" s="105">
        <f>'MARA Prices'!K$21*$G74</f>
        <v>0</v>
      </c>
      <c r="AH74" s="105">
        <f>'MARA Prices'!L$21*$G74</f>
        <v>0</v>
      </c>
    </row>
    <row r="75" spans="2:34" x14ac:dyDescent="0.35">
      <c r="B75" s="60">
        <f t="shared" si="12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1"/>
        <v>0</v>
      </c>
      <c r="P75" s="63">
        <f>$F75*Outputs_Internal!$D$60/12+N75</f>
        <v>0</v>
      </c>
      <c r="Q75" s="63">
        <f>$F75*Outputs_Internal!K$60/12+N75*'MARA Prices'!$F$5</f>
        <v>0</v>
      </c>
      <c r="R75" s="63">
        <f>$F75*Outputs_Internal!L$60/12+N75*'MARA Prices'!$F$6</f>
        <v>0</v>
      </c>
      <c r="S75" s="63">
        <f>N75*'MARA Prices'!$F$4</f>
        <v>0</v>
      </c>
      <c r="T75" s="63">
        <f>$F75*Outputs_Internal!M$60/12</f>
        <v>0</v>
      </c>
      <c r="U75" s="63">
        <f>$F75*Outputs_Internal!N$60/12</f>
        <v>0</v>
      </c>
      <c r="W75" s="63">
        <f t="shared" si="13"/>
        <v>0</v>
      </c>
      <c r="X75" s="63">
        <f t="shared" si="14"/>
        <v>0</v>
      </c>
      <c r="Y75" s="63">
        <f t="shared" si="15"/>
        <v>0</v>
      </c>
      <c r="Z75" s="63">
        <f t="shared" si="16"/>
        <v>0</v>
      </c>
      <c r="AA75" s="63">
        <f t="shared" si="17"/>
        <v>0</v>
      </c>
      <c r="AD75" s="105">
        <f>'MARA Prices'!H$21*$G75</f>
        <v>0</v>
      </c>
      <c r="AE75" s="105">
        <f>'MARA Prices'!I$21*$G75</f>
        <v>0</v>
      </c>
      <c r="AF75" s="105">
        <f>'MARA Prices'!J$21*$G75</f>
        <v>0</v>
      </c>
      <c r="AG75" s="105">
        <f>'MARA Prices'!K$21*$G75</f>
        <v>0</v>
      </c>
      <c r="AH75" s="105">
        <f>'MARA Prices'!L$21*$G75</f>
        <v>0</v>
      </c>
    </row>
    <row r="76" spans="2:34" x14ac:dyDescent="0.35">
      <c r="B76" s="60">
        <f t="shared" si="12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1"/>
        <v>0</v>
      </c>
      <c r="P76" s="63">
        <f>$F76*Outputs_Internal!$D$60/12+N76</f>
        <v>0</v>
      </c>
      <c r="Q76" s="63">
        <f>$F76*Outputs_Internal!K$60/12+N76*'MARA Prices'!$F$5</f>
        <v>0</v>
      </c>
      <c r="R76" s="63">
        <f>$F76*Outputs_Internal!L$60/12+N76*'MARA Prices'!$F$6</f>
        <v>0</v>
      </c>
      <c r="S76" s="63">
        <f>N76*'MARA Prices'!$F$4</f>
        <v>0</v>
      </c>
      <c r="T76" s="63">
        <f>$F76*Outputs_Internal!M$60/12</f>
        <v>0</v>
      </c>
      <c r="U76" s="63">
        <f>$F76*Outputs_Internal!N$60/12</f>
        <v>0</v>
      </c>
      <c r="W76" s="63">
        <f t="shared" si="13"/>
        <v>0</v>
      </c>
      <c r="X76" s="63">
        <f t="shared" si="14"/>
        <v>0</v>
      </c>
      <c r="Y76" s="63">
        <f t="shared" si="15"/>
        <v>0</v>
      </c>
      <c r="Z76" s="63">
        <f t="shared" si="16"/>
        <v>0</v>
      </c>
      <c r="AA76" s="63">
        <f t="shared" si="17"/>
        <v>0</v>
      </c>
      <c r="AD76" s="105">
        <f>'MARA Prices'!H$21*$G76</f>
        <v>0</v>
      </c>
      <c r="AE76" s="105">
        <f>'MARA Prices'!I$21*$G76</f>
        <v>0</v>
      </c>
      <c r="AF76" s="105">
        <f>'MARA Prices'!J$21*$G76</f>
        <v>0</v>
      </c>
      <c r="AG76" s="105">
        <f>'MARA Prices'!K$21*$G76</f>
        <v>0</v>
      </c>
      <c r="AH76" s="105">
        <f>'MARA Prices'!L$21*$G76</f>
        <v>0</v>
      </c>
    </row>
    <row r="77" spans="2:34" x14ac:dyDescent="0.35">
      <c r="B77" s="60">
        <f t="shared" si="12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1"/>
        <v>0</v>
      </c>
      <c r="P77" s="63">
        <f>$F77*Outputs_Internal!$D$60/12+N77</f>
        <v>0</v>
      </c>
      <c r="Q77" s="63">
        <f>$F77*Outputs_Internal!K$60/12+N77*'MARA Prices'!$F$5</f>
        <v>0</v>
      </c>
      <c r="R77" s="63">
        <f>$F77*Outputs_Internal!L$60/12+N77*'MARA Prices'!$F$6</f>
        <v>0</v>
      </c>
      <c r="S77" s="63">
        <f>N77*'MARA Prices'!$F$4</f>
        <v>0</v>
      </c>
      <c r="T77" s="63">
        <f>$F77*Outputs_Internal!M$60/12</f>
        <v>0</v>
      </c>
      <c r="U77" s="63">
        <f>$F77*Outputs_Internal!N$60/12</f>
        <v>0</v>
      </c>
      <c r="W77" s="63">
        <f t="shared" si="13"/>
        <v>0</v>
      </c>
      <c r="X77" s="63">
        <f t="shared" si="14"/>
        <v>0</v>
      </c>
      <c r="Y77" s="63">
        <f t="shared" si="15"/>
        <v>0</v>
      </c>
      <c r="Z77" s="63">
        <f t="shared" si="16"/>
        <v>0</v>
      </c>
      <c r="AA77" s="63">
        <f t="shared" si="17"/>
        <v>0</v>
      </c>
      <c r="AD77" s="105">
        <f>'MARA Prices'!H$21*$G77</f>
        <v>0</v>
      </c>
      <c r="AE77" s="105">
        <f>'MARA Prices'!I$21*$G77</f>
        <v>0</v>
      </c>
      <c r="AF77" s="105">
        <f>'MARA Prices'!J$21*$G77</f>
        <v>0</v>
      </c>
      <c r="AG77" s="105">
        <f>'MARA Prices'!K$21*$G77</f>
        <v>0</v>
      </c>
      <c r="AH77" s="105">
        <f>'MARA Prices'!L$21*$G77</f>
        <v>0</v>
      </c>
    </row>
    <row r="78" spans="2:34" x14ac:dyDescent="0.35">
      <c r="B78" s="60">
        <f t="shared" si="12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1"/>
        <v>0</v>
      </c>
      <c r="P78" s="63">
        <f>$F78*Outputs_Internal!$D$60/12+N78</f>
        <v>0</v>
      </c>
      <c r="Q78" s="63">
        <f>$F78*Outputs_Internal!K$60/12+N78*'MARA Prices'!$F$5</f>
        <v>0</v>
      </c>
      <c r="R78" s="63">
        <f>$F78*Outputs_Internal!L$60/12+N78*'MARA Prices'!$F$6</f>
        <v>0</v>
      </c>
      <c r="S78" s="63">
        <f>N78*'MARA Prices'!$F$4</f>
        <v>0</v>
      </c>
      <c r="T78" s="63">
        <f>$F78*Outputs_Internal!M$60/12</f>
        <v>0</v>
      </c>
      <c r="U78" s="63">
        <f>$F78*Outputs_Internal!N$60/12</f>
        <v>0</v>
      </c>
      <c r="W78" s="63">
        <f t="shared" si="13"/>
        <v>0</v>
      </c>
      <c r="X78" s="63">
        <f t="shared" si="14"/>
        <v>0</v>
      </c>
      <c r="Y78" s="63">
        <f t="shared" si="15"/>
        <v>0</v>
      </c>
      <c r="Z78" s="63">
        <f t="shared" si="16"/>
        <v>0</v>
      </c>
      <c r="AA78" s="63">
        <f t="shared" si="17"/>
        <v>0</v>
      </c>
      <c r="AD78" s="105">
        <f>'MARA Prices'!H$21*$G78</f>
        <v>0</v>
      </c>
      <c r="AE78" s="105">
        <f>'MARA Prices'!I$21*$G78</f>
        <v>0</v>
      </c>
      <c r="AF78" s="105">
        <f>'MARA Prices'!J$21*$G78</f>
        <v>0</v>
      </c>
      <c r="AG78" s="105">
        <f>'MARA Prices'!K$21*$G78</f>
        <v>0</v>
      </c>
      <c r="AH78" s="105">
        <f>'MARA Prices'!L$21*$G78</f>
        <v>0</v>
      </c>
    </row>
    <row r="79" spans="2:34" x14ac:dyDescent="0.35">
      <c r="B79" s="60">
        <f t="shared" si="12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1"/>
        <v>0</v>
      </c>
      <c r="P79" s="63">
        <f>$F79*Outputs_Internal!$D$60/12+N79</f>
        <v>0</v>
      </c>
      <c r="Q79" s="63">
        <f>$F79*Outputs_Internal!K$60/12+N79*'MARA Prices'!$F$5</f>
        <v>0</v>
      </c>
      <c r="R79" s="63">
        <f>$F79*Outputs_Internal!L$60/12+N79*'MARA Prices'!$F$6</f>
        <v>0</v>
      </c>
      <c r="S79" s="63">
        <f>N79*'MARA Prices'!$F$4</f>
        <v>0</v>
      </c>
      <c r="T79" s="63">
        <f>$F79*Outputs_Internal!M$60/12</f>
        <v>0</v>
      </c>
      <c r="U79" s="63">
        <f>$F79*Outputs_Internal!N$60/12</f>
        <v>0</v>
      </c>
      <c r="W79" s="63">
        <f t="shared" si="13"/>
        <v>0</v>
      </c>
      <c r="X79" s="63">
        <f t="shared" si="14"/>
        <v>0</v>
      </c>
      <c r="Y79" s="63">
        <f t="shared" si="15"/>
        <v>0</v>
      </c>
      <c r="Z79" s="63">
        <f t="shared" si="16"/>
        <v>0</v>
      </c>
      <c r="AA79" s="63">
        <f t="shared" si="17"/>
        <v>0</v>
      </c>
      <c r="AD79" s="105">
        <f>'MARA Prices'!H$21*$G79</f>
        <v>0</v>
      </c>
      <c r="AE79" s="105">
        <f>'MARA Prices'!I$21*$G79</f>
        <v>0</v>
      </c>
      <c r="AF79" s="105">
        <f>'MARA Prices'!J$21*$G79</f>
        <v>0</v>
      </c>
      <c r="AG79" s="105">
        <f>'MARA Prices'!K$21*$G79</f>
        <v>0</v>
      </c>
      <c r="AH79" s="105">
        <f>'MARA Prices'!L$21*$G79</f>
        <v>0</v>
      </c>
    </row>
    <row r="80" spans="2:34" x14ac:dyDescent="0.35">
      <c r="B80" s="60">
        <f t="shared" si="12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1"/>
        <v>0</v>
      </c>
      <c r="P80" s="63">
        <f>$F80*Outputs_Internal!$D$60/12+N80</f>
        <v>0</v>
      </c>
      <c r="Q80" s="63">
        <f>$F80*Outputs_Internal!K$60/12+N80*'MARA Prices'!$F$5</f>
        <v>0</v>
      </c>
      <c r="R80" s="63">
        <f>$F80*Outputs_Internal!L$60/12+N80*'MARA Prices'!$F$6</f>
        <v>0</v>
      </c>
      <c r="S80" s="63">
        <f>N80*'MARA Prices'!$F$4</f>
        <v>0</v>
      </c>
      <c r="T80" s="63">
        <f>$F80*Outputs_Internal!M$60/12</f>
        <v>0</v>
      </c>
      <c r="U80" s="63">
        <f>$F80*Outputs_Internal!N$60/12</f>
        <v>0</v>
      </c>
      <c r="W80" s="63">
        <f t="shared" si="13"/>
        <v>0</v>
      </c>
      <c r="X80" s="63">
        <f t="shared" si="14"/>
        <v>0</v>
      </c>
      <c r="Y80" s="63">
        <f t="shared" si="15"/>
        <v>0</v>
      </c>
      <c r="Z80" s="63">
        <f t="shared" si="16"/>
        <v>0</v>
      </c>
      <c r="AA80" s="63">
        <f t="shared" si="17"/>
        <v>0</v>
      </c>
      <c r="AD80" s="105">
        <f>'MARA Prices'!H$21*$G80</f>
        <v>0</v>
      </c>
      <c r="AE80" s="105">
        <f>'MARA Prices'!I$21*$G80</f>
        <v>0</v>
      </c>
      <c r="AF80" s="105">
        <f>'MARA Prices'!J$21*$G80</f>
        <v>0</v>
      </c>
      <c r="AG80" s="105">
        <f>'MARA Prices'!K$21*$G80</f>
        <v>0</v>
      </c>
      <c r="AH80" s="105">
        <f>'MARA Prices'!L$21*$G80</f>
        <v>0</v>
      </c>
    </row>
    <row r="81" spans="2:34" x14ac:dyDescent="0.35">
      <c r="B81" s="60">
        <f t="shared" si="12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1"/>
        <v>0</v>
      </c>
      <c r="P81" s="63">
        <f>$F81*Outputs_Internal!$D$60/12+N81</f>
        <v>0</v>
      </c>
      <c r="Q81" s="63">
        <f>$F81*Outputs_Internal!K$60/12+N81*'MARA Prices'!$F$5</f>
        <v>0</v>
      </c>
      <c r="R81" s="63">
        <f>$F81*Outputs_Internal!L$60/12+N81*'MARA Prices'!$F$6</f>
        <v>0</v>
      </c>
      <c r="S81" s="63">
        <f>N81*'MARA Prices'!$F$4</f>
        <v>0</v>
      </c>
      <c r="T81" s="63">
        <f>$F81*Outputs_Internal!M$60/12</f>
        <v>0</v>
      </c>
      <c r="U81" s="63">
        <f>$F81*Outputs_Internal!N$60/12</f>
        <v>0</v>
      </c>
      <c r="W81" s="63">
        <f t="shared" si="13"/>
        <v>0</v>
      </c>
      <c r="X81" s="63">
        <f t="shared" si="14"/>
        <v>0</v>
      </c>
      <c r="Y81" s="63">
        <f t="shared" si="15"/>
        <v>0</v>
      </c>
      <c r="Z81" s="63">
        <f t="shared" si="16"/>
        <v>0</v>
      </c>
      <c r="AA81" s="63">
        <f t="shared" si="17"/>
        <v>0</v>
      </c>
      <c r="AD81" s="105">
        <f>'MARA Prices'!H$21*$G81</f>
        <v>0</v>
      </c>
      <c r="AE81" s="105">
        <f>'MARA Prices'!I$21*$G81</f>
        <v>0</v>
      </c>
      <c r="AF81" s="105">
        <f>'MARA Prices'!J$21*$G81</f>
        <v>0</v>
      </c>
      <c r="AG81" s="105">
        <f>'MARA Prices'!K$21*$G81</f>
        <v>0</v>
      </c>
      <c r="AH81" s="105">
        <f>'MARA Prices'!L$21*$G81</f>
        <v>0</v>
      </c>
    </row>
    <row r="82" spans="2:34" x14ac:dyDescent="0.35">
      <c r="B82" s="60">
        <f t="shared" si="12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1"/>
        <v>0</v>
      </c>
      <c r="P82" s="63">
        <f>$F82*Outputs_Internal!$D$60/12+N82</f>
        <v>0</v>
      </c>
      <c r="Q82" s="63">
        <f>$F82*Outputs_Internal!K$60/12+N82*'MARA Prices'!$F$5</f>
        <v>0</v>
      </c>
      <c r="R82" s="63">
        <f>$F82*Outputs_Internal!L$60/12+N82*'MARA Prices'!$F$6</f>
        <v>0</v>
      </c>
      <c r="S82" s="63">
        <f>N82*'MARA Prices'!$F$4</f>
        <v>0</v>
      </c>
      <c r="T82" s="63">
        <f>$F82*Outputs_Internal!M$60/12</f>
        <v>0</v>
      </c>
      <c r="U82" s="63">
        <f>$F82*Outputs_Internal!N$60/12</f>
        <v>0</v>
      </c>
      <c r="W82" s="63">
        <f t="shared" si="13"/>
        <v>0</v>
      </c>
      <c r="X82" s="63">
        <f t="shared" si="14"/>
        <v>0</v>
      </c>
      <c r="Y82" s="63">
        <f t="shared" si="15"/>
        <v>0</v>
      </c>
      <c r="Z82" s="63">
        <f t="shared" si="16"/>
        <v>0</v>
      </c>
      <c r="AA82" s="63">
        <f t="shared" si="17"/>
        <v>0</v>
      </c>
      <c r="AD82" s="105">
        <f>'MARA Prices'!H$21*$G82</f>
        <v>0</v>
      </c>
      <c r="AE82" s="105">
        <f>'MARA Prices'!I$21*$G82</f>
        <v>0</v>
      </c>
      <c r="AF82" s="105">
        <f>'MARA Prices'!J$21*$G82</f>
        <v>0</v>
      </c>
      <c r="AG82" s="105">
        <f>'MARA Prices'!K$21*$G82</f>
        <v>0</v>
      </c>
      <c r="AH82" s="105">
        <f>'MARA Prices'!L$21*$G82</f>
        <v>0</v>
      </c>
    </row>
    <row r="83" spans="2:34" x14ac:dyDescent="0.35">
      <c r="B83" s="60">
        <f t="shared" si="12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1"/>
        <v>0</v>
      </c>
      <c r="P83" s="63">
        <f>$F83*Outputs_Internal!$D$60/12+N83</f>
        <v>0</v>
      </c>
      <c r="Q83" s="63">
        <f>$F83*Outputs_Internal!K$60/12+N83*'MARA Prices'!$F$5</f>
        <v>0</v>
      </c>
      <c r="R83" s="63">
        <f>$F83*Outputs_Internal!L$60/12+N83*'MARA Prices'!$F$6</f>
        <v>0</v>
      </c>
      <c r="S83" s="63">
        <f>N83*'MARA Prices'!$F$4</f>
        <v>0</v>
      </c>
      <c r="T83" s="63">
        <f>$F83*Outputs_Internal!M$60/12</f>
        <v>0</v>
      </c>
      <c r="U83" s="63">
        <f>$F83*Outputs_Internal!N$60/12</f>
        <v>0</v>
      </c>
      <c r="W83" s="63">
        <f t="shared" si="13"/>
        <v>0</v>
      </c>
      <c r="X83" s="63">
        <f t="shared" si="14"/>
        <v>0</v>
      </c>
      <c r="Y83" s="63">
        <f t="shared" si="15"/>
        <v>0</v>
      </c>
      <c r="Z83" s="63">
        <f t="shared" si="16"/>
        <v>0</v>
      </c>
      <c r="AA83" s="63">
        <f t="shared" si="17"/>
        <v>0</v>
      </c>
      <c r="AD83" s="105">
        <f>'MARA Prices'!H$21*$G83</f>
        <v>0</v>
      </c>
      <c r="AE83" s="105">
        <f>'MARA Prices'!I$21*$G83</f>
        <v>0</v>
      </c>
      <c r="AF83" s="105">
        <f>'MARA Prices'!J$21*$G83</f>
        <v>0</v>
      </c>
      <c r="AG83" s="105">
        <f>'MARA Prices'!K$21*$G83</f>
        <v>0</v>
      </c>
      <c r="AH83" s="105">
        <f>'MARA Prices'!L$21*$G83</f>
        <v>0</v>
      </c>
    </row>
    <row r="84" spans="2:34" x14ac:dyDescent="0.35">
      <c r="B84" s="60">
        <f t="shared" si="12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1"/>
        <v>0</v>
      </c>
      <c r="P84" s="63">
        <f>$F84*Outputs_Internal!$D$60/12+N84</f>
        <v>0</v>
      </c>
      <c r="Q84" s="63">
        <f>$F84*Outputs_Internal!K$60/12+N84*'MARA Prices'!$F$5</f>
        <v>0</v>
      </c>
      <c r="R84" s="63">
        <f>$F84*Outputs_Internal!L$60/12+N84*'MARA Prices'!$F$6</f>
        <v>0</v>
      </c>
      <c r="S84" s="63">
        <f>N84*'MARA Prices'!$F$4</f>
        <v>0</v>
      </c>
      <c r="T84" s="63">
        <f>$F84*Outputs_Internal!M$60/12</f>
        <v>0</v>
      </c>
      <c r="U84" s="63">
        <f>$F84*Outputs_Internal!N$60/12</f>
        <v>0</v>
      </c>
      <c r="W84" s="63">
        <f t="shared" si="13"/>
        <v>0</v>
      </c>
      <c r="X84" s="63">
        <f t="shared" si="14"/>
        <v>0</v>
      </c>
      <c r="Y84" s="63">
        <f t="shared" si="15"/>
        <v>0</v>
      </c>
      <c r="Z84" s="63">
        <f t="shared" si="16"/>
        <v>0</v>
      </c>
      <c r="AA84" s="63">
        <f t="shared" si="17"/>
        <v>0</v>
      </c>
      <c r="AD84" s="105">
        <f>'MARA Prices'!H$21*$G84</f>
        <v>0</v>
      </c>
      <c r="AE84" s="105">
        <f>'MARA Prices'!I$21*$G84</f>
        <v>0</v>
      </c>
      <c r="AF84" s="105">
        <f>'MARA Prices'!J$21*$G84</f>
        <v>0</v>
      </c>
      <c r="AG84" s="105">
        <f>'MARA Prices'!K$21*$G84</f>
        <v>0</v>
      </c>
      <c r="AH84" s="105">
        <f>'MARA Prices'!L$21*$G84</f>
        <v>0</v>
      </c>
    </row>
    <row r="85" spans="2:34" x14ac:dyDescent="0.35">
      <c r="B85" s="60">
        <f t="shared" si="12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1"/>
        <v>0</v>
      </c>
      <c r="P85" s="63">
        <f>$F85*Outputs_Internal!$D$60/12+N85</f>
        <v>0</v>
      </c>
      <c r="Q85" s="63">
        <f>$F85*Outputs_Internal!K$60/12+N85*'MARA Prices'!$F$5</f>
        <v>0</v>
      </c>
      <c r="R85" s="63">
        <f>$F85*Outputs_Internal!L$60/12+N85*'MARA Prices'!$F$6</f>
        <v>0</v>
      </c>
      <c r="S85" s="63">
        <f>N85*'MARA Prices'!$F$4</f>
        <v>0</v>
      </c>
      <c r="T85" s="63">
        <f>$F85*Outputs_Internal!M$60/12</f>
        <v>0</v>
      </c>
      <c r="U85" s="63">
        <f>$F85*Outputs_Internal!N$60/12</f>
        <v>0</v>
      </c>
      <c r="W85" s="63">
        <f t="shared" si="13"/>
        <v>0</v>
      </c>
      <c r="X85" s="63">
        <f t="shared" si="14"/>
        <v>0</v>
      </c>
      <c r="Y85" s="63">
        <f t="shared" si="15"/>
        <v>0</v>
      </c>
      <c r="Z85" s="63">
        <f t="shared" si="16"/>
        <v>0</v>
      </c>
      <c r="AA85" s="63">
        <f t="shared" si="17"/>
        <v>0</v>
      </c>
      <c r="AD85" s="105">
        <f>'MARA Prices'!H$21*$G85</f>
        <v>0</v>
      </c>
      <c r="AE85" s="105">
        <f>'MARA Prices'!I$21*$G85</f>
        <v>0</v>
      </c>
      <c r="AF85" s="105">
        <f>'MARA Prices'!J$21*$G85</f>
        <v>0</v>
      </c>
      <c r="AG85" s="105">
        <f>'MARA Prices'!K$21*$G85</f>
        <v>0</v>
      </c>
      <c r="AH85" s="105">
        <f>'MARA Prices'!L$21*$G85</f>
        <v>0</v>
      </c>
    </row>
    <row r="86" spans="2:34" x14ac:dyDescent="0.35">
      <c r="B86" s="60">
        <f t="shared" si="12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1"/>
        <v>0</v>
      </c>
      <c r="P86" s="63">
        <f>$F86*Outputs_Internal!$D$60/12+N86</f>
        <v>0</v>
      </c>
      <c r="Q86" s="63">
        <f>$F86*Outputs_Internal!K$60/12+N86*'MARA Prices'!$F$5</f>
        <v>0</v>
      </c>
      <c r="R86" s="63">
        <f>$F86*Outputs_Internal!L$60/12+N86*'MARA Prices'!$F$6</f>
        <v>0</v>
      </c>
      <c r="S86" s="63">
        <f>N86*'MARA Prices'!$F$4</f>
        <v>0</v>
      </c>
      <c r="T86" s="63">
        <f>$F86*Outputs_Internal!M$60/12</f>
        <v>0</v>
      </c>
      <c r="U86" s="63">
        <f>$F86*Outputs_Internal!N$60/12</f>
        <v>0</v>
      </c>
      <c r="W86" s="63">
        <f t="shared" si="13"/>
        <v>0</v>
      </c>
      <c r="X86" s="63">
        <f t="shared" si="14"/>
        <v>0</v>
      </c>
      <c r="Y86" s="63">
        <f t="shared" si="15"/>
        <v>0</v>
      </c>
      <c r="Z86" s="63">
        <f t="shared" si="16"/>
        <v>0</v>
      </c>
      <c r="AA86" s="63">
        <f t="shared" si="17"/>
        <v>0</v>
      </c>
      <c r="AD86" s="105">
        <f>'MARA Prices'!H$21*$G86</f>
        <v>0</v>
      </c>
      <c r="AE86" s="105">
        <f>'MARA Prices'!I$21*$G86</f>
        <v>0</v>
      </c>
      <c r="AF86" s="105">
        <f>'MARA Prices'!J$21*$G86</f>
        <v>0</v>
      </c>
      <c r="AG86" s="105">
        <f>'MARA Prices'!K$21*$G86</f>
        <v>0</v>
      </c>
      <c r="AH86" s="105">
        <f>'MARA Prices'!L$21*$G86</f>
        <v>0</v>
      </c>
    </row>
    <row r="87" spans="2:34" x14ac:dyDescent="0.35">
      <c r="B87" s="60">
        <f t="shared" si="12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1"/>
        <v>0</v>
      </c>
      <c r="P87" s="63">
        <f>$F87*Outputs_Internal!$D$60/12+N87</f>
        <v>0</v>
      </c>
      <c r="Q87" s="63">
        <f>$F87*Outputs_Internal!K$60/12+N87*'MARA Prices'!$F$5</f>
        <v>0</v>
      </c>
      <c r="R87" s="63">
        <f>$F87*Outputs_Internal!L$60/12+N87*'MARA Prices'!$F$6</f>
        <v>0</v>
      </c>
      <c r="S87" s="63">
        <f>N87*'MARA Prices'!$F$4</f>
        <v>0</v>
      </c>
      <c r="T87" s="63">
        <f>$F87*Outputs_Internal!M$60/12</f>
        <v>0</v>
      </c>
      <c r="U87" s="63">
        <f>$F87*Outputs_Internal!N$60/12</f>
        <v>0</v>
      </c>
      <c r="W87" s="63">
        <f t="shared" si="13"/>
        <v>0</v>
      </c>
      <c r="X87" s="63">
        <f t="shared" si="14"/>
        <v>0</v>
      </c>
      <c r="Y87" s="63">
        <f t="shared" si="15"/>
        <v>0</v>
      </c>
      <c r="Z87" s="63">
        <f t="shared" si="16"/>
        <v>0</v>
      </c>
      <c r="AA87" s="63">
        <f t="shared" si="17"/>
        <v>0</v>
      </c>
      <c r="AD87" s="105">
        <f>'MARA Prices'!H$21*$G87</f>
        <v>0</v>
      </c>
      <c r="AE87" s="105">
        <f>'MARA Prices'!I$21*$G87</f>
        <v>0</v>
      </c>
      <c r="AF87" s="105">
        <f>'MARA Prices'!J$21*$G87</f>
        <v>0</v>
      </c>
      <c r="AG87" s="105">
        <f>'MARA Prices'!K$21*$G87</f>
        <v>0</v>
      </c>
      <c r="AH87" s="105">
        <f>'MARA Prices'!L$21*$G87</f>
        <v>0</v>
      </c>
    </row>
    <row r="88" spans="2:34" x14ac:dyDescent="0.35">
      <c r="B88" s="60">
        <f t="shared" si="12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1"/>
        <v>0</v>
      </c>
      <c r="P88" s="63">
        <f>$F88*Outputs_Internal!$D$60/12+N88</f>
        <v>0</v>
      </c>
      <c r="Q88" s="63">
        <f>$F88*Outputs_Internal!K$60/12+N88*'MARA Prices'!$F$5</f>
        <v>0</v>
      </c>
      <c r="R88" s="63">
        <f>$F88*Outputs_Internal!L$60/12+N88*'MARA Prices'!$F$6</f>
        <v>0</v>
      </c>
      <c r="S88" s="63">
        <f>N88*'MARA Prices'!$F$4</f>
        <v>0</v>
      </c>
      <c r="T88" s="63">
        <f>$F88*Outputs_Internal!M$60/12</f>
        <v>0</v>
      </c>
      <c r="U88" s="63">
        <f>$F88*Outputs_Internal!N$60/12</f>
        <v>0</v>
      </c>
      <c r="W88" s="63">
        <f t="shared" si="13"/>
        <v>0</v>
      </c>
      <c r="X88" s="63">
        <f t="shared" si="14"/>
        <v>0</v>
      </c>
      <c r="Y88" s="63">
        <f t="shared" si="15"/>
        <v>0</v>
      </c>
      <c r="Z88" s="63">
        <f t="shared" si="16"/>
        <v>0</v>
      </c>
      <c r="AA88" s="63">
        <f t="shared" si="17"/>
        <v>0</v>
      </c>
      <c r="AD88" s="105">
        <f>'MARA Prices'!H$21*$G88</f>
        <v>0</v>
      </c>
      <c r="AE88" s="105">
        <f>'MARA Prices'!I$21*$G88</f>
        <v>0</v>
      </c>
      <c r="AF88" s="105">
        <f>'MARA Prices'!J$21*$G88</f>
        <v>0</v>
      </c>
      <c r="AG88" s="105">
        <f>'MARA Prices'!K$21*$G88</f>
        <v>0</v>
      </c>
      <c r="AH88" s="105">
        <f>'MARA Prices'!L$21*$G88</f>
        <v>0</v>
      </c>
    </row>
    <row r="89" spans="2:34" x14ac:dyDescent="0.35">
      <c r="B89" s="60">
        <f t="shared" si="12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1"/>
        <v>0</v>
      </c>
      <c r="P89" s="63">
        <f>$F89*Outputs_Internal!$D$60/12+N89</f>
        <v>0</v>
      </c>
      <c r="Q89" s="63">
        <f>$F89*Outputs_Internal!K$60/12+N89*'MARA Prices'!$F$5</f>
        <v>0</v>
      </c>
      <c r="R89" s="63">
        <f>$F89*Outputs_Internal!L$60/12+N89*'MARA Prices'!$F$6</f>
        <v>0</v>
      </c>
      <c r="S89" s="63">
        <f>N89*'MARA Prices'!$F$4</f>
        <v>0</v>
      </c>
      <c r="T89" s="63">
        <f>$F89*Outputs_Internal!M$60/12</f>
        <v>0</v>
      </c>
      <c r="U89" s="63">
        <f>$F89*Outputs_Internal!N$60/12</f>
        <v>0</v>
      </c>
      <c r="W89" s="63">
        <f t="shared" si="13"/>
        <v>0</v>
      </c>
      <c r="X89" s="63">
        <f t="shared" si="14"/>
        <v>0</v>
      </c>
      <c r="Y89" s="63">
        <f t="shared" si="15"/>
        <v>0</v>
      </c>
      <c r="Z89" s="63">
        <f t="shared" si="16"/>
        <v>0</v>
      </c>
      <c r="AA89" s="63">
        <f t="shared" si="17"/>
        <v>0</v>
      </c>
      <c r="AD89" s="105">
        <f>'MARA Prices'!H$21*$G89</f>
        <v>0</v>
      </c>
      <c r="AE89" s="105">
        <f>'MARA Prices'!I$21*$G89</f>
        <v>0</v>
      </c>
      <c r="AF89" s="105">
        <f>'MARA Prices'!J$21*$G89</f>
        <v>0</v>
      </c>
      <c r="AG89" s="105">
        <f>'MARA Prices'!K$21*$G89</f>
        <v>0</v>
      </c>
      <c r="AH89" s="105">
        <f>'MARA Prices'!L$21*$G89</f>
        <v>0</v>
      </c>
    </row>
    <row r="90" spans="2:34" x14ac:dyDescent="0.35">
      <c r="B90" s="60">
        <f t="shared" si="12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1"/>
        <v>0</v>
      </c>
      <c r="P90" s="63">
        <f>$F90*Outputs_Internal!$D$60/12+N90</f>
        <v>0</v>
      </c>
      <c r="Q90" s="63">
        <f>$F90*Outputs_Internal!K$60/12+N90*'MARA Prices'!$F$5</f>
        <v>0</v>
      </c>
      <c r="R90" s="63">
        <f>$F90*Outputs_Internal!L$60/12+N90*'MARA Prices'!$F$6</f>
        <v>0</v>
      </c>
      <c r="S90" s="63">
        <f>N90*'MARA Prices'!$F$4</f>
        <v>0</v>
      </c>
      <c r="T90" s="63">
        <f>$F90*Outputs_Internal!M$60/12</f>
        <v>0</v>
      </c>
      <c r="U90" s="63">
        <f>$F90*Outputs_Internal!N$60/12</f>
        <v>0</v>
      </c>
      <c r="W90" s="63">
        <f t="shared" si="13"/>
        <v>0</v>
      </c>
      <c r="X90" s="63">
        <f t="shared" si="14"/>
        <v>0</v>
      </c>
      <c r="Y90" s="63">
        <f t="shared" si="15"/>
        <v>0</v>
      </c>
      <c r="Z90" s="63">
        <f t="shared" si="16"/>
        <v>0</v>
      </c>
      <c r="AA90" s="63">
        <f t="shared" si="17"/>
        <v>0</v>
      </c>
      <c r="AD90" s="105">
        <f>'MARA Prices'!H$21*$G90</f>
        <v>0</v>
      </c>
      <c r="AE90" s="105">
        <f>'MARA Prices'!I$21*$G90</f>
        <v>0</v>
      </c>
      <c r="AF90" s="105">
        <f>'MARA Prices'!J$21*$G90</f>
        <v>0</v>
      </c>
      <c r="AG90" s="105">
        <f>'MARA Prices'!K$21*$G90</f>
        <v>0</v>
      </c>
      <c r="AH90" s="105">
        <f>'MARA Prices'!L$21*$G90</f>
        <v>0</v>
      </c>
    </row>
    <row r="91" spans="2:34" x14ac:dyDescent="0.35">
      <c r="B91" s="60">
        <f t="shared" si="12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1"/>
        <v>0</v>
      </c>
      <c r="P91" s="63">
        <f>$F91*Outputs_Internal!$D$60/12+N91</f>
        <v>0</v>
      </c>
      <c r="Q91" s="63">
        <f>$F91*Outputs_Internal!K$60/12+N91*'MARA Prices'!$F$5</f>
        <v>0</v>
      </c>
      <c r="R91" s="63">
        <f>$F91*Outputs_Internal!L$60/12+N91*'MARA Prices'!$F$6</f>
        <v>0</v>
      </c>
      <c r="S91" s="63">
        <f>N91*'MARA Prices'!$F$4</f>
        <v>0</v>
      </c>
      <c r="T91" s="63">
        <f>$F91*Outputs_Internal!M$60/12</f>
        <v>0</v>
      </c>
      <c r="U91" s="63">
        <f>$F91*Outputs_Internal!N$60/12</f>
        <v>0</v>
      </c>
      <c r="W91" s="63">
        <f t="shared" si="13"/>
        <v>0</v>
      </c>
      <c r="X91" s="63">
        <f t="shared" si="14"/>
        <v>0</v>
      </c>
      <c r="Y91" s="63">
        <f t="shared" si="15"/>
        <v>0</v>
      </c>
      <c r="Z91" s="63">
        <f t="shared" si="16"/>
        <v>0</v>
      </c>
      <c r="AA91" s="63">
        <f t="shared" si="17"/>
        <v>0</v>
      </c>
      <c r="AD91" s="105">
        <f>'MARA Prices'!H$21*$G91</f>
        <v>0</v>
      </c>
      <c r="AE91" s="105">
        <f>'MARA Prices'!I$21*$G91</f>
        <v>0</v>
      </c>
      <c r="AF91" s="105">
        <f>'MARA Prices'!J$21*$G91</f>
        <v>0</v>
      </c>
      <c r="AG91" s="105">
        <f>'MARA Prices'!K$21*$G91</f>
        <v>0</v>
      </c>
      <c r="AH91" s="105">
        <f>'MARA Prices'!L$21*$G91</f>
        <v>0</v>
      </c>
    </row>
    <row r="92" spans="2:34" x14ac:dyDescent="0.35">
      <c r="B92" s="60">
        <f t="shared" si="12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1"/>
        <v>0</v>
      </c>
      <c r="P92" s="63">
        <f>$F92*Outputs_Internal!$D$60/12+N92</f>
        <v>0</v>
      </c>
      <c r="Q92" s="63">
        <f>$F92*Outputs_Internal!K$60/12+N92*'MARA Prices'!$F$5</f>
        <v>0</v>
      </c>
      <c r="R92" s="63">
        <f>$F92*Outputs_Internal!L$60/12+N92*'MARA Prices'!$F$6</f>
        <v>0</v>
      </c>
      <c r="S92" s="63">
        <f>N92*'MARA Prices'!$F$4</f>
        <v>0</v>
      </c>
      <c r="T92" s="63">
        <f>$F92*Outputs_Internal!M$60/12</f>
        <v>0</v>
      </c>
      <c r="U92" s="63">
        <f>$F92*Outputs_Internal!N$60/12</f>
        <v>0</v>
      </c>
      <c r="W92" s="63">
        <f t="shared" si="13"/>
        <v>0</v>
      </c>
      <c r="X92" s="63">
        <f t="shared" si="14"/>
        <v>0</v>
      </c>
      <c r="Y92" s="63">
        <f t="shared" si="15"/>
        <v>0</v>
      </c>
      <c r="Z92" s="63">
        <f t="shared" si="16"/>
        <v>0</v>
      </c>
      <c r="AA92" s="63">
        <f t="shared" si="17"/>
        <v>0</v>
      </c>
      <c r="AD92" s="105">
        <f>'MARA Prices'!H$21*$G92</f>
        <v>0</v>
      </c>
      <c r="AE92" s="105">
        <f>'MARA Prices'!I$21*$G92</f>
        <v>0</v>
      </c>
      <c r="AF92" s="105">
        <f>'MARA Prices'!J$21*$G92</f>
        <v>0</v>
      </c>
      <c r="AG92" s="105">
        <f>'MARA Prices'!K$21*$G92</f>
        <v>0</v>
      </c>
      <c r="AH92" s="105">
        <f>'MARA Prices'!L$21*$G92</f>
        <v>0</v>
      </c>
    </row>
    <row r="93" spans="2:34" x14ac:dyDescent="0.35">
      <c r="B93" s="60">
        <f t="shared" si="12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1"/>
        <v>0</v>
      </c>
      <c r="P93" s="63">
        <f>$F93*Outputs_Internal!$D$60/12+N93</f>
        <v>0</v>
      </c>
      <c r="Q93" s="63">
        <f>$F93*Outputs_Internal!K$60/12+N93*'MARA Prices'!$F$5</f>
        <v>0</v>
      </c>
      <c r="R93" s="63">
        <f>$F93*Outputs_Internal!L$60/12+N93*'MARA Prices'!$F$6</f>
        <v>0</v>
      </c>
      <c r="S93" s="63">
        <f>N93*'MARA Prices'!$F$4</f>
        <v>0</v>
      </c>
      <c r="T93" s="63">
        <f>$F93*Outputs_Internal!M$60/12</f>
        <v>0</v>
      </c>
      <c r="U93" s="63">
        <f>$F93*Outputs_Internal!N$60/12</f>
        <v>0</v>
      </c>
      <c r="W93" s="63">
        <f t="shared" si="13"/>
        <v>0</v>
      </c>
      <c r="X93" s="63">
        <f t="shared" si="14"/>
        <v>0</v>
      </c>
      <c r="Y93" s="63">
        <f t="shared" si="15"/>
        <v>0</v>
      </c>
      <c r="Z93" s="63">
        <f t="shared" si="16"/>
        <v>0</v>
      </c>
      <c r="AA93" s="63">
        <f t="shared" si="17"/>
        <v>0</v>
      </c>
      <c r="AD93" s="105">
        <f>'MARA Prices'!H$21*$G93</f>
        <v>0</v>
      </c>
      <c r="AE93" s="105">
        <f>'MARA Prices'!I$21*$G93</f>
        <v>0</v>
      </c>
      <c r="AF93" s="105">
        <f>'MARA Prices'!J$21*$G93</f>
        <v>0</v>
      </c>
      <c r="AG93" s="105">
        <f>'MARA Prices'!K$21*$G93</f>
        <v>0</v>
      </c>
      <c r="AH93" s="105">
        <f>'MARA Prices'!L$21*$G93</f>
        <v>0</v>
      </c>
    </row>
    <row r="94" spans="2:34" x14ac:dyDescent="0.35">
      <c r="B94" s="60">
        <f t="shared" si="12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1"/>
        <v>0</v>
      </c>
      <c r="P94" s="63">
        <f>$F94*Outputs_Internal!$D$60/12+N94</f>
        <v>0</v>
      </c>
      <c r="Q94" s="63">
        <f>$F94*Outputs_Internal!K$60/12+N94*'MARA Prices'!$F$5</f>
        <v>0</v>
      </c>
      <c r="R94" s="63">
        <f>$F94*Outputs_Internal!L$60/12+N94*'MARA Prices'!$F$6</f>
        <v>0</v>
      </c>
      <c r="S94" s="63">
        <f>N94*'MARA Prices'!$F$4</f>
        <v>0</v>
      </c>
      <c r="T94" s="63">
        <f>$F94*Outputs_Internal!M$60/12</f>
        <v>0</v>
      </c>
      <c r="U94" s="63">
        <f>$F94*Outputs_Internal!N$60/12</f>
        <v>0</v>
      </c>
      <c r="W94" s="63">
        <f t="shared" si="13"/>
        <v>0</v>
      </c>
      <c r="X94" s="63">
        <f t="shared" si="14"/>
        <v>0</v>
      </c>
      <c r="Y94" s="63">
        <f t="shared" si="15"/>
        <v>0</v>
      </c>
      <c r="Z94" s="63">
        <f t="shared" si="16"/>
        <v>0</v>
      </c>
      <c r="AA94" s="63">
        <f t="shared" si="17"/>
        <v>0</v>
      </c>
      <c r="AD94" s="105">
        <f>'MARA Prices'!H$21*$G94</f>
        <v>0</v>
      </c>
      <c r="AE94" s="105">
        <f>'MARA Prices'!I$21*$G94</f>
        <v>0</v>
      </c>
      <c r="AF94" s="105">
        <f>'MARA Prices'!J$21*$G94</f>
        <v>0</v>
      </c>
      <c r="AG94" s="105">
        <f>'MARA Prices'!K$21*$G94</f>
        <v>0</v>
      </c>
      <c r="AH94" s="105">
        <f>'MARA Prices'!L$21*$G94</f>
        <v>0</v>
      </c>
    </row>
  </sheetData>
  <conditionalFormatting sqref="AA2 AD2:AH2 D1:Z1048576 AA5:AA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44" activePane="bottomRight" state="frozen"/>
      <selection pane="topRight" activeCell="D1" sqref="D1"/>
      <selection pane="bottomLeft" activeCell="A3" sqref="A3"/>
      <selection pane="bottomRight" activeCell="D79" sqref="D79:H79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0)))*Inputs!D11</f>
        <v>10000</v>
      </c>
      <c r="E4" s="1">
        <f>IF(AND(Inputs!E7="Y",Inputs!E6="Y"), 0, IF(Inputs!E6="Y", SUM(Prices!$C$3, IF(Inputs!E$8 ="Y", Prices!$C$4, 0)), IF(Inputs!E6="N", Prices!$D$3, 0)))*Inputs!E11</f>
        <v>60000</v>
      </c>
      <c r="F4" s="1">
        <f>IF(AND(Inputs!F7="Y",Inputs!F6="Y"), 0, IF(Inputs!F6="Y", SUM(Prices!$C$3, IF(Inputs!F$8 ="Y", Prices!$C$4, 0)), IF(Inputs!F6="N", Prices!$D$3, 0)))*Inputs!F11</f>
        <v>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3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35">
      <c r="B6" s="6" t="s">
        <v>87</v>
      </c>
      <c r="D6" s="5">
        <f>IF(Inputs!D$6="N",MIN(MAX(Inputs!D$10-$K6,0),$L6-$K6),0)</f>
        <v>0</v>
      </c>
      <c r="E6" s="5">
        <f>IF(Inputs!E$6="N",MIN(MAX(Inputs!E$10-$K6,0),$L6-$K6),0)</f>
        <v>25000</v>
      </c>
      <c r="F6" s="5">
        <f>IF(Inputs!F$6="N",MIN(MAX(Inputs!F$10-$K6,0),$L6-$K6),0)</f>
        <v>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88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89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91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1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96</v>
      </c>
      <c r="D11" s="80">
        <f>SUM(D6:D9)</f>
        <v>0</v>
      </c>
      <c r="E11" s="80">
        <f t="shared" ref="E11:H11" si="1">SUM(E6:E9)</f>
        <v>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49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21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3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35">
      <c r="C17" s="17" t="s">
        <v>22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3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3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35">
      <c r="C20" s="17" t="s">
        <v>78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35">
      <c r="C21" s="19" t="s">
        <v>11</v>
      </c>
      <c r="D21" s="20">
        <f xml:space="preserve"> IF(OR(Inputs!D19="Y",Inputs!D$24="Y",Inputs!D$25="Y"), Prices!$C16, 0)</f>
        <v>10000</v>
      </c>
      <c r="E21" s="20">
        <f xml:space="preserve"> IF(OR(Inputs!E19="Y",Inputs!E$24="Y",Inputs!E$25="Y"), Prices!$C16, 0)</f>
        <v>10000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35">
      <c r="C22" s="19" t="s">
        <v>12</v>
      </c>
      <c r="D22" s="20">
        <f xml:space="preserve"> IF(OR(Inputs!D20="Y",Inputs!D$24="Y",Inputs!D$25="Y"), Prices!$C17, 0)</f>
        <v>5000</v>
      </c>
      <c r="E22" s="20">
        <f xml:space="preserve"> IF(OR(Inputs!E20="Y",Inputs!E$24="Y",Inputs!E$25="Y"), Prices!$C17, 0)</f>
        <v>5000</v>
      </c>
      <c r="F22" s="20">
        <f xml:space="preserve"> IF(OR(Inputs!F20="Y",Inputs!F$24="Y",Inputs!F$25="Y"), Prices!$C17, 0)</f>
        <v>0</v>
      </c>
      <c r="G22" s="20">
        <f xml:space="preserve"> IF(OR(Inputs!G20="Y",Inputs!G$24="Y",Inputs!G$25="Y"), Prices!$C17, 0)</f>
        <v>0</v>
      </c>
      <c r="H22" s="20">
        <f xml:space="preserve"> IF(OR(Inputs!H20="Y",Inputs!H$24="Y",Inputs!H$25="Y"), Prices!$C17, 0)</f>
        <v>0</v>
      </c>
    </row>
    <row r="23" spans="2:8" x14ac:dyDescent="0.35">
      <c r="C23" s="19" t="s">
        <v>23</v>
      </c>
      <c r="D23" s="20">
        <f>IF(Inputs!D$6="N",0, IF(OR(Inputs!D21="Y",Inputs!D$24="Y",Inputs!D$25="Y"), Prices!$C18, 0))</f>
        <v>5000</v>
      </c>
      <c r="E23" s="20">
        <f>IF(Inputs!E$6="N",0, IF(OR(Inputs!E21="Y",Inputs!E$24="Y",Inputs!E$25="Y"), Prices!$C18, 0))</f>
        <v>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35">
      <c r="B25" s="6" t="s">
        <v>50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6750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21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0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35">
      <c r="C29" s="17" t="s">
        <v>22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0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35">
      <c r="C32" s="17" t="s">
        <v>78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0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4500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35">
      <c r="C34" s="19" t="s">
        <v>12</v>
      </c>
      <c r="D34" s="20">
        <f>IF(OR(Inputs!D$6="Y", D$11 = 0), 0, IF(OR(Inputs!D20="Y",Inputs!D$24="Y",Inputs!D$25="Y"),PRODUCT(D$11, Prices!$E17),0))*D$10</f>
        <v>0</v>
      </c>
      <c r="E34" s="20">
        <f>IF(OR(Inputs!E$6="Y", E$11 = 0), 0, IF(OR(Inputs!E20="Y",Inputs!E$24="Y",Inputs!E$25="Y"),PRODUCT(E$11, Prices!$E17),0))*E$10</f>
        <v>1750.0000000000002</v>
      </c>
      <c r="F34" s="20">
        <f>IF(OR(Inputs!F$6="Y", F$11 = 0), 0, IF(OR(Inputs!F20="Y",Inputs!F$24="Y",Inputs!F$25="Y"),PRODUCT(F$11, Prices!$E17),0))*F$10</f>
        <v>0</v>
      </c>
      <c r="G34" s="20">
        <f>IF(OR(Inputs!G$6="Y", G$11 = 0), 0, IF(OR(Inputs!G20="Y",Inputs!G$24="Y",Inputs!G$25="Y"),PRODUCT(G$11, Prices!$E17),0))*G$10</f>
        <v>0</v>
      </c>
      <c r="H34" s="20">
        <f>IF(OR(Inputs!H$6="Y", H$11 = 0), 0, IF(OR(Inputs!H20="Y",Inputs!H$24="Y",Inputs!H$25="Y"),PRODUCT(H$11, Prices!$E17),0))*H$10</f>
        <v>0</v>
      </c>
    </row>
    <row r="35" spans="2:8" x14ac:dyDescent="0.3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51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21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3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35">
      <c r="C41" s="17" t="s">
        <v>22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3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3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35">
      <c r="C44" s="17" t="s">
        <v>78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3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35">
      <c r="C46" s="19" t="s">
        <v>12</v>
      </c>
      <c r="D46" s="20">
        <f>IF(AND(Inputs!D20="Y",Inputs!D$24="N",Inputs!D$25="N"),Prices!$C17,0)</f>
        <v>0</v>
      </c>
      <c r="E46" s="20">
        <f>IF(AND(Inputs!E20="Y",Inputs!E$24="N",Inputs!E$25="N"),Prices!$C17,0)</f>
        <v>0</v>
      </c>
      <c r="F46" s="20">
        <f>IF(AND(Inputs!F20="Y",Inputs!F$24="N",Inputs!F$25="N"),Prices!$C17,0)</f>
        <v>0</v>
      </c>
      <c r="G46" s="20">
        <f>IF(AND(Inputs!G20="Y",Inputs!G$24="N",Inputs!G$25="N"),Prices!$C17,0)</f>
        <v>0</v>
      </c>
      <c r="H46" s="20">
        <f>IF(AND(Inputs!H20="Y",Inputs!H$24="N",Inputs!H$25="N"),Prices!$C17,0)</f>
        <v>0</v>
      </c>
    </row>
    <row r="47" spans="2:8" x14ac:dyDescent="0.35">
      <c r="C47" s="19" t="s">
        <v>23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35">
      <c r="B49" s="6" t="s">
        <v>52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6750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21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35">
      <c r="C53" s="17" t="s">
        <v>22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35">
      <c r="C56" s="17" t="s">
        <v>78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35">
      <c r="C58" s="19" t="s">
        <v>12</v>
      </c>
      <c r="D58" s="20">
        <f>IF(OR(Inputs!D$6="Y", D$11 = 0), 0, IF(AND(Inputs!D20="Y",Inputs!D$24="N",Inputs!D$25="N"),PRODUCT(D$11, Prices!$E17)*D$10,0))</f>
        <v>0</v>
      </c>
      <c r="E58" s="20">
        <f>IF(OR(Inputs!E$6="Y", E$11 = 0), 0, IF(AND(Inputs!E20="Y",Inputs!E$24="N",Inputs!E$25="N"),PRODUCT(E$11, Prices!$E17)*E$10,0))</f>
        <v>0</v>
      </c>
      <c r="F58" s="20">
        <f>IF(OR(Inputs!F$6="Y", F$11 = 0), 0, IF(AND(Inputs!F20="Y",Inputs!F$24="N",Inputs!F$25="N"),PRODUCT(F$11, Prices!$E17)*F$10,0))</f>
        <v>0</v>
      </c>
      <c r="G58" s="20">
        <f>IF(OR(Inputs!G$6="Y", G$11 = 0), 0, IF(AND(Inputs!G20="Y",Inputs!G$24="N",Inputs!G$25="N"),PRODUCT(G$11, Prices!$E17)*G$10,0))</f>
        <v>0</v>
      </c>
      <c r="H58" s="20">
        <f>IF(OR(Inputs!H$6="Y", H$11 = 0), 0, IF(AND(Inputs!H20="Y",Inputs!H$24="N",Inputs!H$25="N"),PRODUCT(H$11, Prices!$E17)*H$10,0))</f>
        <v>0</v>
      </c>
    </row>
    <row r="59" spans="2:8" x14ac:dyDescent="0.3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45</v>
      </c>
    </row>
    <row r="62" spans="2:8" x14ac:dyDescent="0.35">
      <c r="C62" s="17" t="s">
        <v>14</v>
      </c>
      <c r="D62" s="18">
        <f>IF(Inputs!D$23 = "Y", 0, IF(Inputs!D22="Y", Prices!$C20, 0))</f>
        <v>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35">
      <c r="C63" s="17" t="s">
        <v>15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35">
      <c r="C64" s="19" t="s">
        <v>16</v>
      </c>
      <c r="D64" s="20">
        <f>IF(Inputs!D24="Y", Prices!$C22, 0)</f>
        <v>35000</v>
      </c>
      <c r="E64" s="20">
        <f>IF(Inputs!E24="Y", Prices!$C22, 0)</f>
        <v>35000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35">
      <c r="C65" s="19" t="s">
        <v>130</v>
      </c>
      <c r="D65" s="20">
        <f>IF(Inputs!D25="Y", Prices!$C23, 0)</f>
        <v>0</v>
      </c>
      <c r="E65" s="20">
        <f>IF(Inputs!E25="Y", Prices!$C23, 0)</f>
        <v>35000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35">
      <c r="C66" s="19" t="s">
        <v>17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35">
      <c r="C67" s="19" t="s">
        <v>100</v>
      </c>
      <c r="D67" s="20">
        <f>IF(Inputs!D27="Y", Prices!$C25 * IF(Inputs!D26="Y",1-Prices!$L$20,1), IF(Inputs!D27="Monthly", Prices!$C25 * Prices!$L$28 * IF(Inputs!D26="Y",1-Prices!$L$20,1), 0))</f>
        <v>0</v>
      </c>
      <c r="E67" s="20">
        <f>IF(Inputs!E27="Y", Prices!$C25 * IF(Inputs!E26="Y",1-Prices!$L$20,1), IF(Inputs!E27="Monthly", Prices!$C25 * Prices!$L$28 * IF(Inputs!E26="Y",1-Prices!$L$20,1), 0))</f>
        <v>0</v>
      </c>
      <c r="F67" s="20">
        <f>IF(Inputs!F27="Y", Prices!$C25 * IF(Inputs!F26="Y",1-Prices!$L$20,1), IF(Inputs!F27="Monthly", Prices!$C25 * Prices!$L$28 * IF(Inputs!F26="Y",1-Prices!$L$20,1), 0))</f>
        <v>0</v>
      </c>
      <c r="G67" s="20">
        <f>IF(Inputs!G27="Y", Prices!$C25 * IF(Inputs!G26="Y",1-Prices!$L$20,1), IF(Inputs!G27="Monthly", Prices!$C25 * Prices!$L$28 * IF(Inputs!G26="Y",1-Prices!$L$20,1), 0))</f>
        <v>0</v>
      </c>
      <c r="H67" s="20">
        <f>IF(Inputs!H27="Y", Prices!$C25 * IF(Inputs!H26="Y",1-Prices!$L$20,1), IF(Inputs!H27="Monthly", Prices!$C25 * Prices!$L$28 * IF(Inputs!H26="Y",1-Prices!$L$20,1), 0))</f>
        <v>0</v>
      </c>
    </row>
    <row r="68" spans="2:15" x14ac:dyDescent="0.35">
      <c r="C68" s="19" t="s">
        <v>99</v>
      </c>
      <c r="D68" s="20">
        <f>IF(Inputs!D28="Y", Prices!$C26, 0)</f>
        <v>0</v>
      </c>
      <c r="E68" s="20">
        <f>IF(Inputs!E28="Y", Prices!$C26, 0)</f>
        <v>0</v>
      </c>
      <c r="F68" s="20">
        <f>IF(Inputs!F28="Y", Prices!$C26, 0)</f>
        <v>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35">
      <c r="C69" s="81" t="s">
        <v>97</v>
      </c>
      <c r="D69" s="84">
        <f>IF(Inputs!D12="Y", Prices!$C27, IF(Inputs!D12="Monthly", Prices!C27 * Prices!$L$28, 0))</f>
        <v>0</v>
      </c>
      <c r="E69" s="84">
        <f>IF(Inputs!E12="Y", Prices!$C27, IF(Inputs!E12="Monthly", Prices!D27 * Prices!$L$28, 0))</f>
        <v>0</v>
      </c>
      <c r="F69" s="84">
        <f>IF(Inputs!F12="Y", Prices!$C27, IF(Inputs!F12="Monthly", Prices!E27 * Prices!$L$28, 0))</f>
        <v>0</v>
      </c>
      <c r="G69" s="84">
        <f>IF(Inputs!G12="Y", Prices!$C27, IF(Inputs!G12="Monthly", Prices!F27 * Prices!$L$28, 0))</f>
        <v>0</v>
      </c>
      <c r="H69" s="84">
        <f>IF(Inputs!H12="Y", Prices!$C27, IF(Inputs!H12="Monthly", Prices!G27 * Prices!$L$28, 0))</f>
        <v>0</v>
      </c>
    </row>
    <row r="71" spans="2:15" x14ac:dyDescent="0.35">
      <c r="B71" s="6" t="s">
        <v>46</v>
      </c>
      <c r="J71" s="89" t="s">
        <v>105</v>
      </c>
    </row>
    <row r="72" spans="2:15" x14ac:dyDescent="0.3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35">
      <c r="C73" s="17" t="s">
        <v>15</v>
      </c>
      <c r="D73" s="18">
        <f>IF(Inputs!D$6="Y", 0, IF(D$11 = "", 0, IF(Inputs!D23 = "Y", D$11*Prices!$E21, 0)))*D$10</f>
        <v>0</v>
      </c>
      <c r="E73" s="18">
        <f>IF(Inputs!E$6="Y", 0, IF(E$11 = "", 0, IF(Inputs!E23 = "Y", E$11*Prices!$E21, 0)))*E$10</f>
        <v>0</v>
      </c>
      <c r="F73" s="18">
        <f>IF(Inputs!F$6="Y", 0, IF(F$11 = "", 0, IF(Inputs!F23 = "Y", F$11*Prices!$E21, 0)))*F$10</f>
        <v>0</v>
      </c>
      <c r="G73" s="18">
        <f>IF(Inputs!G$6="Y", 0, IF(G$11 = "", 0, IF(Inputs!G23 = "Y", G$11*Prices!$E21, 0)))*G$10</f>
        <v>0</v>
      </c>
      <c r="H73" s="18">
        <f>IF(Inputs!H$6="Y", 0, IF(H$11 = "", 0, IF(Inputs!H23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35">
      <c r="C74" s="19" t="s">
        <v>16</v>
      </c>
      <c r="D74" s="20">
        <f>IF(Inputs!D$6="Y", 0, IF(D$11 = "", 0, IF(Inputs!D24 = "Y", D$11*Prices!$E22, 0)))*D$10</f>
        <v>0</v>
      </c>
      <c r="E74" s="20">
        <f>IF(Inputs!E$6="Y", 0, IF(E$11 = "", 0, IF(Inputs!E24 = "Y", E$11*Prices!$E22, 0)))*E$10</f>
        <v>7249.9999999999991</v>
      </c>
      <c r="F74" s="20">
        <f>IF(Inputs!F$6="Y", 0, IF(F$11 = "", 0, IF(Inputs!F24 = "Y", F$11*Prices!$E22, 0)))*F$10</f>
        <v>0</v>
      </c>
      <c r="G74" s="20">
        <f>IF(Inputs!G$6="Y", 0, IF(G$11 = "", 0, IF(Inputs!G24 = "Y", G$11*Prices!$E22, 0)))*G$10</f>
        <v>0</v>
      </c>
      <c r="H74" s="20">
        <f>IF(Inputs!H$6="Y", 0, IF(H$11 = "", 0, IF(Inputs!H24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42250.001199999999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35">
      <c r="C75" s="19" t="s">
        <v>130</v>
      </c>
      <c r="D75" s="20">
        <f>IF(Inputs!D$6="Y", 0, IF(D$11 = "", 0, IF(Inputs!D25 = "Y", D$11*Prices!$E23, 0)))*D$10</f>
        <v>0</v>
      </c>
      <c r="E75" s="20">
        <f>IF(Inputs!E$6="Y", 0, IF(E$11 = "", 0, IF(Inputs!E25 = "Y", E$11*Prices!$E23, 0)))*E$10</f>
        <v>7249.9999999999991</v>
      </c>
      <c r="F75" s="20">
        <f>IF(Inputs!F$6="Y", 0, IF(F$11 = "", 0, IF(Inputs!F25 = "Y", F$11*Prices!$E23, 0)))*F$10</f>
        <v>0</v>
      </c>
      <c r="G75" s="20">
        <f>IF(Inputs!G$6="Y", 0, IF(G$11 = "", 0, IF(Inputs!G25 = "Y", G$11*Prices!$E23, 0)))*G$10</f>
        <v>0</v>
      </c>
      <c r="H75" s="20">
        <f>IF(Inputs!H$6="Y", 0, IF(H$11 = "", 0, IF(Inputs!H25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42250.001300000004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35">
      <c r="C76" s="19" t="s">
        <v>17</v>
      </c>
      <c r="D76" s="20">
        <f>IF(Inputs!D$6="Y", 0, IF(D$11 = "", 0, IF(Inputs!D26 = "Y", D$11*Prices!$E24, 0)))*D$10</f>
        <v>0</v>
      </c>
      <c r="E76" s="20">
        <f>IF(Inputs!E$6="Y", 0, IF(E$11 = "", 0, IF(Inputs!E26 = "Y", E$11*Prices!$E24, 0)))*E$10</f>
        <v>0</v>
      </c>
      <c r="F76" s="20">
        <f>IF(Inputs!F$6="Y", 0, IF(F$11 = "", 0, IF(Inputs!F26 = "Y", F$11*Prices!$E24, 0)))*F$10</f>
        <v>0</v>
      </c>
      <c r="G76" s="20">
        <f>IF(Inputs!G$6="Y", 0, IF(G$11 = "", 0, IF(Inputs!G26 = "Y", G$11*Prices!$E24, 0)))*G$10</f>
        <v>0</v>
      </c>
      <c r="H76" s="20">
        <f>IF(Inputs!H$6="Y", 0, IF(H$11 = "", 0, IF(Inputs!H26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35">
      <c r="C77" s="19" t="s">
        <v>100</v>
      </c>
      <c r="D77" s="20">
        <f>IF(Inputs!D$6="Y", 0, IF(D$11 = "", 0, IF(Inputs!D27 = "Y", D$11*Prices!$E25 * IF(Inputs!D26="Y",1-Prices!$L$20,1),IF(Inputs!D27="Monthly", D$11*Prices!$E25 * Prices!$L$28 * IF(Inputs!D26="Y",1-Prices!$L$20,1), 0))))*D$10</f>
        <v>0</v>
      </c>
      <c r="E77" s="20">
        <f>IF(Inputs!E$6="Y", 0, IF(E$11 = "", 0, IF(Inputs!E27 = "Y", E$11*Prices!$E25 * IF(Inputs!E26="Y",1-Prices!$L$20,1),IF(Inputs!E27="Monthly", E$11*Prices!$E25 * Prices!$L$28 * IF(Inputs!E26="Y",1-Prices!$L$20,1), 0))))*E$10</f>
        <v>0</v>
      </c>
      <c r="F77" s="20">
        <f>IF(Inputs!F$6="Y", 0, IF(F$11 = "", 0, IF(Inputs!F27 = "Y", F$11*Prices!$E25 * IF(Inputs!F26="Y",1-Prices!$L$20,1),IF(Inputs!F27="Monthly", F$11*Prices!$E25 * Prices!$L$28 * IF(Inputs!F26="Y",1-Prices!$L$20,1), 0))))*F$10</f>
        <v>0</v>
      </c>
      <c r="G77" s="20">
        <f>IF(Inputs!G$6="Y", 0, IF(G$11 = "", 0, IF(Inputs!G27 = "Y", G$11*Prices!$E25 * IF(Inputs!G26="Y",1-Prices!$L$20,1),IF(Inputs!G27="Monthly", G$11*Prices!$E25 * Prices!$L$28 * IF(Inputs!G26="Y",1-Prices!$L$20,1), 0))))*G$10</f>
        <v>0</v>
      </c>
      <c r="H77" s="20">
        <f>IF(Inputs!H$6="Y", 0, IF(H$11 = "", 0, IF(Inputs!H27 = "Y", H$11*Prices!$E25 * IF(Inputs!H26="Y",1-Prices!$L$20,1),IF(Inputs!H27="Monthly", H$11*Prices!$E25 * Prices!$L$28 * IF(Inputs!H26="Y",1-Prices!$L$20,1),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35">
      <c r="C78" s="19" t="s">
        <v>99</v>
      </c>
      <c r="D78" s="20">
        <f>IF(Inputs!D$6="Y", 0, IF(D$11 = "", 0, IF(Inputs!D28 = "Y", D$11*Prices!$E26, 0)))*D$10</f>
        <v>0</v>
      </c>
      <c r="E78" s="20">
        <f>IF(Inputs!E$6="Y", 0, IF(E$11 = "", 0, IF(Inputs!E28 = "Y", E$11*Prices!$E26, 0)))*E$10</f>
        <v>0</v>
      </c>
      <c r="F78" s="20">
        <f>IF(Inputs!F$6="Y", 0, IF(F$11 = "", 0, IF(Inputs!F28 = "Y", F$11*Prices!$E26, 0)))*F$10</f>
        <v>0</v>
      </c>
      <c r="G78" s="20">
        <f>IF(Inputs!G$6="Y", 0, IF(G$11 = "", 0, IF(Inputs!G28 = "Y", G$11*Prices!$E26, 0)))*G$10</f>
        <v>0</v>
      </c>
      <c r="H78" s="20">
        <f>IF(Inputs!H$6="Y", 0, IF(H$11 = "", 0, IF(Inputs!H28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35">
      <c r="C79" s="81" t="s">
        <v>97</v>
      </c>
      <c r="D79" s="84">
        <f>IF(Inputs!D$6="Y", 0, IF(D$11 = "", 0, IF(Inputs!D12 = "Y", D$11*Prices!$E27, IF(Inputs!D12="Monthly", D$11*Prices!$E27*Prices!$L$28,0))))*D$10</f>
        <v>0</v>
      </c>
      <c r="E79" s="84">
        <f>IF(Inputs!E$6="Y", 0, IF(E$11 = "", 0, IF(Inputs!E12 = "Y", E$11*Prices!$E27, IF(Inputs!E12="Monthly", E$11*Prices!$E27*Prices!$L$28,0))))*E$10</f>
        <v>0</v>
      </c>
      <c r="F79" s="84">
        <f>IF(Inputs!F$6="Y", 0, IF(F$11 = "", 0, IF(Inputs!F12 = "Y", F$11*Prices!$E27, IF(Inputs!F12="Monthly", F$11*Prices!$E27*Prices!$L$28,0))))*F$10</f>
        <v>0</v>
      </c>
      <c r="G79" s="84">
        <f>IF(Inputs!G$6="Y", 0, IF(G$11 = "", 0, IF(Inputs!G12 = "Y", G$11*Prices!$E27, IF(Inputs!G12="Monthly", G$11*Prices!$E27*Prices!$L$28,0))))*G$10</f>
        <v>0</v>
      </c>
      <c r="H79" s="84">
        <f>IF(Inputs!H$6="Y", 0, IF(H$11 = "", 0, IF(Inputs!H12 = "Y", H$11*Prices!$E27, IF(Inputs!H12="Monthly", H$11*Prices!$E27*Prices!$L$28,0))))*H$10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35">
      <c r="D80" s="1"/>
      <c r="E80" s="1"/>
      <c r="F80" s="1"/>
      <c r="G80" s="1"/>
      <c r="H80" s="1"/>
    </row>
    <row r="81" spans="2:15" x14ac:dyDescent="0.35">
      <c r="B81" s="6" t="s">
        <v>47</v>
      </c>
    </row>
    <row r="82" spans="2:15" x14ac:dyDescent="0.3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3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3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35">
      <c r="C85" s="19" t="s">
        <v>130</v>
      </c>
      <c r="D85" s="20">
        <f>IF(D65=0,0,D65-IF(Inputs!D24="Y", 0, SUM(D21:D23)))</f>
        <v>0</v>
      </c>
      <c r="E85" s="20">
        <f>IF(E65=0,0,E65-IF(Inputs!E24="Y", 0, SUM(E21:E23)))</f>
        <v>35000</v>
      </c>
      <c r="F85" s="20">
        <f>IF(F65=0,0,F65-IF(Inputs!F24="Y", 0, SUM(F21:F23)))</f>
        <v>0</v>
      </c>
      <c r="G85" s="20">
        <f>IF(G65=0,0,G65-IF(Inputs!G24="Y", 0, SUM(G21:G23)))</f>
        <v>0</v>
      </c>
      <c r="H85" s="20">
        <f>IF(H65=0,0,H65-IF(Inputs!H24="Y",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3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35">
      <c r="C87" s="19" t="s">
        <v>100</v>
      </c>
      <c r="D87" s="20">
        <f>D67</f>
        <v>0</v>
      </c>
      <c r="E87" s="20">
        <f t="shared" ref="E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3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3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35">
      <c r="B91" s="6" t="s">
        <v>48</v>
      </c>
    </row>
    <row r="92" spans="2:15" x14ac:dyDescent="0.3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3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35">
      <c r="C94" s="19" t="s">
        <v>16</v>
      </c>
      <c r="D94" s="20">
        <f>IF(D74=0,0,D74-SUM(D33:D34))</f>
        <v>0</v>
      </c>
      <c r="E94" s="20">
        <f>IF(E74=0,0,E74-SUM(E33:E34))</f>
        <v>999.99999999999909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35">
      <c r="C95" s="19" t="s">
        <v>130</v>
      </c>
      <c r="D95" s="20">
        <f>IF(D75=0,0,D75-IF(Inputs!D24="Y", 0,SUM(D33:D34)))</f>
        <v>0</v>
      </c>
      <c r="E95" s="20">
        <f>IF(E75=0,0,E75-IF(Inputs!E24="Y", 0,SUM(E33:E34)))</f>
        <v>7249.9999999999991</v>
      </c>
      <c r="F95" s="20">
        <f>IF(F75=0,0,F75-IF(Inputs!F24="Y", 0,SUM(F33:F34)))</f>
        <v>0</v>
      </c>
      <c r="G95" s="20">
        <f>IF(G75=0,0,G75-IF(Inputs!G24="Y", 0,SUM(G33:G34)))</f>
        <v>0</v>
      </c>
      <c r="H95" s="20">
        <f>IF(H75=0,0,H75-IF(Inputs!H24="Y", 0,SUM(H33:H34)))</f>
        <v>0</v>
      </c>
    </row>
    <row r="96" spans="2:15" x14ac:dyDescent="0.3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3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3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3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35">
      <c r="B101" s="6" t="s">
        <v>30</v>
      </c>
    </row>
    <row r="102" spans="1:8" x14ac:dyDescent="0.3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-12675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3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3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3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3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3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3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108575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35">
      <c r="D110" s="1"/>
    </row>
    <row r="111" spans="1:8" x14ac:dyDescent="0.3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35">
      <c r="D112" s="1"/>
      <c r="E112" s="1"/>
      <c r="F112" s="1"/>
      <c r="G112" s="1"/>
      <c r="H112" s="1"/>
    </row>
    <row r="113" spans="2:8" x14ac:dyDescent="0.3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35">
      <c r="B115" s="6" t="s">
        <v>114</v>
      </c>
      <c r="D115" s="7">
        <f>SUM(D109, D111,D113)</f>
        <v>27500</v>
      </c>
      <c r="E115" s="7">
        <f t="shared" ref="E115:H115" si="28">SUM(E109, E111,E113)</f>
        <v>108575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3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3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3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3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35">
      <c r="B122" s="27"/>
    </row>
    <row r="123" spans="2:8" s="21" customFormat="1" x14ac:dyDescent="0.35">
      <c r="B123" s="27"/>
      <c r="C123" s="21" t="s">
        <v>116</v>
      </c>
    </row>
    <row r="124" spans="2:8" s="21" customFormat="1" x14ac:dyDescent="0.3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3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3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3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3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8"/>
  <sheetViews>
    <sheetView workbookViewId="0">
      <selection activeCell="K32" sqref="K32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18</v>
      </c>
    </row>
    <row r="3" spans="2:12" x14ac:dyDescent="0.3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3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3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3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35">
      <c r="C8" s="43"/>
      <c r="D8" s="39"/>
      <c r="K8" s="6" t="s">
        <v>122</v>
      </c>
    </row>
    <row r="9" spans="2:12" x14ac:dyDescent="0.3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3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3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3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3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3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3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3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3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  <row r="28" spans="2:12" x14ac:dyDescent="0.35">
      <c r="K28" t="s">
        <v>134</v>
      </c>
      <c r="L28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4.5" x14ac:dyDescent="0.35"/>
  <cols>
    <col min="1" max="1" width="11.81640625" bestFit="1" customWidth="1"/>
    <col min="2" max="2" width="11.9062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8" x14ac:dyDescent="0.35">
      <c r="A1" s="6" t="s">
        <v>135</v>
      </c>
      <c r="B1" s="6" t="s">
        <v>136</v>
      </c>
      <c r="C1" s="6" t="s">
        <v>137</v>
      </c>
      <c r="E1" s="6" t="s">
        <v>60</v>
      </c>
      <c r="F1" s="3">
        <v>0.05</v>
      </c>
      <c r="H1" s="6" t="s">
        <v>106</v>
      </c>
      <c r="I1" s="6" t="s">
        <v>107</v>
      </c>
      <c r="J1" s="6" t="s">
        <v>108</v>
      </c>
      <c r="K1" s="6" t="s">
        <v>109</v>
      </c>
      <c r="L1" s="6" t="s">
        <v>110</v>
      </c>
    </row>
    <row r="2" spans="1:18" x14ac:dyDescent="0.35">
      <c r="A2">
        <v>0</v>
      </c>
      <c r="B2">
        <v>49999</v>
      </c>
      <c r="C2" s="2">
        <v>0.2</v>
      </c>
      <c r="E2" t="s">
        <v>138</v>
      </c>
      <c r="F2" s="54">
        <v>43831</v>
      </c>
      <c r="H2">
        <f>IF(Inputs!D$10 &gt; $B2, $A3-$A2, MAX(0, Inputs!D$10-$A2))</f>
        <v>50000</v>
      </c>
      <c r="I2">
        <f>IF(Inputs!E$10 &gt; $B2, $A3-$A2, MAX(0, Inputs!E$10-$A2))</f>
        <v>50000</v>
      </c>
      <c r="J2">
        <f>IF(Inputs!F$10 &gt; $B2, $A3-$A2, MAX(0, Inputs!F$10-$A2))</f>
        <v>0</v>
      </c>
      <c r="K2">
        <f>IF(Inputs!G$10 &gt; $B2, $A3-$A2, MAX(0, Inputs!G$10-$A2))</f>
        <v>0</v>
      </c>
      <c r="L2">
        <f>IF(Inputs!H$10 &gt; $B2, $A3-$A2, MAX(0, Inputs!H$10-$A2))</f>
        <v>0</v>
      </c>
    </row>
    <row r="3" spans="1:18" x14ac:dyDescent="0.35">
      <c r="A3">
        <v>50000</v>
      </c>
      <c r="B3">
        <v>99999</v>
      </c>
      <c r="C3" s="2">
        <v>0.17</v>
      </c>
      <c r="H3">
        <f>IF(Inputs!D$10 &gt; $B3, $A4-$A3, MAX(0, Inputs!D$10-$A3))</f>
        <v>0</v>
      </c>
      <c r="I3">
        <f>IF(Inputs!E$10 &gt; $B3, $A4-$A3, MAX(0, Inputs!E$10-$A3))</f>
        <v>0</v>
      </c>
      <c r="J3">
        <f>IF(Inputs!F$10 &gt; $B3, $A4-$A3, MAX(0, Inputs!F$10-$A3))</f>
        <v>0</v>
      </c>
      <c r="K3">
        <f>IF(Inputs!G$10 &gt; $B3, $A4-$A3, MAX(0, Inputs!G$10-$A3))</f>
        <v>0</v>
      </c>
      <c r="L3">
        <f>IF(Inputs!H$10 &gt; $B3, $A4-$A3, MAX(0, Inputs!H$10-$A3))</f>
        <v>0</v>
      </c>
    </row>
    <row r="4" spans="1:18" x14ac:dyDescent="0.35">
      <c r="A4">
        <v>100000</v>
      </c>
      <c r="B4">
        <v>299999</v>
      </c>
      <c r="C4" s="2">
        <v>0.14000000000000001</v>
      </c>
      <c r="E4" t="s">
        <v>142</v>
      </c>
      <c r="F4" s="3">
        <v>0.8</v>
      </c>
      <c r="H4">
        <f>IF(Inputs!D$10 &gt; $B4, $A5-$A4, MAX(0, Inputs!D$10-$A4))</f>
        <v>0</v>
      </c>
      <c r="I4">
        <f>IF(Inputs!E$10 &gt; $B4, $A5-$A4, MAX(0, Inputs!E$10-$A4))</f>
        <v>0</v>
      </c>
      <c r="J4">
        <f>IF(Inputs!F$10 &gt; $B4, $A5-$A4, MAX(0, Inputs!F$10-$A4))</f>
        <v>0</v>
      </c>
      <c r="K4">
        <f>IF(Inputs!G$10 &gt; $B4, $A5-$A4, MAX(0, Inputs!G$10-$A4))</f>
        <v>0</v>
      </c>
      <c r="L4">
        <f>IF(Inputs!H$10 &gt; $B4, $A5-$A4, MAX(0, Inputs!H$10-$A4))</f>
        <v>0</v>
      </c>
    </row>
    <row r="5" spans="1:18" x14ac:dyDescent="0.35">
      <c r="A5">
        <v>300000</v>
      </c>
      <c r="B5">
        <v>499999</v>
      </c>
      <c r="C5" s="2">
        <v>0.11</v>
      </c>
      <c r="E5" t="s">
        <v>143</v>
      </c>
      <c r="F5" s="3">
        <v>0.1</v>
      </c>
      <c r="H5">
        <f>IF(Inputs!D$10 &gt; $B5, $A6-$A5, MAX(0, Inputs!D$10-$A5))</f>
        <v>0</v>
      </c>
      <c r="I5">
        <f>IF(Inputs!E$10 &gt; $B5, $A6-$A5, MAX(0, Inputs!E$10-$A5))</f>
        <v>0</v>
      </c>
      <c r="J5">
        <f>IF(Inputs!F$10 &gt; $B5, $A6-$A5, MAX(0, Inputs!F$10-$A5))</f>
        <v>0</v>
      </c>
      <c r="K5">
        <f>IF(Inputs!G$10 &gt; $B5, $A6-$A5, MAX(0, Inputs!G$10-$A5))</f>
        <v>0</v>
      </c>
      <c r="L5">
        <f>IF(Inputs!H$10 &gt; $B5, $A6-$A5, MAX(0, Inputs!H$10-$A5))</f>
        <v>0</v>
      </c>
    </row>
    <row r="6" spans="1:18" x14ac:dyDescent="0.35">
      <c r="A6">
        <v>500000</v>
      </c>
      <c r="B6">
        <v>999999</v>
      </c>
      <c r="C6" s="2">
        <v>7.0000000000000007E-2</v>
      </c>
      <c r="E6" t="s">
        <v>42</v>
      </c>
      <c r="F6" s="3">
        <v>0.1</v>
      </c>
      <c r="H6">
        <f>IF(Inputs!D$10 &gt; $B6, $A7-$A6, MAX(0, Inputs!D$10-$A6))</f>
        <v>0</v>
      </c>
      <c r="I6">
        <f>IF(Inputs!E$10 &gt; $B6, $A7-$A6, MAX(0, Inputs!E$10-$A6))</f>
        <v>0</v>
      </c>
      <c r="J6">
        <f>IF(Inputs!F$10 &gt; $B6, $A7-$A6, MAX(0, Inputs!F$10-$A6))</f>
        <v>0</v>
      </c>
      <c r="K6">
        <f>IF(Inputs!G$10 &gt; $B6, $A7-$A6, MAX(0, Inputs!G$10-$A6))</f>
        <v>0</v>
      </c>
      <c r="L6">
        <f>IF(Inputs!H$10 &gt; $B6, $A7-$A6, MAX(0, Inputs!H$10-$A6))</f>
        <v>0</v>
      </c>
    </row>
    <row r="7" spans="1:18" x14ac:dyDescent="0.35">
      <c r="A7">
        <v>1000000</v>
      </c>
      <c r="B7">
        <v>1999999</v>
      </c>
      <c r="C7" s="2">
        <v>0.06</v>
      </c>
      <c r="H7">
        <f>IF(Inputs!D$10 &gt; $B7, $A8-$A7, MAX(0, Inputs!D$10-$A7))</f>
        <v>0</v>
      </c>
      <c r="I7">
        <f>IF(Inputs!E$10 &gt; $B7, $A8-$A7, MAX(0, Inputs!E$10-$A7))</f>
        <v>0</v>
      </c>
      <c r="J7">
        <f>IF(Inputs!F$10 &gt; $B7, $A8-$A7, MAX(0, Inputs!F$10-$A7))</f>
        <v>0</v>
      </c>
      <c r="K7">
        <f>IF(Inputs!G$10 &gt; $B7, $A8-$A7, MAX(0, Inputs!G$10-$A7))</f>
        <v>0</v>
      </c>
      <c r="L7">
        <f>IF(Inputs!H$10 &gt; $B7, $A8-$A7, MAX(0, Inputs!H$10-$A7))</f>
        <v>0</v>
      </c>
    </row>
    <row r="8" spans="1:18" x14ac:dyDescent="0.35">
      <c r="A8">
        <v>2000000</v>
      </c>
      <c r="B8">
        <v>5000000</v>
      </c>
      <c r="C8" s="2">
        <v>0.04</v>
      </c>
      <c r="H8">
        <f>IF(Inputs!D$10 &gt; $B8, $A9-$A8, MAX(0, Inputs!D$10-$A8))</f>
        <v>0</v>
      </c>
      <c r="I8">
        <f>IF(Inputs!E$10 &gt; $B8, $A9-$A8, MAX(0, Inputs!E$10-$A8))</f>
        <v>0</v>
      </c>
      <c r="J8">
        <f>IF(Inputs!F$10 &gt; $B8, $A9-$A8, MAX(0, Inputs!F$10-$A8))</f>
        <v>0</v>
      </c>
      <c r="K8">
        <f>IF(Inputs!G$10 &gt; $B8, $A9-$A8, MAX(0, Inputs!G$10-$A8))</f>
        <v>0</v>
      </c>
      <c r="L8">
        <f>IF(Inputs!H$10 &gt; $B8, $A9-$A8, MAX(0, Inputs!H$10-$A8))</f>
        <v>0</v>
      </c>
    </row>
    <row r="10" spans="1:18" x14ac:dyDescent="0.35">
      <c r="H10" s="2">
        <f t="shared" ref="H10:H16" si="0">H2*$C2</f>
        <v>10000</v>
      </c>
      <c r="I10" s="2">
        <f t="shared" ref="I10:L10" si="1">I2*$C2</f>
        <v>10000</v>
      </c>
      <c r="J10" s="2">
        <f t="shared" si="1"/>
        <v>0</v>
      </c>
      <c r="K10" s="2">
        <f t="shared" si="1"/>
        <v>0</v>
      </c>
      <c r="L10" s="2">
        <f t="shared" si="1"/>
        <v>0</v>
      </c>
    </row>
    <row r="11" spans="1:18" x14ac:dyDescent="0.35">
      <c r="H11" s="2">
        <f t="shared" si="0"/>
        <v>0</v>
      </c>
      <c r="I11" s="2">
        <f t="shared" ref="I11:L11" si="2">I3*$C3</f>
        <v>0</v>
      </c>
      <c r="J11" s="2">
        <f t="shared" si="2"/>
        <v>0</v>
      </c>
      <c r="K11" s="2">
        <f t="shared" si="2"/>
        <v>0</v>
      </c>
      <c r="L11" s="2">
        <f t="shared" si="2"/>
        <v>0</v>
      </c>
      <c r="N11" s="2"/>
      <c r="O11" s="2"/>
      <c r="P11" s="2"/>
      <c r="Q11" s="2"/>
      <c r="R11" s="2"/>
    </row>
    <row r="12" spans="1:18" x14ac:dyDescent="0.35">
      <c r="H12" s="2">
        <f t="shared" si="0"/>
        <v>0</v>
      </c>
      <c r="I12" s="2">
        <f t="shared" ref="I12:L12" si="3">I4*$C4</f>
        <v>0</v>
      </c>
      <c r="J12" s="2">
        <f t="shared" si="3"/>
        <v>0</v>
      </c>
      <c r="K12" s="2">
        <f t="shared" si="3"/>
        <v>0</v>
      </c>
      <c r="L12" s="2">
        <f t="shared" si="3"/>
        <v>0</v>
      </c>
    </row>
    <row r="13" spans="1:18" x14ac:dyDescent="0.35">
      <c r="H13" s="2">
        <f t="shared" si="0"/>
        <v>0</v>
      </c>
      <c r="I13" s="2">
        <f t="shared" ref="I13:L13" si="4">I5*$C5</f>
        <v>0</v>
      </c>
      <c r="J13" s="2">
        <f t="shared" si="4"/>
        <v>0</v>
      </c>
      <c r="K13" s="2">
        <f t="shared" si="4"/>
        <v>0</v>
      </c>
      <c r="L13" s="2">
        <f t="shared" si="4"/>
        <v>0</v>
      </c>
    </row>
    <row r="14" spans="1:18" x14ac:dyDescent="0.35">
      <c r="H14" s="2">
        <f t="shared" si="0"/>
        <v>0</v>
      </c>
      <c r="I14" s="2">
        <f t="shared" ref="I14:L14" si="5">I6*$C6</f>
        <v>0</v>
      </c>
      <c r="J14" s="2">
        <f t="shared" si="5"/>
        <v>0</v>
      </c>
      <c r="K14" s="2">
        <f t="shared" si="5"/>
        <v>0</v>
      </c>
      <c r="L14" s="2">
        <f t="shared" si="5"/>
        <v>0</v>
      </c>
    </row>
    <row r="15" spans="1:18" x14ac:dyDescent="0.35">
      <c r="E15" s="2"/>
      <c r="F15" s="103"/>
      <c r="H15" s="2">
        <f t="shared" si="0"/>
        <v>0</v>
      </c>
      <c r="I15" s="2">
        <f t="shared" ref="I15:L15" si="6">I7*$C7</f>
        <v>0</v>
      </c>
      <c r="J15" s="2">
        <f t="shared" si="6"/>
        <v>0</v>
      </c>
      <c r="K15" s="2">
        <f t="shared" si="6"/>
        <v>0</v>
      </c>
      <c r="L15" s="2">
        <f t="shared" si="6"/>
        <v>0</v>
      </c>
    </row>
    <row r="16" spans="1:18" x14ac:dyDescent="0.35">
      <c r="E16" s="2"/>
      <c r="F16" s="103"/>
      <c r="H16" s="2">
        <f t="shared" si="0"/>
        <v>0</v>
      </c>
      <c r="I16" s="2">
        <f t="shared" ref="I16:L16" si="7">I8*$C8</f>
        <v>0</v>
      </c>
      <c r="J16" s="2">
        <f t="shared" si="7"/>
        <v>0</v>
      </c>
      <c r="K16" s="2">
        <f t="shared" si="7"/>
        <v>0</v>
      </c>
      <c r="L16" s="2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106</v>
      </c>
      <c r="I19" s="6" t="s">
        <v>107</v>
      </c>
      <c r="J19" s="6" t="s">
        <v>108</v>
      </c>
      <c r="K19" s="6" t="s">
        <v>109</v>
      </c>
      <c r="L19" s="6" t="s">
        <v>110</v>
      </c>
    </row>
    <row r="20" spans="5:12" x14ac:dyDescent="0.35">
      <c r="E20" s="2"/>
      <c r="F20" s="103"/>
      <c r="G20" t="s">
        <v>64</v>
      </c>
      <c r="H20" s="104">
        <f>IF(Inputs!D$9 = "Y", SUM('MARA Prices'!H10:H16), 0)</f>
        <v>0</v>
      </c>
      <c r="I20" s="104">
        <f>IF(Inputs!E$9 = "Y", SUM('MARA Prices'!I10:I16), 0)</f>
        <v>10000</v>
      </c>
      <c r="J20" s="104">
        <f>IF(Inputs!F$9 = "Y", SUM('MARA Prices'!J10:J16), 0)</f>
        <v>0</v>
      </c>
      <c r="K20" s="104">
        <f>IF(Inputs!G$9 = "Y", SUM('MARA Prices'!K10:K16), 0)</f>
        <v>0</v>
      </c>
      <c r="L20" s="104">
        <f>IF(Inputs!H$9 = "Y", SUM('MARA Prices'!L10:L16), 0)</f>
        <v>0</v>
      </c>
    </row>
    <row r="21" spans="5:12" x14ac:dyDescent="0.35">
      <c r="E21" s="2"/>
      <c r="F21" s="103"/>
      <c r="G21" t="s">
        <v>124</v>
      </c>
      <c r="H21" s="105">
        <f>H20/12</f>
        <v>0</v>
      </c>
      <c r="I21" s="105">
        <f>I20/12</f>
        <v>833.33333333333337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2019-02-28T16:44:39Z</dcterms:modified>
</cp:coreProperties>
</file>