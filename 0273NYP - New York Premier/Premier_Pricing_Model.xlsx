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Inputs!$D$20:$D$21</definedName>
    <definedName name="_xlnm.Print_Area" localSheetId="2">Outputs_Internal!$B$1:$M$62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5" i="1" l="1"/>
  <c r="G95" i="1"/>
  <c r="F95" i="1"/>
  <c r="D95" i="1"/>
  <c r="H85" i="1"/>
  <c r="G85" i="1"/>
  <c r="F85" i="1"/>
  <c r="D85" i="1"/>
  <c r="H58" i="1"/>
  <c r="G58" i="1"/>
  <c r="F58" i="1"/>
  <c r="D58" i="1"/>
  <c r="H57" i="1"/>
  <c r="G57" i="1"/>
  <c r="F57" i="1"/>
  <c r="D57" i="1"/>
  <c r="H47" i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34" i="1"/>
  <c r="G34" i="1"/>
  <c r="F34" i="1"/>
  <c r="D34" i="1"/>
  <c r="H33" i="1"/>
  <c r="G33" i="1"/>
  <c r="F33" i="1"/>
  <c r="D33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D21" i="1"/>
  <c r="E85" i="1" l="1"/>
  <c r="E21" i="1"/>
  <c r="D84" i="1"/>
  <c r="H22" i="5"/>
  <c r="G22" i="5"/>
  <c r="F22" i="5"/>
  <c r="D22" i="5"/>
  <c r="G47" i="7"/>
  <c r="F47" i="7" s="1"/>
  <c r="D65" i="1"/>
  <c r="H107" i="1"/>
  <c r="G107" i="1"/>
  <c r="F107" i="1"/>
  <c r="H65" i="1"/>
  <c r="G65" i="1"/>
  <c r="F65" i="1"/>
  <c r="E65" i="1"/>
  <c r="D67" i="1"/>
  <c r="E23" i="3"/>
  <c r="G23" i="3" s="1"/>
  <c r="H47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L26" i="3"/>
  <c r="E10" i="3" l="1"/>
  <c r="C23" i="3"/>
  <c r="E12" i="3"/>
  <c r="C12" i="3"/>
  <c r="E13" i="3"/>
  <c r="C16" i="3"/>
  <c r="C6" i="3"/>
  <c r="C22" i="3"/>
  <c r="E18" i="3"/>
  <c r="C27" i="3"/>
  <c r="C13" i="3"/>
  <c r="C14" i="3"/>
  <c r="C18" i="3"/>
  <c r="C24" i="3"/>
  <c r="E20" i="3"/>
  <c r="E26" i="3"/>
  <c r="C21" i="3"/>
  <c r="C17" i="3"/>
  <c r="C10" i="3"/>
  <c r="C11" i="3"/>
  <c r="C15" i="3"/>
  <c r="C20" i="3"/>
  <c r="C26" i="3"/>
  <c r="L24" i="3"/>
  <c r="H4" i="1" l="1"/>
  <c r="G4" i="1"/>
  <c r="F4" i="1"/>
  <c r="E4" i="1"/>
  <c r="D4" i="1"/>
  <c r="J74" i="1" l="1"/>
  <c r="J75" i="1" s="1"/>
  <c r="J76" i="1" s="1"/>
  <c r="J77" i="1" s="1"/>
  <c r="J78" i="1" s="1"/>
  <c r="J79" i="1" s="1"/>
  <c r="J73" i="1"/>
  <c r="H67" i="1"/>
  <c r="G67" i="1"/>
  <c r="F67" i="1"/>
  <c r="E67" i="1"/>
  <c r="G49" i="7" l="1"/>
  <c r="G50" i="7"/>
  <c r="F50" i="7" s="1"/>
  <c r="H40" i="7"/>
  <c r="H39" i="7"/>
  <c r="G87" i="1"/>
  <c r="E87" i="1"/>
  <c r="D87" i="1"/>
  <c r="D39" i="7" s="1"/>
  <c r="H68" i="1"/>
  <c r="G68" i="1"/>
  <c r="F68" i="1"/>
  <c r="E68" i="1"/>
  <c r="D68" i="1"/>
  <c r="H26" i="3"/>
  <c r="G26" i="3"/>
  <c r="F26" i="3"/>
  <c r="H25" i="3"/>
  <c r="G25" i="3"/>
  <c r="F25" i="3"/>
  <c r="H88" i="1" l="1"/>
  <c r="F88" i="1"/>
  <c r="G88" i="1"/>
  <c r="F87" i="1"/>
  <c r="H49" i="7"/>
  <c r="F49" i="7"/>
  <c r="H50" i="7"/>
  <c r="E88" i="1"/>
  <c r="D88" i="1"/>
  <c r="D40" i="7" s="1"/>
  <c r="N40" i="7" s="1"/>
  <c r="H87" i="1"/>
  <c r="G51" i="7"/>
  <c r="G48" i="7"/>
  <c r="G46" i="7"/>
  <c r="H38" i="7"/>
  <c r="H69" i="1"/>
  <c r="G69" i="1"/>
  <c r="F69" i="1"/>
  <c r="E69" i="1"/>
  <c r="D69" i="1"/>
  <c r="H48" i="7" l="1"/>
  <c r="D89" i="1"/>
  <c r="F89" i="1"/>
  <c r="E89" i="1"/>
  <c r="G89" i="1"/>
  <c r="H89" i="1"/>
  <c r="M39" i="7"/>
  <c r="K40" i="7"/>
  <c r="M40" i="7"/>
  <c r="L40" i="7"/>
  <c r="D41" i="7"/>
  <c r="F48" i="7"/>
  <c r="D15" i="1"/>
  <c r="N39" i="7" l="1"/>
  <c r="L39" i="7"/>
  <c r="K39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1" i="1" l="1"/>
  <c r="F11" i="1"/>
  <c r="G11" i="1"/>
  <c r="H11" i="1"/>
  <c r="E10" i="1"/>
  <c r="D11" i="1"/>
  <c r="F10" i="1"/>
  <c r="F77" i="1" s="1"/>
  <c r="M77" i="1" s="1"/>
  <c r="G10" i="1"/>
  <c r="G77" i="1" s="1"/>
  <c r="N77" i="1" s="1"/>
  <c r="H10" i="1"/>
  <c r="H77" i="1" s="1"/>
  <c r="O77" i="1" s="1"/>
  <c r="D10" i="1"/>
  <c r="E77" i="1" l="1"/>
  <c r="L77" i="1" s="1"/>
  <c r="E75" i="1"/>
  <c r="E58" i="1"/>
  <c r="E34" i="1"/>
  <c r="E57" i="1"/>
  <c r="E33" i="1"/>
  <c r="H56" i="1"/>
  <c r="H75" i="1"/>
  <c r="G75" i="1"/>
  <c r="D77" i="1"/>
  <c r="K77" i="1" s="1"/>
  <c r="D75" i="1"/>
  <c r="F75" i="1"/>
  <c r="G24" i="5"/>
  <c r="E24" i="5"/>
  <c r="F24" i="5"/>
  <c r="D70" i="7"/>
  <c r="H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F79" i="1"/>
  <c r="M79" i="1" s="1"/>
  <c r="F51" i="1"/>
  <c r="E52" i="1"/>
  <c r="E79" i="1"/>
  <c r="L79" i="1" s="1"/>
  <c r="F54" i="1"/>
  <c r="E56" i="1"/>
  <c r="E51" i="1"/>
  <c r="H53" i="1"/>
  <c r="H79" i="1"/>
  <c r="O79" i="1" s="1"/>
  <c r="D51" i="1"/>
  <c r="D79" i="1"/>
  <c r="K79" i="1" s="1"/>
  <c r="E53" i="1"/>
  <c r="G52" i="1"/>
  <c r="G79" i="1"/>
  <c r="N79" i="1" s="1"/>
  <c r="E76" i="1"/>
  <c r="F55" i="1"/>
  <c r="D55" i="1"/>
  <c r="F53" i="1"/>
  <c r="D53" i="1"/>
  <c r="E26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6" i="7"/>
  <c r="D113" i="1"/>
  <c r="D31" i="5" s="1"/>
  <c r="E94" i="1" l="1"/>
  <c r="E22" i="5"/>
  <c r="E95" i="1"/>
  <c r="D47" i="7" s="1"/>
  <c r="D24" i="5"/>
  <c r="L75" i="1"/>
  <c r="M75" i="1"/>
  <c r="K75" i="1"/>
  <c r="N75" i="1"/>
  <c r="O75" i="1"/>
  <c r="G25" i="5"/>
  <c r="H25" i="5"/>
  <c r="F25" i="5"/>
  <c r="E25" i="5"/>
  <c r="D25" i="5"/>
  <c r="D71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2" i="7"/>
  <c r="D22" i="7"/>
  <c r="D93" i="1"/>
  <c r="D29" i="7"/>
  <c r="D56" i="7"/>
  <c r="H24" i="7"/>
  <c r="G24" i="7"/>
  <c r="I24" i="7" s="1"/>
  <c r="N47" i="7" l="1"/>
  <c r="M47" i="7"/>
  <c r="K47" i="7"/>
  <c r="L47" i="7"/>
  <c r="D50" i="7"/>
  <c r="D49" i="7"/>
  <c r="D51" i="7"/>
  <c r="N51" i="7" s="1"/>
  <c r="M56" i="7"/>
  <c r="K56" i="7"/>
  <c r="N56" i="7"/>
  <c r="L56" i="7"/>
  <c r="F24" i="7"/>
  <c r="L50" i="7" l="1"/>
  <c r="K50" i="7"/>
  <c r="N50" i="7"/>
  <c r="M50" i="7"/>
  <c r="L49" i="7"/>
  <c r="N49" i="7"/>
  <c r="K49" i="7"/>
  <c r="M49" i="7"/>
  <c r="L51" i="7"/>
  <c r="H8" i="7"/>
  <c r="H9" i="7"/>
  <c r="H11" i="7"/>
  <c r="H12" i="7"/>
  <c r="H14" i="7"/>
  <c r="H15" i="7"/>
  <c r="H16" i="7"/>
  <c r="H17" i="7"/>
  <c r="F71" i="7" l="1"/>
  <c r="K71" i="7" s="1"/>
  <c r="H70" i="7"/>
  <c r="M70" i="7" s="1"/>
  <c r="F70" i="7"/>
  <c r="K70" i="7" s="1"/>
  <c r="G71" i="7"/>
  <c r="L71" i="7" s="1"/>
  <c r="H71" i="7"/>
  <c r="M71" i="7" s="1"/>
  <c r="I71" i="7"/>
  <c r="N71" i="7" s="1"/>
  <c r="I70" i="7"/>
  <c r="N70" i="7" s="1"/>
  <c r="G70" i="7"/>
  <c r="L70" i="7" s="1"/>
  <c r="I66" i="7"/>
  <c r="G45" i="7"/>
  <c r="G44" i="7"/>
  <c r="H34" i="7"/>
  <c r="H66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5" i="7" s="1"/>
  <c r="H62" i="1" l="1"/>
  <c r="O72" i="1" s="1"/>
  <c r="G62" i="1"/>
  <c r="N72" i="1" s="1"/>
  <c r="F62" i="1"/>
  <c r="M72" i="1" s="1"/>
  <c r="E62" i="1"/>
  <c r="L72" i="1" s="1"/>
  <c r="D62" i="1"/>
  <c r="K72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1" i="7"/>
  <c r="H36" i="7"/>
  <c r="H4" i="7"/>
  <c r="D44" i="7"/>
  <c r="N44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6" i="7" l="1"/>
  <c r="H46" i="7"/>
  <c r="H51" i="7"/>
  <c r="M51" i="7" s="1"/>
  <c r="F51" i="7"/>
  <c r="K51" i="7" s="1"/>
  <c r="D5" i="8"/>
  <c r="D6" i="8" s="1"/>
  <c r="J4" i="8"/>
  <c r="K4" i="8"/>
  <c r="I4" i="8"/>
  <c r="H4" i="8"/>
  <c r="F45" i="7"/>
  <c r="F44" i="7"/>
  <c r="K44" i="7" s="1"/>
  <c r="H44" i="7"/>
  <c r="M44" i="7" s="1"/>
  <c r="M31" i="7"/>
  <c r="F22" i="7"/>
  <c r="K22" i="7" s="1"/>
  <c r="F30" i="7"/>
  <c r="F25" i="7"/>
  <c r="F29" i="7"/>
  <c r="F28" i="7"/>
  <c r="L44" i="7"/>
  <c r="F26" i="7"/>
  <c r="F23" i="7"/>
  <c r="F27" i="7"/>
  <c r="F31" i="7"/>
  <c r="K31" i="7" s="1"/>
  <c r="L31" i="7"/>
  <c r="G66" i="7"/>
  <c r="F66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7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M37" i="7" l="1"/>
  <c r="K37" i="7"/>
  <c r="L37" i="7"/>
  <c r="N37" i="7"/>
  <c r="I6" i="8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K74" i="1" s="1"/>
  <c r="E64" i="1"/>
  <c r="F64" i="1"/>
  <c r="M74" i="1" s="1"/>
  <c r="G64" i="1"/>
  <c r="N74" i="1" s="1"/>
  <c r="H64" i="1"/>
  <c r="O74" i="1" s="1"/>
  <c r="L74" i="1" l="1"/>
  <c r="E84" i="1"/>
  <c r="D83" i="1"/>
  <c r="F83" i="1"/>
  <c r="L17" i="7"/>
  <c r="N17" i="7"/>
  <c r="I7" i="8"/>
  <c r="J7" i="8"/>
  <c r="K7" i="8"/>
  <c r="H7" i="8"/>
  <c r="D8" i="8"/>
  <c r="H84" i="1"/>
  <c r="G83" i="1"/>
  <c r="H83" i="1"/>
  <c r="G84" i="1"/>
  <c r="F84" i="1"/>
  <c r="E83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66" i="7"/>
  <c r="D66" i="1"/>
  <c r="K76" i="1" s="1"/>
  <c r="H14" i="1"/>
  <c r="G14" i="1"/>
  <c r="F14" i="1"/>
  <c r="E14" i="1"/>
  <c r="D14" i="1"/>
  <c r="G4" i="5"/>
  <c r="K85" i="1" l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E107" i="1" s="1"/>
  <c r="M83" i="1"/>
  <c r="M82" i="1"/>
  <c r="M88" i="1"/>
  <c r="M89" i="1"/>
  <c r="M84" i="1"/>
  <c r="M86" i="1"/>
  <c r="M85" i="1"/>
  <c r="M87" i="1"/>
  <c r="N86" i="1"/>
  <c r="N89" i="1"/>
  <c r="N85" i="1"/>
  <c r="N88" i="1"/>
  <c r="N82" i="1"/>
  <c r="N83" i="1"/>
  <c r="N84" i="1"/>
  <c r="N87" i="1"/>
  <c r="O89" i="1"/>
  <c r="O86" i="1"/>
  <c r="O84" i="1"/>
  <c r="O87" i="1"/>
  <c r="O88" i="1"/>
  <c r="O83" i="1"/>
  <c r="O82" i="1"/>
  <c r="O85" i="1"/>
  <c r="H23" i="5"/>
  <c r="D23" i="5"/>
  <c r="G23" i="5"/>
  <c r="F23" i="5"/>
  <c r="E23" i="5"/>
  <c r="D69" i="7"/>
  <c r="N66" i="7"/>
  <c r="K66" i="7"/>
  <c r="N4" i="7"/>
  <c r="K4" i="7"/>
  <c r="M4" i="7"/>
  <c r="C36" i="5"/>
  <c r="E9" i="8"/>
  <c r="H9" i="8"/>
  <c r="K5" i="7"/>
  <c r="L5" i="7"/>
  <c r="M5" i="7"/>
  <c r="F46" i="8"/>
  <c r="D10" i="8"/>
  <c r="F86" i="1"/>
  <c r="D86" i="1"/>
  <c r="D38" i="7" s="1"/>
  <c r="G86" i="1"/>
  <c r="H19" i="5"/>
  <c r="H86" i="1"/>
  <c r="L66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66" i="7"/>
  <c r="E15" i="5"/>
  <c r="E7" i="5"/>
  <c r="E10" i="5"/>
  <c r="E13" i="5"/>
  <c r="E8" i="5"/>
  <c r="E11" i="5"/>
  <c r="E14" i="5"/>
  <c r="E12" i="5"/>
  <c r="E9" i="5"/>
  <c r="H82" i="1"/>
  <c r="D34" i="7" s="1"/>
  <c r="E20" i="5"/>
  <c r="E21" i="5"/>
  <c r="H20" i="5"/>
  <c r="E96" i="1"/>
  <c r="F96" i="1"/>
  <c r="G96" i="1"/>
  <c r="H96" i="1"/>
  <c r="D107" i="1" l="1"/>
  <c r="D106" i="1"/>
  <c r="L38" i="7"/>
  <c r="D68" i="7"/>
  <c r="K34" i="7"/>
  <c r="M34" i="7"/>
  <c r="N34" i="7"/>
  <c r="I9" i="8"/>
  <c r="E10" i="8"/>
  <c r="F9" i="8"/>
  <c r="K10" i="8"/>
  <c r="I10" i="8"/>
  <c r="J10" i="8"/>
  <c r="H10" i="8"/>
  <c r="K8" i="7"/>
  <c r="L8" i="7"/>
  <c r="N41" i="7"/>
  <c r="F47" i="8"/>
  <c r="L4" i="7"/>
  <c r="J9" i="8" s="1"/>
  <c r="D11" i="8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3" i="1"/>
  <c r="E93" i="1"/>
  <c r="D67" i="7"/>
  <c r="D96" i="1"/>
  <c r="D48" i="7" s="1"/>
  <c r="N48" i="7" s="1"/>
  <c r="D20" i="5"/>
  <c r="L34" i="7"/>
  <c r="K9" i="8"/>
  <c r="D102" i="1" l="1"/>
  <c r="N38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38" i="7"/>
  <c r="K38" i="7"/>
  <c r="M22" i="7"/>
  <c r="N22" i="7"/>
  <c r="I11" i="8"/>
  <c r="J11" i="8"/>
  <c r="K11" i="8"/>
  <c r="H11" i="8"/>
  <c r="E11" i="8"/>
  <c r="F10" i="8"/>
  <c r="F48" i="8"/>
  <c r="D12" i="8"/>
  <c r="K48" i="7"/>
  <c r="M48" i="7"/>
  <c r="L48" i="7"/>
  <c r="D45" i="7"/>
  <c r="D46" i="7"/>
  <c r="N46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9" i="7" l="1"/>
  <c r="G69" i="7"/>
  <c r="I69" i="7"/>
  <c r="H69" i="7"/>
  <c r="D29" i="5"/>
  <c r="H29" i="5"/>
  <c r="E29" i="5"/>
  <c r="G29" i="5"/>
  <c r="F29" i="5"/>
  <c r="E109" i="1"/>
  <c r="G109" i="1"/>
  <c r="F109" i="1"/>
  <c r="H109" i="1"/>
  <c r="D109" i="1"/>
  <c r="K45" i="7"/>
  <c r="N45" i="7"/>
  <c r="I12" i="8"/>
  <c r="J12" i="8"/>
  <c r="K12" i="8"/>
  <c r="H12" i="8"/>
  <c r="E12" i="8"/>
  <c r="F11" i="8"/>
  <c r="F49" i="8"/>
  <c r="D13" i="8"/>
  <c r="L45" i="7"/>
  <c r="M45" i="7"/>
  <c r="L46" i="7"/>
  <c r="M46" i="7"/>
  <c r="K46" i="7"/>
  <c r="L36" i="7"/>
  <c r="L9" i="7"/>
  <c r="M35" i="7"/>
  <c r="K41" i="7"/>
  <c r="M16" i="7"/>
  <c r="K12" i="7"/>
  <c r="M15" i="7"/>
  <c r="L14" i="7"/>
  <c r="L11" i="7"/>
  <c r="M13" i="7"/>
  <c r="K10" i="7"/>
  <c r="M10" i="7"/>
  <c r="L10" i="7"/>
  <c r="L15" i="7"/>
  <c r="K15" i="7"/>
  <c r="M41" i="7"/>
  <c r="K16" i="7"/>
  <c r="K11" i="7"/>
  <c r="K13" i="7"/>
  <c r="L16" i="7"/>
  <c r="L12" i="7"/>
  <c r="L13" i="7"/>
  <c r="M12" i="7"/>
  <c r="M36" i="7"/>
  <c r="K36" i="7"/>
  <c r="K9" i="7"/>
  <c r="L41" i="7"/>
  <c r="M14" i="7"/>
  <c r="M9" i="7"/>
  <c r="L35" i="7"/>
  <c r="K35" i="7"/>
  <c r="M11" i="7"/>
  <c r="K14" i="7"/>
  <c r="M8" i="7"/>
  <c r="F72" i="7" l="1"/>
  <c r="K72" i="7" s="1"/>
  <c r="I72" i="7"/>
  <c r="N72" i="7" s="1"/>
  <c r="G72" i="7"/>
  <c r="L72" i="7" s="1"/>
  <c r="H72" i="7"/>
  <c r="M72" i="7" s="1"/>
  <c r="F67" i="7"/>
  <c r="K67" i="7" s="1"/>
  <c r="H68" i="7"/>
  <c r="M68" i="7" s="1"/>
  <c r="N69" i="7"/>
  <c r="G67" i="7"/>
  <c r="L67" i="7" s="1"/>
  <c r="L69" i="7"/>
  <c r="M69" i="7"/>
  <c r="F68" i="7"/>
  <c r="K68" i="7" s="1"/>
  <c r="K69" i="7"/>
  <c r="G68" i="7"/>
  <c r="L68" i="7" s="1"/>
  <c r="I68" i="7"/>
  <c r="N68" i="7" s="1"/>
  <c r="H67" i="7"/>
  <c r="M67" i="7" s="1"/>
  <c r="I67" i="7"/>
  <c r="N67" i="7" s="1"/>
  <c r="E13" i="8"/>
  <c r="F12" i="8"/>
  <c r="J13" i="8"/>
  <c r="K13" i="8"/>
  <c r="I13" i="8"/>
  <c r="H13" i="8"/>
  <c r="F50" i="8"/>
  <c r="D14" i="8"/>
  <c r="D54" i="7"/>
  <c r="D118" i="1"/>
  <c r="D120" i="1" s="1"/>
  <c r="F118" i="1"/>
  <c r="F120" i="1" s="1"/>
  <c r="G118" i="1"/>
  <c r="H118" i="1"/>
  <c r="E118" i="1"/>
  <c r="I54" i="7" l="1"/>
  <c r="N54" i="7" s="1"/>
  <c r="F54" i="7"/>
  <c r="K54" i="7" s="1"/>
  <c r="H54" i="7"/>
  <c r="M54" i="7" s="1"/>
  <c r="G54" i="7"/>
  <c r="L54" i="7" s="1"/>
  <c r="K14" i="8"/>
  <c r="I14" i="8"/>
  <c r="H14" i="8"/>
  <c r="J14" i="8"/>
  <c r="E14" i="8"/>
  <c r="F13" i="8"/>
  <c r="F51" i="8"/>
  <c r="D15" i="8"/>
  <c r="E120" i="1"/>
  <c r="H120" i="1"/>
  <c r="G120" i="1"/>
  <c r="H55" i="7" l="1"/>
  <c r="F55" i="7"/>
  <c r="G55" i="7"/>
  <c r="I15" i="8"/>
  <c r="J15" i="8"/>
  <c r="H15" i="8"/>
  <c r="K15" i="8"/>
  <c r="E15" i="8"/>
  <c r="F14" i="8"/>
  <c r="F52" i="8"/>
  <c r="D16" i="8"/>
  <c r="F121" i="1"/>
  <c r="G121" i="1"/>
  <c r="H121" i="1"/>
  <c r="E121" i="1"/>
  <c r="D121" i="1"/>
  <c r="E124" i="1" s="1"/>
  <c r="I55" i="7" l="1"/>
  <c r="I16" i="8"/>
  <c r="J16" i="8"/>
  <c r="K16" i="8"/>
  <c r="H16" i="8"/>
  <c r="E16" i="8"/>
  <c r="F15" i="8"/>
  <c r="F53" i="8"/>
  <c r="D17" i="8"/>
  <c r="E127" i="1"/>
  <c r="H111" i="1" s="1"/>
  <c r="E125" i="1"/>
  <c r="E126" i="1"/>
  <c r="J17" i="8" l="1"/>
  <c r="K17" i="8"/>
  <c r="I17" i="8"/>
  <c r="H17" i="8"/>
  <c r="E17" i="8"/>
  <c r="F16" i="8"/>
  <c r="F54" i="8"/>
  <c r="D18" i="8"/>
  <c r="E111" i="1"/>
  <c r="E30" i="5" s="1"/>
  <c r="E33" i="5" s="1"/>
  <c r="E38" i="5" s="1"/>
  <c r="F111" i="1"/>
  <c r="F30" i="5" s="1"/>
  <c r="F33" i="5" s="1"/>
  <c r="F38" i="5" s="1"/>
  <c r="D111" i="1"/>
  <c r="D30" i="5" s="1"/>
  <c r="G111" i="1"/>
  <c r="H30" i="5"/>
  <c r="H33" i="5" s="1"/>
  <c r="H38" i="5" s="1"/>
  <c r="H115" i="1"/>
  <c r="D33" i="5" l="1"/>
  <c r="K18" i="8"/>
  <c r="I18" i="8"/>
  <c r="H18" i="8"/>
  <c r="J18" i="8"/>
  <c r="E18" i="8"/>
  <c r="F17" i="8"/>
  <c r="F55" i="8"/>
  <c r="D19" i="8"/>
  <c r="E115" i="1"/>
  <c r="F115" i="1"/>
  <c r="D115" i="1"/>
  <c r="G30" i="5"/>
  <c r="D55" i="7" s="1"/>
  <c r="N55" i="7" s="1"/>
  <c r="N58" i="7" s="1"/>
  <c r="G115" i="1"/>
  <c r="D38" i="5" l="1"/>
  <c r="Q3" i="8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5" i="7"/>
  <c r="K58" i="7" s="1"/>
  <c r="L55" i="7"/>
  <c r="L58" i="7" s="1"/>
  <c r="M55" i="7"/>
  <c r="M58" i="7" s="1"/>
  <c r="G33" i="5"/>
  <c r="G38" i="5" s="1"/>
  <c r="C43" i="5" s="1"/>
  <c r="D58" i="7" l="1"/>
  <c r="M9" i="8" s="1"/>
  <c r="D59" i="7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61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T62" i="8" s="1"/>
  <c r="J62" i="8"/>
  <c r="U62" i="8" s="1"/>
  <c r="D63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S74" i="8" s="1"/>
  <c r="I74" i="8"/>
  <c r="J74" i="8"/>
  <c r="U74" i="8" s="1"/>
  <c r="D75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U77" i="8" s="1"/>
  <c r="K77" i="8"/>
  <c r="V77" i="8" s="1"/>
  <c r="H77" i="8"/>
  <c r="S77" i="8" s="1"/>
  <c r="I77" i="8"/>
  <c r="T77" i="8" s="1"/>
  <c r="D78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V89" i="8" s="1"/>
  <c r="I89" i="8"/>
  <c r="T89" i="8" s="1"/>
  <c r="H89" i="8"/>
  <c r="S89" i="8" s="1"/>
  <c r="D90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K61" i="7" s="1"/>
  <c r="J92" i="8"/>
  <c r="U92" i="8" s="1"/>
  <c r="L61" i="7" s="1"/>
  <c r="K92" i="8"/>
  <c r="V92" i="8" s="1"/>
  <c r="M61" i="7" s="1"/>
  <c r="H92" i="8"/>
  <c r="S92" i="8" s="1"/>
  <c r="D93" i="8"/>
  <c r="C42" i="5" l="1"/>
  <c r="D61" i="7"/>
  <c r="J93" i="8"/>
  <c r="K93" i="8"/>
  <c r="H93" i="8"/>
  <c r="I93" i="8"/>
  <c r="D94" i="8"/>
  <c r="M62" i="7" l="1"/>
  <c r="N62" i="7"/>
  <c r="K94" i="8"/>
  <c r="H94" i="8"/>
  <c r="I94" i="8"/>
  <c r="J94" i="8"/>
  <c r="K62" i="7"/>
  <c r="L62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<sst xmlns="http://schemas.openxmlformats.org/spreadsheetml/2006/main" count="361" uniqueCount="132">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</sst>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6"/>
  <sheetViews>
    <sheetView showGridLines="0" tabSelected="1" workbookViewId="0">
      <pane xSplit="3" ySplit="4" topLeftCell="D5" activePane="bottomRight" state="frozen"/>
      <selection pane="topRight" activeCell="C1" sqref="C1"/>
      <selection pane="bottomLeft" activeCell="A3" sqref="A3"/>
      <selection pane="bottomRight" activeCell="D5" sqref="D5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59</v>
      </c>
      <c r="C1" s="70">
        <v>43101</v>
      </c>
    </row>
    <row r="2" spans="2:12" x14ac:dyDescent="0.25">
      <c r="B2" s="67" t="s">
        <v>73</v>
      </c>
      <c r="C2" s="71">
        <v>36</v>
      </c>
    </row>
    <row r="3" spans="2:12" x14ac:dyDescent="0.25">
      <c r="B3" s="67" t="s">
        <v>123</v>
      </c>
      <c r="C3" s="55" t="s">
        <v>124</v>
      </c>
    </row>
    <row r="4" spans="2:12" x14ac:dyDescent="0.25">
      <c r="B4" s="68"/>
      <c r="C4" s="72"/>
      <c r="D4" s="13" t="s">
        <v>106</v>
      </c>
      <c r="E4" s="13" t="s">
        <v>107</v>
      </c>
      <c r="F4" s="13" t="s">
        <v>108</v>
      </c>
      <c r="G4" s="13" t="s">
        <v>109</v>
      </c>
      <c r="H4" s="14" t="s">
        <v>110</v>
      </c>
    </row>
    <row r="5" spans="2:12" ht="18" customHeight="1" x14ac:dyDescent="0.25">
      <c r="B5" s="69" t="s">
        <v>5</v>
      </c>
      <c r="D5" s="55" t="s">
        <v>3</v>
      </c>
      <c r="E5" s="55" t="s">
        <v>29</v>
      </c>
      <c r="F5" s="55"/>
      <c r="G5" s="55"/>
      <c r="H5" s="56"/>
      <c r="L5" t="s">
        <v>3</v>
      </c>
    </row>
    <row r="6" spans="2:12" ht="18" customHeight="1" x14ac:dyDescent="0.25">
      <c r="B6" s="69" t="s">
        <v>81</v>
      </c>
      <c r="D6" s="55" t="s">
        <v>29</v>
      </c>
      <c r="E6" s="55" t="s">
        <v>29</v>
      </c>
      <c r="F6" s="55"/>
      <c r="G6" s="55"/>
      <c r="H6" s="56"/>
      <c r="L6" t="s">
        <v>29</v>
      </c>
    </row>
    <row r="7" spans="2:12" ht="18" customHeight="1" x14ac:dyDescent="0.25">
      <c r="B7" s="69" t="s">
        <v>6</v>
      </c>
      <c r="D7" s="55" t="s">
        <v>3</v>
      </c>
      <c r="E7" s="55" t="s">
        <v>29</v>
      </c>
      <c r="F7" s="55"/>
      <c r="G7" s="55"/>
      <c r="H7" s="56"/>
    </row>
    <row r="8" spans="2:12" ht="18" customHeight="1" x14ac:dyDescent="0.25">
      <c r="B8" s="69" t="s">
        <v>4</v>
      </c>
      <c r="D8" s="55">
        <v>250000</v>
      </c>
      <c r="E8" s="55">
        <v>250000</v>
      </c>
      <c r="F8" s="55"/>
      <c r="G8" s="55"/>
      <c r="H8" s="56"/>
      <c r="L8" t="s">
        <v>124</v>
      </c>
    </row>
    <row r="9" spans="2:12" ht="18" customHeight="1" x14ac:dyDescent="0.25">
      <c r="B9" s="69" t="s">
        <v>111</v>
      </c>
      <c r="D9" s="55">
        <v>1</v>
      </c>
      <c r="E9" s="55">
        <v>3</v>
      </c>
      <c r="F9" s="55"/>
      <c r="G9" s="55"/>
      <c r="H9" s="56"/>
      <c r="L9" t="s">
        <v>125</v>
      </c>
    </row>
    <row r="10" spans="2:12" ht="18" customHeight="1" x14ac:dyDescent="0.25">
      <c r="B10" s="69" t="s">
        <v>98</v>
      </c>
      <c r="D10" s="55" t="s">
        <v>29</v>
      </c>
      <c r="E10" s="55" t="s">
        <v>29</v>
      </c>
      <c r="F10" s="55"/>
      <c r="G10" s="55"/>
      <c r="H10" s="56"/>
    </row>
    <row r="11" spans="2:12" ht="18" customHeight="1" x14ac:dyDescent="0.25">
      <c r="B11" s="69" t="s">
        <v>7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25">
      <c r="B13" s="69" t="s">
        <v>22</v>
      </c>
      <c r="D13" s="55" t="s">
        <v>29</v>
      </c>
      <c r="E13" s="55" t="s">
        <v>29</v>
      </c>
      <c r="F13" s="55"/>
      <c r="G13" s="55"/>
      <c r="H13" s="56"/>
    </row>
    <row r="14" spans="2:12" ht="18" customHeight="1" x14ac:dyDescent="0.25">
      <c r="B14" s="69" t="s">
        <v>9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10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25">
      <c r="B16" s="69" t="s">
        <v>78</v>
      </c>
      <c r="D16" s="55" t="s">
        <v>29</v>
      </c>
      <c r="E16" s="55" t="s">
        <v>29</v>
      </c>
      <c r="F16" s="55"/>
      <c r="G16" s="55"/>
      <c r="H16" s="56"/>
    </row>
    <row r="17" spans="2:8" ht="18" customHeight="1" x14ac:dyDescent="0.25">
      <c r="B17" s="69" t="s">
        <v>11</v>
      </c>
      <c r="D17" s="55" t="s">
        <v>29</v>
      </c>
      <c r="E17" s="55" t="s">
        <v>3</v>
      </c>
      <c r="F17" s="55"/>
      <c r="G17" s="55"/>
      <c r="H17" s="56"/>
    </row>
    <row r="18" spans="2:8" ht="18" customHeight="1" x14ac:dyDescent="0.25">
      <c r="B18" s="69" t="s">
        <v>12</v>
      </c>
      <c r="D18" s="55" t="s">
        <v>29</v>
      </c>
      <c r="E18" s="55" t="s">
        <v>29</v>
      </c>
      <c r="F18" s="55"/>
      <c r="G18" s="55"/>
      <c r="H18" s="56"/>
    </row>
    <row r="19" spans="2:8" ht="18" customHeight="1" x14ac:dyDescent="0.25">
      <c r="B19" s="69" t="s">
        <v>13</v>
      </c>
      <c r="D19" s="55" t="s">
        <v>29</v>
      </c>
      <c r="E19" s="55" t="s">
        <v>29</v>
      </c>
      <c r="F19" s="55"/>
      <c r="G19" s="55"/>
      <c r="H19" s="56"/>
    </row>
    <row r="20" spans="2:8" ht="18" customHeight="1" x14ac:dyDescent="0.25">
      <c r="B20" s="69" t="s">
        <v>14</v>
      </c>
      <c r="D20" s="55" t="s">
        <v>29</v>
      </c>
      <c r="E20" s="55" t="s">
        <v>29</v>
      </c>
      <c r="F20" s="55"/>
      <c r="G20" s="55"/>
      <c r="H20" s="56"/>
    </row>
    <row r="21" spans="2:8" ht="18" customHeight="1" x14ac:dyDescent="0.25">
      <c r="B21" s="69" t="s">
        <v>15</v>
      </c>
      <c r="D21" s="55" t="s">
        <v>29</v>
      </c>
      <c r="E21" s="55" t="s">
        <v>29</v>
      </c>
      <c r="F21" s="55"/>
      <c r="G21" s="55"/>
      <c r="H21" s="56"/>
    </row>
    <row r="22" spans="2:8" ht="18" customHeight="1" x14ac:dyDescent="0.25">
      <c r="B22" s="69" t="s">
        <v>16</v>
      </c>
      <c r="D22" s="55" t="s">
        <v>3</v>
      </c>
      <c r="E22" s="55" t="s">
        <v>3</v>
      </c>
      <c r="F22" s="55"/>
      <c r="G22" s="55"/>
      <c r="H22" s="56"/>
    </row>
    <row r="23" spans="2:8" ht="18" customHeight="1" x14ac:dyDescent="0.25">
      <c r="B23" s="69" t="s">
        <v>130</v>
      </c>
      <c r="D23" s="55" t="s">
        <v>29</v>
      </c>
      <c r="E23" s="55" t="s">
        <v>3</v>
      </c>
      <c r="F23" s="55"/>
      <c r="G23" s="55"/>
      <c r="H23" s="56"/>
    </row>
    <row r="24" spans="2:8" ht="18" customHeight="1" x14ac:dyDescent="0.25">
      <c r="B24" s="69" t="s">
        <v>17</v>
      </c>
      <c r="D24" s="55" t="s">
        <v>29</v>
      </c>
      <c r="E24" s="55" t="s">
        <v>29</v>
      </c>
      <c r="F24" s="55"/>
      <c r="G24" s="55"/>
      <c r="H24" s="56"/>
    </row>
    <row r="25" spans="2:8" ht="18" customHeight="1" x14ac:dyDescent="0.25">
      <c r="B25" s="69" t="s">
        <v>100</v>
      </c>
      <c r="D25" s="55" t="s">
        <v>29</v>
      </c>
      <c r="E25" s="55" t="s">
        <v>29</v>
      </c>
      <c r="F25" s="55"/>
      <c r="G25" s="55"/>
      <c r="H25" s="56"/>
    </row>
    <row r="26" spans="2:8" ht="18" customHeight="1" x14ac:dyDescent="0.25">
      <c r="B26" s="92" t="s">
        <v>99</v>
      </c>
      <c r="C26" s="93"/>
      <c r="D26" s="94" t="s">
        <v>29</v>
      </c>
      <c r="E26" s="94" t="s">
        <v>29</v>
      </c>
      <c r="F26" s="94"/>
      <c r="G26" s="94"/>
      <c r="H26" s="95"/>
    </row>
  </sheetData>
  <dataValidations count="3">
    <dataValidation type="list" allowBlank="1" showInputMessage="1" showErrorMessage="1" sqref="D10:H24 D5:H7 D25:D26">
      <formula1>$L$5:$L$6</formula1>
    </dataValidation>
    <dataValidation type="whole" operator="greaterThan" allowBlank="1" showInputMessage="1" showErrorMessage="1" sqref="D8:H9">
      <formula1>0</formula1>
    </dataValidation>
    <dataValidation type="list" allowBlank="1" showInputMessage="1" showErrorMessage="1" sqref="C3">
      <formula1>$L$8:$L$9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69400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Calcs!D74)</f>
        <v>42000</v>
      </c>
      <c r="E21" s="1">
        <f>SUM(Calcs!E64, Calcs!E74)</f>
        <v>80220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130</v>
      </c>
      <c r="D22" s="1">
        <f>SUM(Calcs!D65, Calcs!D75)</f>
        <v>0</v>
      </c>
      <c r="E22" s="1">
        <f>SUM(Calcs!E65, Calcs!E75)</f>
        <v>80220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25">
      <c r="B28" s="6" t="s">
        <v>38</v>
      </c>
    </row>
    <row r="29" spans="2:21" x14ac:dyDescent="0.25">
      <c r="C29" t="s">
        <v>39</v>
      </c>
      <c r="D29" s="1">
        <f>SUM(Calcs!D102:D106)</f>
        <v>0</v>
      </c>
      <c r="E29" s="1">
        <f>SUM(Calcs!E102:E106)</f>
        <v>-24066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25">
      <c r="C30" t="s">
        <v>116</v>
      </c>
      <c r="D30" s="1">
        <f>Calcs!D111</f>
        <v>-27000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2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25">
      <c r="B33" s="6" t="s">
        <v>40</v>
      </c>
      <c r="D33" s="7">
        <f>SUM(D7:D16, D19:D26, D29:D31)</f>
        <v>33000</v>
      </c>
      <c r="E33" s="7">
        <f>SUM(E7:E16, E19:E26, E29:E30)</f>
        <v>205774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2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2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25">
      <c r="C36" s="64">
        <f>INDEX(Outputs_Timeline!$D$3:$D$94,MATCH(Inputs!$C$1,Outputs_Timeline!$B$3:$B$94,0),1)</f>
        <v>1</v>
      </c>
    </row>
    <row r="38" spans="2:21" x14ac:dyDescent="0.25">
      <c r="B38" s="6" t="s">
        <v>74</v>
      </c>
      <c r="D38" s="7">
        <f>(D33/12*Inputs!$C$2+D4)*$C$36</f>
        <v>109000</v>
      </c>
      <c r="E38" s="7">
        <f>(E33/12*Inputs!$C$2+E4)*$C$36</f>
        <v>677322</v>
      </c>
      <c r="F38" s="7">
        <f>(F33/12*Inputs!$C$2+F4)*$C$36</f>
        <v>0</v>
      </c>
      <c r="G38" s="7">
        <f>(G33/12*Inputs!$C$2+G4)*$C$36</f>
        <v>0</v>
      </c>
      <c r="H38" s="7">
        <f>(H33/12*Inputs!$C$2+H4)*$C$36</f>
        <v>0</v>
      </c>
      <c r="I38" s="7"/>
      <c r="J38" s="7"/>
      <c r="K38" s="7"/>
      <c r="M38" s="1"/>
      <c r="S38" s="1"/>
      <c r="T38" s="1"/>
      <c r="U38" s="1"/>
    </row>
    <row r="40" spans="2:21" x14ac:dyDescent="0.25">
      <c r="D40" s="7"/>
      <c r="E40" s="7"/>
      <c r="F40" s="7"/>
      <c r="G40" s="7"/>
      <c r="H40" s="7"/>
      <c r="I40" s="7"/>
      <c r="J40" s="7"/>
      <c r="K40" s="7"/>
      <c r="L40" s="7"/>
      <c r="M40" s="1"/>
      <c r="S40" s="8"/>
      <c r="T40" s="8"/>
      <c r="U40" s="8"/>
    </row>
    <row r="41" spans="2:21" x14ac:dyDescent="0.25">
      <c r="B41" s="6" t="s">
        <v>71</v>
      </c>
    </row>
    <row r="42" spans="2:21" x14ac:dyDescent="0.25">
      <c r="C42" s="7">
        <f>SUM(Outputs_Timeline!S:S)</f>
        <v>786322</v>
      </c>
    </row>
    <row r="43" spans="2:21" x14ac:dyDescent="0.25">
      <c r="C43" s="52">
        <f>SUM(D38:H38)</f>
        <v>786322</v>
      </c>
      <c r="D43" s="1"/>
      <c r="G43" s="1"/>
    </row>
    <row r="44" spans="2:21" x14ac:dyDescent="0.25">
      <c r="D44" s="1"/>
      <c r="E44" s="1"/>
      <c r="F44" s="1"/>
    </row>
    <row r="45" spans="2:21" x14ac:dyDescent="0.25">
      <c r="D45" s="2"/>
      <c r="E45" s="1"/>
      <c r="F45" s="1"/>
    </row>
    <row r="46" spans="2:21" x14ac:dyDescent="0.25"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58</v>
      </c>
      <c r="G1" s="50"/>
      <c r="H1" s="50"/>
      <c r="I1" s="50"/>
    </row>
    <row r="2" spans="2:14" x14ac:dyDescent="0.2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4" x14ac:dyDescent="0.25">
      <c r="B3" s="6" t="s">
        <v>0</v>
      </c>
    </row>
    <row r="4" spans="2:14" x14ac:dyDescent="0.25">
      <c r="C4" t="s">
        <v>76</v>
      </c>
      <c r="D4" s="1">
        <f>SUMIF(Inputs!$D$5:$H$5,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77</v>
      </c>
      <c r="D5" s="1">
        <f>SUMIF(Inputs!$D$5:$H$5,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54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51000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20400</v>
      </c>
      <c r="L8" s="16">
        <f>G8*$D8</f>
        <v>30600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21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22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78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24000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2400</v>
      </c>
      <c r="L15" s="20">
        <f t="shared" si="4"/>
        <v>21600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12000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1200</v>
      </c>
      <c r="L16" s="20">
        <f t="shared" si="4"/>
        <v>10800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23</v>
      </c>
      <c r="D17" s="20">
        <f>SUM(Calcs!D23:H23)</f>
        <v>6000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600</v>
      </c>
      <c r="L17" s="20">
        <f>G17*$D17</f>
        <v>5400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129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55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36400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10920.000000000002</v>
      </c>
      <c r="L22" s="16">
        <f t="shared" ref="L22:L31" si="8">G22*$D22</f>
        <v>25480</v>
      </c>
      <c r="M22" s="16">
        <f>H22*$D22</f>
        <v>0</v>
      </c>
      <c r="N22" s="16">
        <f>I22*$D22</f>
        <v>0</v>
      </c>
    </row>
    <row r="23" spans="2:14" x14ac:dyDescent="0.25">
      <c r="C23" s="17" t="s">
        <v>21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22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78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22750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22750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9100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9100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23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47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SUM(Calcs!D82:H82)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1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SUM(Calcs!D83:H83)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SUM(Calcs!D84:H84)</f>
        <v>42000</v>
      </c>
      <c r="F36" s="33">
        <v>0.1</v>
      </c>
      <c r="G36" s="33">
        <v>0.9</v>
      </c>
      <c r="H36" s="37">
        <f t="shared" ref="H36:H41" si="13">1-SUM(F36:G36)</f>
        <v>0</v>
      </c>
      <c r="I36" s="37">
        <v>0</v>
      </c>
      <c r="K36" s="20">
        <f t="shared" si="12"/>
        <v>4200</v>
      </c>
      <c r="L36" s="20">
        <f t="shared" si="12"/>
        <v>37800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130</v>
      </c>
      <c r="D37" s="20">
        <f>SUM(Calcs!D85:H85)</f>
        <v>42000</v>
      </c>
      <c r="F37" s="33">
        <v>0.1</v>
      </c>
      <c r="G37" s="33">
        <v>0.9</v>
      </c>
      <c r="H37" s="37">
        <v>0</v>
      </c>
      <c r="I37" s="37">
        <v>0</v>
      </c>
      <c r="K37" s="20">
        <f t="shared" ref="K37" si="14">F37*$D37</f>
        <v>4200</v>
      </c>
      <c r="L37" s="20">
        <f t="shared" ref="L37" si="15">G37*$D37</f>
        <v>37800</v>
      </c>
      <c r="M37" s="20">
        <f t="shared" ref="M37" si="16">H37*$D37</f>
        <v>0</v>
      </c>
      <c r="N37" s="20">
        <f t="shared" ref="N37" si="17">I37*$D37</f>
        <v>0</v>
      </c>
    </row>
    <row r="38" spans="2:14" x14ac:dyDescent="0.25">
      <c r="C38" s="19" t="s">
        <v>17</v>
      </c>
      <c r="D38" s="20">
        <f>SUM(Calcs!D86:H86)</f>
        <v>0</v>
      </c>
      <c r="F38" s="33">
        <v>0.1</v>
      </c>
      <c r="G38" s="33">
        <v>0.9</v>
      </c>
      <c r="H38" s="37">
        <f t="shared" ref="H38" si="18">1-SUM(F38:G38)</f>
        <v>0</v>
      </c>
      <c r="I38" s="37">
        <v>0</v>
      </c>
      <c r="K38" s="20">
        <f t="shared" ref="K38" si="19">F38*$D38</f>
        <v>0</v>
      </c>
      <c r="L38" s="20">
        <f t="shared" ref="L38" si="20">G38*$D38</f>
        <v>0</v>
      </c>
      <c r="M38" s="20">
        <f t="shared" ref="M38" si="21">H38*$D38</f>
        <v>0</v>
      </c>
      <c r="N38" s="20">
        <f t="shared" ref="N38" si="22">I38*$D38</f>
        <v>0</v>
      </c>
    </row>
    <row r="39" spans="2:14" x14ac:dyDescent="0.25">
      <c r="C39" s="19" t="s">
        <v>100</v>
      </c>
      <c r="D39" s="20">
        <f>SUM(Calcs!D87:H87)</f>
        <v>0</v>
      </c>
      <c r="F39" s="33">
        <v>0.1</v>
      </c>
      <c r="G39" s="33">
        <v>0.9</v>
      </c>
      <c r="H39" s="37">
        <f t="shared" ref="H39:H40" si="23">1-SUM(F39:G39)</f>
        <v>0</v>
      </c>
      <c r="I39" s="37">
        <v>0</v>
      </c>
      <c r="K39" s="20">
        <f t="shared" ref="K39:K40" si="24">F39*$D39</f>
        <v>0</v>
      </c>
      <c r="L39" s="20">
        <f t="shared" ref="L39:L40" si="25">G39*$D39</f>
        <v>0</v>
      </c>
      <c r="M39" s="20">
        <f t="shared" ref="M39:M40" si="26">H39*$D39</f>
        <v>0</v>
      </c>
      <c r="N39" s="20">
        <f t="shared" ref="N39:N40" si="27">I39*$D39</f>
        <v>0</v>
      </c>
    </row>
    <row r="40" spans="2:14" x14ac:dyDescent="0.25">
      <c r="C40" s="19" t="s">
        <v>99</v>
      </c>
      <c r="D40" s="20">
        <f>SUM(Calcs!D88:H88)</f>
        <v>0</v>
      </c>
      <c r="F40" s="33">
        <v>0.1</v>
      </c>
      <c r="G40" s="33">
        <v>0.9</v>
      </c>
      <c r="H40" s="37">
        <f t="shared" si="23"/>
        <v>0</v>
      </c>
      <c r="I40" s="37">
        <v>0</v>
      </c>
      <c r="K40" s="20">
        <f t="shared" si="24"/>
        <v>0</v>
      </c>
      <c r="L40" s="20">
        <f t="shared" si="25"/>
        <v>0</v>
      </c>
      <c r="M40" s="20">
        <f t="shared" si="26"/>
        <v>0</v>
      </c>
      <c r="N40" s="20">
        <f t="shared" si="27"/>
        <v>0</v>
      </c>
    </row>
    <row r="41" spans="2:14" x14ac:dyDescent="0.25">
      <c r="C41" s="81" t="s">
        <v>98</v>
      </c>
      <c r="D41" s="84">
        <f>SUM(Calcs!D89:H89)</f>
        <v>0</v>
      </c>
      <c r="F41" s="85">
        <v>0.2</v>
      </c>
      <c r="G41" s="85">
        <v>0.8</v>
      </c>
      <c r="H41" s="86">
        <f t="shared" si="13"/>
        <v>0</v>
      </c>
      <c r="I41" s="86">
        <v>0</v>
      </c>
      <c r="K41" s="84">
        <f t="shared" si="12"/>
        <v>0</v>
      </c>
      <c r="L41" s="84">
        <f t="shared" si="12"/>
        <v>0</v>
      </c>
      <c r="M41" s="84">
        <f t="shared" si="12"/>
        <v>0</v>
      </c>
      <c r="N41" s="84">
        <f t="shared" si="12"/>
        <v>0</v>
      </c>
    </row>
    <row r="42" spans="2:14" x14ac:dyDescent="0.25">
      <c r="K42" s="9"/>
      <c r="L42" s="9"/>
      <c r="M42" s="9"/>
    </row>
    <row r="43" spans="2:14" x14ac:dyDescent="0.25">
      <c r="B43" s="6" t="s">
        <v>56</v>
      </c>
      <c r="F43" s="11"/>
      <c r="G43" s="11"/>
      <c r="H43" s="11"/>
      <c r="I43" s="11"/>
      <c r="K43" s="9"/>
      <c r="L43" s="9"/>
      <c r="M43" s="9"/>
    </row>
    <row r="44" spans="2:14" x14ac:dyDescent="0.25">
      <c r="C44" s="28" t="s">
        <v>14</v>
      </c>
      <c r="D44" s="29">
        <f>SUM(Calcs!D92:H92)</f>
        <v>0</v>
      </c>
      <c r="F44" s="49">
        <f t="shared" ref="F44:F50" si="28">IFERROR((1-G44)*F34/SUM(F34,H34),0)</f>
        <v>0.8</v>
      </c>
      <c r="G44" s="49">
        <f t="shared" ref="G44:G50" si="29">MIN(1,G34+$H$19)</f>
        <v>0.2</v>
      </c>
      <c r="H44" s="49">
        <f t="shared" ref="H44:H50" si="30">IFERROR((1-G44)*H34/SUM(F34,H34),0)</f>
        <v>0</v>
      </c>
      <c r="I44" s="49">
        <v>0</v>
      </c>
      <c r="K44" s="29">
        <f>F44*$D44</f>
        <v>0</v>
      </c>
      <c r="L44" s="29">
        <f t="shared" ref="L44:L48" si="31">G44*$D44</f>
        <v>0</v>
      </c>
      <c r="M44" s="29">
        <f>H44*$D44</f>
        <v>0</v>
      </c>
      <c r="N44" s="29">
        <f>I44*$D44</f>
        <v>0</v>
      </c>
    </row>
    <row r="45" spans="2:14" x14ac:dyDescent="0.25">
      <c r="C45" s="17" t="s">
        <v>15</v>
      </c>
      <c r="D45" s="18">
        <f>SUM(Calcs!D93:H93)</f>
        <v>0</v>
      </c>
      <c r="F45" s="30">
        <f t="shared" si="28"/>
        <v>0.8</v>
      </c>
      <c r="G45" s="30">
        <f t="shared" si="29"/>
        <v>0.2</v>
      </c>
      <c r="H45" s="30">
        <f t="shared" si="30"/>
        <v>0</v>
      </c>
      <c r="I45" s="30">
        <v>0</v>
      </c>
      <c r="K45" s="18">
        <f>F45*$D45</f>
        <v>0</v>
      </c>
      <c r="L45" s="18">
        <f t="shared" si="31"/>
        <v>0</v>
      </c>
      <c r="M45" s="18">
        <f t="shared" ref="M45:N48" si="32">H45*$D45</f>
        <v>0</v>
      </c>
      <c r="N45" s="18">
        <f t="shared" si="32"/>
        <v>0</v>
      </c>
    </row>
    <row r="46" spans="2:14" x14ac:dyDescent="0.25">
      <c r="C46" s="19" t="s">
        <v>16</v>
      </c>
      <c r="D46" s="20">
        <f>SUM(Calcs!D94:H94)</f>
        <v>6370</v>
      </c>
      <c r="F46" s="31">
        <f t="shared" si="28"/>
        <v>0</v>
      </c>
      <c r="G46" s="31">
        <f t="shared" si="29"/>
        <v>1</v>
      </c>
      <c r="H46" s="31">
        <f t="shared" si="30"/>
        <v>0</v>
      </c>
      <c r="I46" s="31">
        <v>0</v>
      </c>
      <c r="K46" s="20">
        <f t="shared" ref="K46:K48" si="33">F46*$D46</f>
        <v>0</v>
      </c>
      <c r="L46" s="20">
        <f t="shared" si="31"/>
        <v>6370</v>
      </c>
      <c r="M46" s="20">
        <f t="shared" si="32"/>
        <v>0</v>
      </c>
      <c r="N46" s="20">
        <f t="shared" si="32"/>
        <v>0</v>
      </c>
    </row>
    <row r="47" spans="2:14" x14ac:dyDescent="0.25">
      <c r="C47" s="19" t="s">
        <v>130</v>
      </c>
      <c r="D47" s="20">
        <f>SUM(Calcs!D95:H95)</f>
        <v>38220</v>
      </c>
      <c r="F47" s="31">
        <f t="shared" si="28"/>
        <v>0</v>
      </c>
      <c r="G47" s="31">
        <f t="shared" si="29"/>
        <v>1</v>
      </c>
      <c r="H47" s="31">
        <f t="shared" si="30"/>
        <v>0</v>
      </c>
      <c r="I47" s="31">
        <v>0</v>
      </c>
      <c r="K47" s="20">
        <f t="shared" ref="K47" si="34">F47*$D47</f>
        <v>0</v>
      </c>
      <c r="L47" s="20">
        <f t="shared" ref="L47" si="35">G47*$D47</f>
        <v>38220</v>
      </c>
      <c r="M47" s="20">
        <f t="shared" ref="M47" si="36">H47*$D47</f>
        <v>0</v>
      </c>
      <c r="N47" s="20">
        <f t="shared" ref="N47" si="37">I47*$D47</f>
        <v>0</v>
      </c>
    </row>
    <row r="48" spans="2:14" x14ac:dyDescent="0.25">
      <c r="C48" s="19" t="s">
        <v>17</v>
      </c>
      <c r="D48" s="20">
        <f>SUM(Calcs!D96:H96)</f>
        <v>0</v>
      </c>
      <c r="F48" s="31">
        <f t="shared" si="28"/>
        <v>0</v>
      </c>
      <c r="G48" s="31">
        <f t="shared" si="29"/>
        <v>1</v>
      </c>
      <c r="H48" s="31">
        <f t="shared" si="30"/>
        <v>0</v>
      </c>
      <c r="I48" s="31">
        <v>0</v>
      </c>
      <c r="K48" s="20">
        <f t="shared" si="33"/>
        <v>0</v>
      </c>
      <c r="L48" s="20">
        <f t="shared" si="31"/>
        <v>0</v>
      </c>
      <c r="M48" s="20">
        <f t="shared" si="32"/>
        <v>0</v>
      </c>
      <c r="N48" s="20">
        <f t="shared" si="32"/>
        <v>0</v>
      </c>
    </row>
    <row r="49" spans="2:14" x14ac:dyDescent="0.25">
      <c r="C49" s="19" t="s">
        <v>100</v>
      </c>
      <c r="D49" s="20">
        <f>SUM(Calcs!D97:H97)</f>
        <v>0</v>
      </c>
      <c r="F49" s="31">
        <f t="shared" si="28"/>
        <v>0</v>
      </c>
      <c r="G49" s="31">
        <f t="shared" si="29"/>
        <v>1</v>
      </c>
      <c r="H49" s="31">
        <f t="shared" si="30"/>
        <v>0</v>
      </c>
      <c r="I49" s="31">
        <v>0</v>
      </c>
      <c r="K49" s="20">
        <f t="shared" ref="K49:K50" si="38">F49*$D49</f>
        <v>0</v>
      </c>
      <c r="L49" s="20">
        <f t="shared" ref="L49:L50" si="39">G49*$D49</f>
        <v>0</v>
      </c>
      <c r="M49" s="20">
        <f t="shared" ref="M49:M50" si="40">H49*$D49</f>
        <v>0</v>
      </c>
      <c r="N49" s="20">
        <f t="shared" ref="N49:N50" si="41">I49*$D49</f>
        <v>0</v>
      </c>
    </row>
    <row r="50" spans="2:14" x14ac:dyDescent="0.25">
      <c r="C50" s="19" t="s">
        <v>99</v>
      </c>
      <c r="D50" s="20">
        <f>SUM(Calcs!D98:H98)</f>
        <v>0</v>
      </c>
      <c r="F50" s="31">
        <f t="shared" si="28"/>
        <v>0</v>
      </c>
      <c r="G50" s="31">
        <f t="shared" si="29"/>
        <v>1</v>
      </c>
      <c r="H50" s="31">
        <f t="shared" si="30"/>
        <v>0</v>
      </c>
      <c r="I50" s="31">
        <v>0</v>
      </c>
      <c r="K50" s="20">
        <f t="shared" si="38"/>
        <v>0</v>
      </c>
      <c r="L50" s="20">
        <f t="shared" si="39"/>
        <v>0</v>
      </c>
      <c r="M50" s="20">
        <f t="shared" si="40"/>
        <v>0</v>
      </c>
      <c r="N50" s="20">
        <f t="shared" si="41"/>
        <v>0</v>
      </c>
    </row>
    <row r="51" spans="2:14" x14ac:dyDescent="0.25">
      <c r="C51" s="81" t="s">
        <v>98</v>
      </c>
      <c r="D51" s="84">
        <f>SUM(Calcs!D99:H99)</f>
        <v>0</v>
      </c>
      <c r="F51" s="87">
        <f t="shared" ref="F51" si="42">IFERROR((1-G51)*F41/SUM(F41,H41),0)</f>
        <v>9.9999999999999978E-2</v>
      </c>
      <c r="G51" s="87">
        <f t="shared" ref="G51" si="43">MIN(1,G41+$H$19)</f>
        <v>0.9</v>
      </c>
      <c r="H51" s="87">
        <f t="shared" ref="H51" si="44">IFERROR((1-G51)*H41/SUM(F41,H41),0)</f>
        <v>0</v>
      </c>
      <c r="I51" s="87">
        <v>0</v>
      </c>
      <c r="K51" s="84">
        <f t="shared" ref="K51" si="45">F51*$D51</f>
        <v>0</v>
      </c>
      <c r="L51" s="84">
        <f t="shared" ref="L51" si="46">G51*$D51</f>
        <v>0</v>
      </c>
      <c r="M51" s="84">
        <f t="shared" ref="M51" si="47">H51*$D51</f>
        <v>0</v>
      </c>
      <c r="N51" s="84">
        <f t="shared" ref="N51" si="48">I51*$D51</f>
        <v>0</v>
      </c>
    </row>
    <row r="52" spans="2:14" x14ac:dyDescent="0.25">
      <c r="K52" s="9"/>
      <c r="L52" s="9"/>
      <c r="M52" s="9"/>
    </row>
    <row r="53" spans="2:14" x14ac:dyDescent="0.25">
      <c r="B53" s="6" t="s">
        <v>38</v>
      </c>
      <c r="K53" s="9"/>
      <c r="L53" s="9"/>
      <c r="M53" s="9"/>
    </row>
    <row r="54" spans="2:14" x14ac:dyDescent="0.25">
      <c r="C54" t="s">
        <v>39</v>
      </c>
      <c r="D54" s="1">
        <f>SUM(Outputs_External!D29:'Outputs_External'!H29)</f>
        <v>-24066</v>
      </c>
      <c r="F54" s="8">
        <f>IFERROR(SUM(K66:K72)/SUM($K$66:$N$72), 0)</f>
        <v>6.8728522336769765E-2</v>
      </c>
      <c r="G54" s="8">
        <f t="shared" ref="G54:I54" si="49">IFERROR(SUM(L66:L72)/SUM($K$66:$N$72), 0)</f>
        <v>0.93127147766323026</v>
      </c>
      <c r="H54" s="8">
        <f t="shared" si="49"/>
        <v>0</v>
      </c>
      <c r="I54" s="8">
        <f t="shared" si="49"/>
        <v>0</v>
      </c>
      <c r="K54" s="12">
        <f>F54*$D$54</f>
        <v>-1654.0206185567013</v>
      </c>
      <c r="L54" s="12">
        <f>G54*$D$54</f>
        <v>-22411.9793814433</v>
      </c>
      <c r="M54" s="12">
        <f>H54*$D$54</f>
        <v>0</v>
      </c>
      <c r="N54" s="12">
        <f>I54*$D$54</f>
        <v>0</v>
      </c>
    </row>
    <row r="55" spans="2:14" x14ac:dyDescent="0.25">
      <c r="C55" t="s">
        <v>116</v>
      </c>
      <c r="D55" s="1">
        <f>SUM(Outputs_External!D30:'Outputs_External'!H30)</f>
        <v>-27000</v>
      </c>
      <c r="F55" s="3">
        <f>IFERROR(SUM(K8:K54)/SUM($K8:$N54), 0)</f>
        <v>0.15902977485172853</v>
      </c>
      <c r="G55" s="3">
        <f>IFERROR(SUM(L8:L54)/SUM($K8:$N54), 0)</f>
        <v>0.84097022514827147</v>
      </c>
      <c r="H55" s="3">
        <f>IFERROR(SUM(M8:M54)/SUM($K8:$N54), 0)</f>
        <v>0</v>
      </c>
      <c r="I55" s="3">
        <f>1-F55-G55-H55</f>
        <v>0</v>
      </c>
      <c r="K55" s="12">
        <f>F55*$D$55</f>
        <v>-4293.8039209966701</v>
      </c>
      <c r="L55" s="12">
        <f>G55*$D$55</f>
        <v>-22706.19607900333</v>
      </c>
      <c r="M55" s="12">
        <f>H55*$D$55</f>
        <v>0</v>
      </c>
      <c r="N55" s="12">
        <f>I55*$D$55</f>
        <v>0</v>
      </c>
    </row>
    <row r="56" spans="2:14" x14ac:dyDescent="0.25">
      <c r="C56" t="s">
        <v>83</v>
      </c>
      <c r="D56" s="1">
        <f>Outputs_External!D31</f>
        <v>0</v>
      </c>
      <c r="F56" s="3">
        <v>0.58085106382978724</v>
      </c>
      <c r="G56" s="3">
        <f>1-F56</f>
        <v>0.41914893617021276</v>
      </c>
      <c r="H56" s="3">
        <v>0</v>
      </c>
      <c r="I56" s="3">
        <v>0</v>
      </c>
      <c r="K56" s="12">
        <f>$D$56*F56</f>
        <v>0</v>
      </c>
      <c r="L56" s="12">
        <f t="shared" ref="L56:N56" si="50">$D$56*G56</f>
        <v>0</v>
      </c>
      <c r="M56" s="12">
        <f t="shared" si="50"/>
        <v>0</v>
      </c>
      <c r="N56" s="12">
        <f t="shared" si="50"/>
        <v>0</v>
      </c>
    </row>
    <row r="57" spans="2:14" x14ac:dyDescent="0.25">
      <c r="K57" s="9"/>
      <c r="L57" s="9"/>
      <c r="M57" s="9"/>
    </row>
    <row r="58" spans="2:14" x14ac:dyDescent="0.25">
      <c r="B58" s="6" t="s">
        <v>40</v>
      </c>
      <c r="D58" s="1">
        <f>SUM(Outputs_External!D33:'Outputs_External'!H33)</f>
        <v>238774</v>
      </c>
      <c r="K58" s="12">
        <f>SUM(K54:K56, K34:K41, K8:K17,K22:K31,K44:K51)</f>
        <v>37972.175460446633</v>
      </c>
      <c r="L58" s="12">
        <f>SUM(L54:L56, L34:L41, L8:L17,L22:L31,L44:L51)</f>
        <v>200801.82453955337</v>
      </c>
      <c r="M58" s="12">
        <f>SUM(M54:M56, M34:M41, M8:M17,M22:M31,M44:M51)</f>
        <v>0</v>
      </c>
      <c r="N58" s="12">
        <f>SUM(N54:N56, N34:N41, N8:N17,N22:N31,N44:N51)</f>
        <v>0</v>
      </c>
    </row>
    <row r="59" spans="2:14" x14ac:dyDescent="0.25">
      <c r="C59" s="21" t="s">
        <v>57</v>
      </c>
      <c r="D59" s="23">
        <f>SUM(K58:N58)</f>
        <v>238774</v>
      </c>
      <c r="K59" s="12"/>
      <c r="L59" s="12"/>
      <c r="M59" s="12"/>
    </row>
    <row r="60" spans="2:14" x14ac:dyDescent="0.25">
      <c r="K60" s="9"/>
      <c r="L60" s="9"/>
      <c r="M60" s="9"/>
    </row>
    <row r="61" spans="2:14" x14ac:dyDescent="0.25">
      <c r="B61" s="6" t="s">
        <v>71</v>
      </c>
      <c r="D61" s="1">
        <f>SUM(Outputs_Timeline!S:S)</f>
        <v>786322</v>
      </c>
      <c r="K61" s="12">
        <f>SUM(Outputs_Timeline!T:T)</f>
        <v>124916.52638133988</v>
      </c>
      <c r="L61" s="12">
        <f>SUM(Outputs_Timeline!U:U)</f>
        <v>661405.47361866012</v>
      </c>
      <c r="M61" s="12">
        <f>SUM(Outputs_Timeline!V:V)</f>
        <v>0</v>
      </c>
      <c r="N61" s="12">
        <f>SUM(Outputs_Timeline!W:W)</f>
        <v>0</v>
      </c>
    </row>
    <row r="62" spans="2:14" x14ac:dyDescent="0.25">
      <c r="D62" s="1"/>
      <c r="K62" s="53">
        <f>IFERROR(K61/$D$61, 0)</f>
        <v>0.1588617975604649</v>
      </c>
      <c r="L62" s="53">
        <f>IFERROR(L61/$D$61, 0)</f>
        <v>0.84113820243953508</v>
      </c>
      <c r="M62" s="53">
        <f>IFERROR(M61/$D$61, 0)</f>
        <v>0</v>
      </c>
      <c r="N62" s="53">
        <f>IFERROR(N61/$D$61, 0)</f>
        <v>0</v>
      </c>
    </row>
    <row r="64" spans="2:14" x14ac:dyDescent="0.25">
      <c r="K64" s="9"/>
      <c r="L64" s="9"/>
      <c r="M64" s="9"/>
    </row>
    <row r="65" spans="2:14" x14ac:dyDescent="0.25">
      <c r="B65" s="27" t="s">
        <v>53</v>
      </c>
      <c r="C65" s="21"/>
      <c r="D65" s="21"/>
      <c r="E65" s="21"/>
      <c r="F65" s="21"/>
      <c r="G65" s="21"/>
      <c r="H65" s="21"/>
      <c r="I65" s="21"/>
      <c r="J65" s="21"/>
      <c r="K65" s="22"/>
      <c r="L65" s="22"/>
      <c r="M65" s="22"/>
    </row>
    <row r="66" spans="2:14" x14ac:dyDescent="0.25">
      <c r="B66" s="27"/>
      <c r="C66" s="21" t="s">
        <v>14</v>
      </c>
      <c r="D66" s="23">
        <f>SUM(Calcs!D62:H62)+SUM(Calcs!D72:H72)</f>
        <v>0</v>
      </c>
      <c r="E66" s="21"/>
      <c r="F66" s="24">
        <f>F34</f>
        <v>0.9</v>
      </c>
      <c r="G66" s="24">
        <f>G34</f>
        <v>0.1</v>
      </c>
      <c r="H66" s="24">
        <f>H34</f>
        <v>0</v>
      </c>
      <c r="I66" s="24">
        <f>I34</f>
        <v>0</v>
      </c>
      <c r="J66" s="21"/>
      <c r="K66" s="25">
        <f t="shared" ref="K66:N68" si="51">F66*$D66</f>
        <v>0</v>
      </c>
      <c r="L66" s="25">
        <f t="shared" si="51"/>
        <v>0</v>
      </c>
      <c r="M66" s="25">
        <f t="shared" si="51"/>
        <v>0</v>
      </c>
      <c r="N66" s="25">
        <f t="shared" si="51"/>
        <v>0</v>
      </c>
    </row>
    <row r="67" spans="2:14" x14ac:dyDescent="0.25">
      <c r="B67" s="27"/>
      <c r="C67" s="21" t="s">
        <v>15</v>
      </c>
      <c r="D67" s="23">
        <f>SUM(Calcs!D63:H63)+SUM(Calcs!D73:H73)</f>
        <v>0</v>
      </c>
      <c r="E67" s="21"/>
      <c r="F67" s="24">
        <f>IFERROR(SUM(K$35,K$9:K$14,K$45,K$23:K$28)/SUM($K$35:$N$35,$K$9:$N$14,$K$45:$N$45,$K$23:$N$28),0)</f>
        <v>0</v>
      </c>
      <c r="G67" s="24">
        <f>IFERROR(SUM(L$35,L$9:L$14,L$45,L$23:L$28)/SUM($K$35:$N$35,$K$9:$N$14,$K$45:$N$45,$K$23:$N$28),0)</f>
        <v>0</v>
      </c>
      <c r="H67" s="24">
        <f>IFERROR(SUM(M$35,M$9:M$14,M$45,M$23:M$28)/SUM($K$35:$N$35,$K$9:$N$14,$K$45:$N$45,$K$23:$N$28),0)</f>
        <v>0</v>
      </c>
      <c r="I67" s="24">
        <f>IFERROR(SUM(N$35,N$9:N$14,N$45,N$23:N$28)/SUM($K$35:$N$35,$K$9:$N$14,$K$45:$N$45,$K$23:$N$28),0)</f>
        <v>0</v>
      </c>
      <c r="J67" s="21"/>
      <c r="K67" s="25">
        <f t="shared" si="51"/>
        <v>0</v>
      </c>
      <c r="L67" s="25">
        <f t="shared" si="51"/>
        <v>0</v>
      </c>
      <c r="M67" s="25">
        <f t="shared" si="51"/>
        <v>0</v>
      </c>
      <c r="N67" s="25">
        <f t="shared" si="51"/>
        <v>0</v>
      </c>
    </row>
    <row r="68" spans="2:14" x14ac:dyDescent="0.25">
      <c r="B68" s="27"/>
      <c r="C68" s="21" t="s">
        <v>16</v>
      </c>
      <c r="D68" s="23">
        <f>SUM(Calcs!D64:H64)+SUM(Calcs!D74:H74)</f>
        <v>122220</v>
      </c>
      <c r="E68" s="21"/>
      <c r="F68" s="24">
        <f>IFERROR(SUM(K36,K15:K17,K46,K29:K31)/SUM($K$36:$N$36,$K$15:$M$17,$K$46:$N$46,$K$29:$N$31),0)</f>
        <v>6.8728522336769765E-2</v>
      </c>
      <c r="G68" s="24">
        <f>IFERROR(SUM(L36,L15:L17,L46,L29:L31)/SUM($K$36:$N$36,$K$15:$M$17,$K$46:$N$46,$K$29:$N$31),0)</f>
        <v>0.93127147766323026</v>
      </c>
      <c r="H68" s="24">
        <f>IFERROR(SUM(M36,M15:M17,M46,M29:M31)/SUM($K$36:$N$36,$K$15:$M$17,$K$46:$N$46,$K$29:$N$31),0)</f>
        <v>0</v>
      </c>
      <c r="I68" s="24">
        <f>IFERROR(SUM(N36,N15:N17,N46,N29:N31)/SUM($K$36:$N$36,$K$15:$M$17,$K$46:$N$46,$K$29:$N$31),0)</f>
        <v>0</v>
      </c>
      <c r="J68" s="21"/>
      <c r="K68" s="25">
        <f t="shared" si="51"/>
        <v>8400</v>
      </c>
      <c r="L68" s="25">
        <f t="shared" si="51"/>
        <v>113820</v>
      </c>
      <c r="M68" s="25">
        <f t="shared" si="51"/>
        <v>0</v>
      </c>
      <c r="N68" s="25">
        <f t="shared" si="51"/>
        <v>0</v>
      </c>
    </row>
    <row r="69" spans="2:14" x14ac:dyDescent="0.25">
      <c r="B69" s="27"/>
      <c r="C69" s="21" t="s">
        <v>17</v>
      </c>
      <c r="D69" s="23">
        <f>SUM(Calcs!D66:H66)+SUM(Calcs!D76:H76)</f>
        <v>0</v>
      </c>
      <c r="E69" s="21"/>
      <c r="F69" s="24">
        <f t="shared" ref="F69:I71" si="52">IFERROR(SUM(K38,K48)/SUM($K38:$N38,$K48:$N48),0)</f>
        <v>0</v>
      </c>
      <c r="G69" s="24">
        <f t="shared" si="52"/>
        <v>0</v>
      </c>
      <c r="H69" s="24">
        <f t="shared" si="52"/>
        <v>0</v>
      </c>
      <c r="I69" s="24">
        <f t="shared" si="52"/>
        <v>0</v>
      </c>
      <c r="J69" s="21"/>
      <c r="K69" s="25">
        <f t="shared" ref="K69:K72" si="53">F69*$D69</f>
        <v>0</v>
      </c>
      <c r="L69" s="25">
        <f t="shared" ref="L69:L72" si="54">G69*$D69</f>
        <v>0</v>
      </c>
      <c r="M69" s="25">
        <f t="shared" ref="M69:M72" si="55">H69*$D69</f>
        <v>0</v>
      </c>
      <c r="N69" s="25">
        <f t="shared" ref="N69:N72" si="56">I69*$D69</f>
        <v>0</v>
      </c>
    </row>
    <row r="70" spans="2:14" x14ac:dyDescent="0.25">
      <c r="B70" s="27"/>
      <c r="C70" s="21" t="s">
        <v>100</v>
      </c>
      <c r="D70" s="23">
        <f>SUM(Calcs!D67:H67)+SUM(Calcs!D77:H77)</f>
        <v>0</v>
      </c>
      <c r="E70" s="21"/>
      <c r="F70" s="24">
        <f t="shared" si="52"/>
        <v>0</v>
      </c>
      <c r="G70" s="24">
        <f t="shared" si="52"/>
        <v>0</v>
      </c>
      <c r="H70" s="24">
        <f t="shared" si="52"/>
        <v>0</v>
      </c>
      <c r="I70" s="24">
        <f t="shared" si="52"/>
        <v>0</v>
      </c>
      <c r="J70" s="21"/>
      <c r="K70" s="25">
        <f t="shared" ref="K70:K71" si="57">F70*$D70</f>
        <v>0</v>
      </c>
      <c r="L70" s="25">
        <f t="shared" ref="L70:L71" si="58">G70*$D70</f>
        <v>0</v>
      </c>
      <c r="M70" s="25">
        <f t="shared" ref="M70:M71" si="59">H70*$D70</f>
        <v>0</v>
      </c>
      <c r="N70" s="25">
        <f t="shared" ref="N70:N71" si="60">I70*$D70</f>
        <v>0</v>
      </c>
    </row>
    <row r="71" spans="2:14" x14ac:dyDescent="0.25">
      <c r="B71" s="27"/>
      <c r="C71" s="21" t="s">
        <v>99</v>
      </c>
      <c r="D71" s="23">
        <f>SUM(Calcs!D68:H68)+SUM(Calcs!D78:H78)</f>
        <v>0</v>
      </c>
      <c r="E71" s="21"/>
      <c r="F71" s="24">
        <f t="shared" si="52"/>
        <v>0</v>
      </c>
      <c r="G71" s="24">
        <f t="shared" si="52"/>
        <v>0</v>
      </c>
      <c r="H71" s="24">
        <f t="shared" si="52"/>
        <v>0</v>
      </c>
      <c r="I71" s="24">
        <f t="shared" si="52"/>
        <v>0</v>
      </c>
      <c r="J71" s="21"/>
      <c r="K71" s="25">
        <f t="shared" si="57"/>
        <v>0</v>
      </c>
      <c r="L71" s="25">
        <f t="shared" si="58"/>
        <v>0</v>
      </c>
      <c r="M71" s="25">
        <f t="shared" si="59"/>
        <v>0</v>
      </c>
      <c r="N71" s="25">
        <f t="shared" si="60"/>
        <v>0</v>
      </c>
    </row>
    <row r="72" spans="2:14" x14ac:dyDescent="0.25">
      <c r="B72" s="27"/>
      <c r="C72" s="21" t="s">
        <v>98</v>
      </c>
      <c r="D72" s="23">
        <f>SUM(Calcs!D69:H69)+SUM(Calcs!D79:H79)</f>
        <v>0</v>
      </c>
      <c r="E72" s="21"/>
      <c r="F72" s="24">
        <f t="shared" ref="F72" si="61">IFERROR(SUM(K41,K51)/SUM($K41:$N41,$K51:$N51),0)</f>
        <v>0</v>
      </c>
      <c r="G72" s="24">
        <f t="shared" ref="G72" si="62">IFERROR(SUM(L41,L51)/SUM($K41:$N41,$K51:$N51),0)</f>
        <v>0</v>
      </c>
      <c r="H72" s="24">
        <f t="shared" ref="H72" si="63">IFERROR(SUM(M41,M51)/SUM($K41:$N41,$K51:$N51),0)</f>
        <v>0</v>
      </c>
      <c r="I72" s="24">
        <f t="shared" ref="I72" si="64">IFERROR(SUM(N41,N51)/SUM($K41:$N41,$K51:$N51),0)</f>
        <v>0</v>
      </c>
      <c r="J72" s="21"/>
      <c r="K72" s="25">
        <f t="shared" si="53"/>
        <v>0</v>
      </c>
      <c r="L72" s="25">
        <f t="shared" si="54"/>
        <v>0</v>
      </c>
      <c r="M72" s="25">
        <f t="shared" si="55"/>
        <v>0</v>
      </c>
      <c r="N72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2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$F3*Outputs_Internal!$D$58/12</f>
        <v>0</v>
      </c>
      <c r="N3" s="63">
        <f>$F3*Outputs_Internal!K$58/12</f>
        <v>0</v>
      </c>
      <c r="O3" s="63">
        <f>$F3*Outputs_Internal!L$58/12</f>
        <v>0</v>
      </c>
      <c r="P3" s="63">
        <f>$F3*Outputs_Internal!M$58/12</f>
        <v>0</v>
      </c>
      <c r="Q3" s="63">
        <f>$F3*Outputs_Internal!N$58/12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$F4*Outputs_Internal!$D$58/12</f>
        <v>0</v>
      </c>
      <c r="N4" s="63">
        <f>$F4*Outputs_Internal!K$58/12</f>
        <v>0</v>
      </c>
      <c r="O4" s="63">
        <f>$F4*Outputs_Internal!L$58/12</f>
        <v>0</v>
      </c>
      <c r="P4" s="63">
        <f>$F4*Outputs_Internal!M$58/12</f>
        <v>0</v>
      </c>
      <c r="Q4" s="63">
        <f>$F4*Outputs_Internal!N$58/12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$F5*Outputs_Internal!$D$58/12</f>
        <v>0</v>
      </c>
      <c r="N5" s="63">
        <f>$F5*Outputs_Internal!K$58/12</f>
        <v>0</v>
      </c>
      <c r="O5" s="63">
        <f>$F5*Outputs_Internal!L$58/12</f>
        <v>0</v>
      </c>
      <c r="P5" s="63">
        <f>$F5*Outputs_Internal!M$58/12</f>
        <v>0</v>
      </c>
      <c r="Q5" s="63">
        <f>$F5*Outputs_Internal!N$58/12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$F6*Outputs_Internal!$D$58/12</f>
        <v>0</v>
      </c>
      <c r="N6" s="63">
        <f>$F6*Outputs_Internal!K$58/12</f>
        <v>0</v>
      </c>
      <c r="O6" s="63">
        <f>$F6*Outputs_Internal!L$58/12</f>
        <v>0</v>
      </c>
      <c r="P6" s="63">
        <f>$F6*Outputs_Internal!M$58/12</f>
        <v>0</v>
      </c>
      <c r="Q6" s="63">
        <f>$F6*Outputs_Internal!N$58/12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$F7*Outputs_Internal!$D$58/12</f>
        <v>0</v>
      </c>
      <c r="N7" s="63">
        <f>$F7*Outputs_Internal!K$58/12</f>
        <v>0</v>
      </c>
      <c r="O7" s="63">
        <f>$F7*Outputs_Internal!L$58/12</f>
        <v>0</v>
      </c>
      <c r="P7" s="63">
        <f>$F7*Outputs_Internal!M$58/12</f>
        <v>0</v>
      </c>
      <c r="Q7" s="63">
        <f>$F7*Outputs_Internal!N$58/12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$F8*Outputs_Internal!$D$58/12</f>
        <v>0</v>
      </c>
      <c r="N8" s="63">
        <f>$F8*Outputs_Internal!K$58/12</f>
        <v>0</v>
      </c>
      <c r="O8" s="63">
        <f>$F8*Outputs_Internal!L$58/12</f>
        <v>0</v>
      </c>
      <c r="P8" s="63">
        <f>$F8*Outputs_Internal!M$58/12</f>
        <v>0</v>
      </c>
      <c r="Q8" s="63">
        <f>$F8*Outputs_Internal!N$58/12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$F9*Outputs_Internal!$D$58/12</f>
        <v>19897.833333333332</v>
      </c>
      <c r="N9" s="63">
        <f>$F9*Outputs_Internal!K$58/12</f>
        <v>3164.3479550372194</v>
      </c>
      <c r="O9" s="63">
        <f>$F9*Outputs_Internal!L$58/12</f>
        <v>16733.485378296115</v>
      </c>
      <c r="P9" s="63">
        <f>$F9*Outputs_Internal!M$58/12</f>
        <v>0</v>
      </c>
      <c r="Q9" s="63">
        <f>$F9*Outputs_Internal!N$58/12</f>
        <v>0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$F10*Outputs_Internal!$D$58/12</f>
        <v>19897.833333333332</v>
      </c>
      <c r="N10" s="63">
        <f>$F10*Outputs_Internal!K$58/12</f>
        <v>3164.3479550372194</v>
      </c>
      <c r="O10" s="63">
        <f>$F10*Outputs_Internal!L$58/12</f>
        <v>16733.485378296115</v>
      </c>
      <c r="P10" s="63">
        <f>$F10*Outputs_Internal!M$58/12</f>
        <v>0</v>
      </c>
      <c r="Q10" s="63">
        <f>$F10*Outputs_Internal!N$58/12</f>
        <v>0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$F11*Outputs_Internal!$D$58/12</f>
        <v>19897.833333333332</v>
      </c>
      <c r="N11" s="63">
        <f>$F11*Outputs_Internal!K$58/12</f>
        <v>3164.3479550372194</v>
      </c>
      <c r="O11" s="63">
        <f>$F11*Outputs_Internal!L$58/12</f>
        <v>16733.485378296115</v>
      </c>
      <c r="P11" s="63">
        <f>$F11*Outputs_Internal!M$58/12</f>
        <v>0</v>
      </c>
      <c r="Q11" s="63">
        <f>$F11*Outputs_Internal!N$58/12</f>
        <v>0</v>
      </c>
      <c r="S11" s="63">
        <f t="shared" si="1"/>
        <v>129693.49999999999</v>
      </c>
      <c r="T11" s="63">
        <f t="shared" si="2"/>
        <v>20493.043865111656</v>
      </c>
      <c r="U11" s="63">
        <f>IF(MOD(MONTH($B11),3)=0,SUM(J9:J11,O9:O11),0)</f>
        <v>109200.45613488834</v>
      </c>
      <c r="V11" s="63">
        <f t="shared" si="4"/>
        <v>0</v>
      </c>
      <c r="W11" s="63">
        <f t="shared" si="5"/>
        <v>0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$F12*Outputs_Internal!$D$58/12</f>
        <v>19897.833333333332</v>
      </c>
      <c r="N12" s="63">
        <f>$F12*Outputs_Internal!K$58/12</f>
        <v>3164.3479550372194</v>
      </c>
      <c r="O12" s="63">
        <f>$F12*Outputs_Internal!L$58/12</f>
        <v>16733.485378296115</v>
      </c>
      <c r="P12" s="63">
        <f>$F12*Outputs_Internal!M$58/12</f>
        <v>0</v>
      </c>
      <c r="Q12" s="63">
        <f>$F12*Outputs_Internal!N$58/12</f>
        <v>0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$F13*Outputs_Internal!$D$58/12</f>
        <v>19897.833333333332</v>
      </c>
      <c r="N13" s="63">
        <f>$F13*Outputs_Internal!K$58/12</f>
        <v>3164.3479550372194</v>
      </c>
      <c r="O13" s="63">
        <f>$F13*Outputs_Internal!L$58/12</f>
        <v>16733.485378296115</v>
      </c>
      <c r="P13" s="63">
        <f>$F13*Outputs_Internal!M$58/12</f>
        <v>0</v>
      </c>
      <c r="Q13" s="63">
        <f>$F13*Outputs_Internal!N$58/12</f>
        <v>0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$F14*Outputs_Internal!$D$58/12</f>
        <v>19897.833333333332</v>
      </c>
      <c r="N14" s="63">
        <f>$F14*Outputs_Internal!K$58/12</f>
        <v>3164.3479550372194</v>
      </c>
      <c r="O14" s="63">
        <f>$F14*Outputs_Internal!L$58/12</f>
        <v>16733.485378296115</v>
      </c>
      <c r="P14" s="63">
        <f>$F14*Outputs_Internal!M$58/12</f>
        <v>0</v>
      </c>
      <c r="Q14" s="63">
        <f>$F14*Outputs_Internal!N$58/12</f>
        <v>0</v>
      </c>
      <c r="S14" s="63">
        <f t="shared" si="1"/>
        <v>59693.5</v>
      </c>
      <c r="T14" s="63">
        <f t="shared" si="2"/>
        <v>9493.0438651116583</v>
      </c>
      <c r="U14" s="63">
        <f t="shared" si="3"/>
        <v>50200.456134888344</v>
      </c>
      <c r="V14" s="63">
        <f t="shared" si="4"/>
        <v>0</v>
      </c>
      <c r="W14" s="63">
        <f t="shared" si="5"/>
        <v>0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$F15*Outputs_Internal!$D$58/12</f>
        <v>19897.833333333332</v>
      </c>
      <c r="N15" s="63">
        <f>$F15*Outputs_Internal!K$58/12</f>
        <v>3164.3479550372194</v>
      </c>
      <c r="O15" s="63">
        <f>$F15*Outputs_Internal!L$58/12</f>
        <v>16733.485378296115</v>
      </c>
      <c r="P15" s="63">
        <f>$F15*Outputs_Internal!M$58/12</f>
        <v>0</v>
      </c>
      <c r="Q15" s="63">
        <f>$F15*Outputs_Internal!N$58/12</f>
        <v>0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$F16*Outputs_Internal!$D$58/12</f>
        <v>19897.833333333332</v>
      </c>
      <c r="N16" s="63">
        <f>$F16*Outputs_Internal!K$58/12</f>
        <v>3164.3479550372194</v>
      </c>
      <c r="O16" s="63">
        <f>$F16*Outputs_Internal!L$58/12</f>
        <v>16733.485378296115</v>
      </c>
      <c r="P16" s="63">
        <f>$F16*Outputs_Internal!M$58/12</f>
        <v>0</v>
      </c>
      <c r="Q16" s="63">
        <f>$F16*Outputs_Internal!N$58/12</f>
        <v>0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$F17*Outputs_Internal!$D$58/12</f>
        <v>19897.833333333332</v>
      </c>
      <c r="N17" s="63">
        <f>$F17*Outputs_Internal!K$58/12</f>
        <v>3164.3479550372194</v>
      </c>
      <c r="O17" s="63">
        <f>$F17*Outputs_Internal!L$58/12</f>
        <v>16733.485378296115</v>
      </c>
      <c r="P17" s="63">
        <f>$F17*Outputs_Internal!M$58/12</f>
        <v>0</v>
      </c>
      <c r="Q17" s="63">
        <f>$F17*Outputs_Internal!N$58/12</f>
        <v>0</v>
      </c>
      <c r="S17" s="63">
        <f t="shared" si="1"/>
        <v>59693.5</v>
      </c>
      <c r="T17" s="63">
        <f t="shared" si="2"/>
        <v>9493.0438651116583</v>
      </c>
      <c r="U17" s="63">
        <f t="shared" si="3"/>
        <v>50200.456134888344</v>
      </c>
      <c r="V17" s="63">
        <f t="shared" si="4"/>
        <v>0</v>
      </c>
      <c r="W17" s="63">
        <f t="shared" si="5"/>
        <v>0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$F18*Outputs_Internal!$D$58/12</f>
        <v>19897.833333333332</v>
      </c>
      <c r="N18" s="63">
        <f>$F18*Outputs_Internal!K$58/12</f>
        <v>3164.3479550372194</v>
      </c>
      <c r="O18" s="63">
        <f>$F18*Outputs_Internal!L$58/12</f>
        <v>16733.485378296115</v>
      </c>
      <c r="P18" s="63">
        <f>$F18*Outputs_Internal!M$58/12</f>
        <v>0</v>
      </c>
      <c r="Q18" s="63">
        <f>$F18*Outputs_Internal!N$58/12</f>
        <v>0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$F19*Outputs_Internal!$D$58/12</f>
        <v>19897.833333333332</v>
      </c>
      <c r="N19" s="63">
        <f>$F19*Outputs_Internal!K$58/12</f>
        <v>3164.3479550372194</v>
      </c>
      <c r="O19" s="63">
        <f>$F19*Outputs_Internal!L$58/12</f>
        <v>16733.485378296115</v>
      </c>
      <c r="P19" s="63">
        <f>$F19*Outputs_Internal!M$58/12</f>
        <v>0</v>
      </c>
      <c r="Q19" s="63">
        <f>$F19*Outputs_Internal!N$58/12</f>
        <v>0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$F20*Outputs_Internal!$D$58/12</f>
        <v>19897.833333333332</v>
      </c>
      <c r="N20" s="63">
        <f>$F20*Outputs_Internal!K$58/12</f>
        <v>3164.3479550372194</v>
      </c>
      <c r="O20" s="63">
        <f>$F20*Outputs_Internal!L$58/12</f>
        <v>16733.485378296115</v>
      </c>
      <c r="P20" s="63">
        <f>$F20*Outputs_Internal!M$58/12</f>
        <v>0</v>
      </c>
      <c r="Q20" s="63">
        <f>$F20*Outputs_Internal!N$58/12</f>
        <v>0</v>
      </c>
      <c r="S20" s="63">
        <f t="shared" si="1"/>
        <v>59693.5</v>
      </c>
      <c r="T20" s="63">
        <f t="shared" si="2"/>
        <v>9493.0438651116583</v>
      </c>
      <c r="U20" s="63">
        <f t="shared" si="3"/>
        <v>50200.456134888344</v>
      </c>
      <c r="V20" s="63">
        <f t="shared" si="4"/>
        <v>0</v>
      </c>
      <c r="W20" s="63">
        <f t="shared" si="5"/>
        <v>0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$F21*Outputs_Internal!$D$58/12</f>
        <v>19897.833333333332</v>
      </c>
      <c r="N21" s="63">
        <f>$F21*Outputs_Internal!K$58/12</f>
        <v>3164.3479550372194</v>
      </c>
      <c r="O21" s="63">
        <f>$F21*Outputs_Internal!L$58/12</f>
        <v>16733.485378296115</v>
      </c>
      <c r="P21" s="63">
        <f>$F21*Outputs_Internal!M$58/12</f>
        <v>0</v>
      </c>
      <c r="Q21" s="63">
        <f>$F21*Outputs_Internal!N$58/12</f>
        <v>0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$F22*Outputs_Internal!$D$58/12</f>
        <v>19897.833333333332</v>
      </c>
      <c r="N22" s="63">
        <f>$F22*Outputs_Internal!K$58/12</f>
        <v>3164.3479550372194</v>
      </c>
      <c r="O22" s="63">
        <f>$F22*Outputs_Internal!L$58/12</f>
        <v>16733.485378296115</v>
      </c>
      <c r="P22" s="63">
        <f>$F22*Outputs_Internal!M$58/12</f>
        <v>0</v>
      </c>
      <c r="Q22" s="63">
        <f>$F22*Outputs_Internal!N$58/12</f>
        <v>0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$F23*Outputs_Internal!$D$58/12</f>
        <v>19897.833333333332</v>
      </c>
      <c r="N23" s="63">
        <f>$F23*Outputs_Internal!K$58/12</f>
        <v>3164.3479550372194</v>
      </c>
      <c r="O23" s="63">
        <f>$F23*Outputs_Internal!L$58/12</f>
        <v>16733.485378296115</v>
      </c>
      <c r="P23" s="63">
        <f>$F23*Outputs_Internal!M$58/12</f>
        <v>0</v>
      </c>
      <c r="Q23" s="63">
        <f>$F23*Outputs_Internal!N$58/12</f>
        <v>0</v>
      </c>
      <c r="S23" s="63">
        <f t="shared" si="1"/>
        <v>59693.5</v>
      </c>
      <c r="T23" s="63">
        <f t="shared" si="2"/>
        <v>9493.0438651116583</v>
      </c>
      <c r="U23" s="63">
        <f t="shared" si="3"/>
        <v>50200.456134888344</v>
      </c>
      <c r="V23" s="63">
        <f t="shared" si="4"/>
        <v>0</v>
      </c>
      <c r="W23" s="63">
        <f t="shared" si="5"/>
        <v>0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$F24*Outputs_Internal!$D$58/12</f>
        <v>19897.833333333332</v>
      </c>
      <c r="N24" s="63">
        <f>$F24*Outputs_Internal!K$58/12</f>
        <v>3164.3479550372194</v>
      </c>
      <c r="O24" s="63">
        <f>$F24*Outputs_Internal!L$58/12</f>
        <v>16733.485378296115</v>
      </c>
      <c r="P24" s="63">
        <f>$F24*Outputs_Internal!M$58/12</f>
        <v>0</v>
      </c>
      <c r="Q24" s="63">
        <f>$F24*Outputs_Internal!N$58/12</f>
        <v>0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$F25*Outputs_Internal!$D$58/12</f>
        <v>19897.833333333332</v>
      </c>
      <c r="N25" s="63">
        <f>$F25*Outputs_Internal!K$58/12</f>
        <v>3164.3479550372194</v>
      </c>
      <c r="O25" s="63">
        <f>$F25*Outputs_Internal!L$58/12</f>
        <v>16733.485378296115</v>
      </c>
      <c r="P25" s="63">
        <f>$F25*Outputs_Internal!M$58/12</f>
        <v>0</v>
      </c>
      <c r="Q25" s="63">
        <f>$F25*Outputs_Internal!N$58/12</f>
        <v>0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$F26*Outputs_Internal!$D$58/12</f>
        <v>19897.833333333332</v>
      </c>
      <c r="N26" s="63">
        <f>$F26*Outputs_Internal!K$58/12</f>
        <v>3164.3479550372194</v>
      </c>
      <c r="O26" s="63">
        <f>$F26*Outputs_Internal!L$58/12</f>
        <v>16733.485378296115</v>
      </c>
      <c r="P26" s="63">
        <f>$F26*Outputs_Internal!M$58/12</f>
        <v>0</v>
      </c>
      <c r="Q26" s="63">
        <f>$F26*Outputs_Internal!N$58/12</f>
        <v>0</v>
      </c>
      <c r="S26" s="63">
        <f t="shared" si="1"/>
        <v>59693.5</v>
      </c>
      <c r="T26" s="63">
        <f t="shared" si="2"/>
        <v>9493.0438651116583</v>
      </c>
      <c r="U26" s="63">
        <f t="shared" si="3"/>
        <v>50200.456134888344</v>
      </c>
      <c r="V26" s="63">
        <f t="shared" si="4"/>
        <v>0</v>
      </c>
      <c r="W26" s="63">
        <f t="shared" si="5"/>
        <v>0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$F27*Outputs_Internal!$D$58/12</f>
        <v>19897.833333333332</v>
      </c>
      <c r="N27" s="63">
        <f>$F27*Outputs_Internal!K$58/12</f>
        <v>3164.3479550372194</v>
      </c>
      <c r="O27" s="63">
        <f>$F27*Outputs_Internal!L$58/12</f>
        <v>16733.485378296115</v>
      </c>
      <c r="P27" s="63">
        <f>$F27*Outputs_Internal!M$58/12</f>
        <v>0</v>
      </c>
      <c r="Q27" s="63">
        <f>$F27*Outputs_Internal!N$58/12</f>
        <v>0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$F28*Outputs_Internal!$D$58/12</f>
        <v>19897.833333333332</v>
      </c>
      <c r="N28" s="63">
        <f>$F28*Outputs_Internal!K$58/12</f>
        <v>3164.3479550372194</v>
      </c>
      <c r="O28" s="63">
        <f>$F28*Outputs_Internal!L$58/12</f>
        <v>16733.485378296115</v>
      </c>
      <c r="P28" s="63">
        <f>$F28*Outputs_Internal!M$58/12</f>
        <v>0</v>
      </c>
      <c r="Q28" s="63">
        <f>$F28*Outputs_Internal!N$58/12</f>
        <v>0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$F29*Outputs_Internal!$D$58/12</f>
        <v>19897.833333333332</v>
      </c>
      <c r="N29" s="63">
        <f>$F29*Outputs_Internal!K$58/12</f>
        <v>3164.3479550372194</v>
      </c>
      <c r="O29" s="63">
        <f>$F29*Outputs_Internal!L$58/12</f>
        <v>16733.485378296115</v>
      </c>
      <c r="P29" s="63">
        <f>$F29*Outputs_Internal!M$58/12</f>
        <v>0</v>
      </c>
      <c r="Q29" s="63">
        <f>$F29*Outputs_Internal!N$58/12</f>
        <v>0</v>
      </c>
      <c r="S29" s="63">
        <f t="shared" si="1"/>
        <v>59693.5</v>
      </c>
      <c r="T29" s="63">
        <f t="shared" si="2"/>
        <v>9493.0438651116583</v>
      </c>
      <c r="U29" s="63">
        <f t="shared" si="3"/>
        <v>50200.456134888344</v>
      </c>
      <c r="V29" s="63">
        <f t="shared" si="4"/>
        <v>0</v>
      </c>
      <c r="W29" s="63">
        <f t="shared" si="5"/>
        <v>0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$F30*Outputs_Internal!$D$58/12</f>
        <v>19897.833333333332</v>
      </c>
      <c r="N30" s="63">
        <f>$F30*Outputs_Internal!K$58/12</f>
        <v>3164.3479550372194</v>
      </c>
      <c r="O30" s="63">
        <f>$F30*Outputs_Internal!L$58/12</f>
        <v>16733.485378296115</v>
      </c>
      <c r="P30" s="63">
        <f>$F30*Outputs_Internal!M$58/12</f>
        <v>0</v>
      </c>
      <c r="Q30" s="63">
        <f>$F30*Outputs_Internal!N$58/12</f>
        <v>0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$F31*Outputs_Internal!$D$58/12</f>
        <v>19897.833333333332</v>
      </c>
      <c r="N31" s="63">
        <f>$F31*Outputs_Internal!K$58/12</f>
        <v>3164.3479550372194</v>
      </c>
      <c r="O31" s="63">
        <f>$F31*Outputs_Internal!L$58/12</f>
        <v>16733.485378296115</v>
      </c>
      <c r="P31" s="63">
        <f>$F31*Outputs_Internal!M$58/12</f>
        <v>0</v>
      </c>
      <c r="Q31" s="63">
        <f>$F31*Outputs_Internal!N$58/12</f>
        <v>0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$F32*Outputs_Internal!$D$58/12</f>
        <v>19897.833333333332</v>
      </c>
      <c r="N32" s="63">
        <f>$F32*Outputs_Internal!K$58/12</f>
        <v>3164.3479550372194</v>
      </c>
      <c r="O32" s="63">
        <f>$F32*Outputs_Internal!L$58/12</f>
        <v>16733.485378296115</v>
      </c>
      <c r="P32" s="63">
        <f>$F32*Outputs_Internal!M$58/12</f>
        <v>0</v>
      </c>
      <c r="Q32" s="63">
        <f>$F32*Outputs_Internal!N$58/12</f>
        <v>0</v>
      </c>
      <c r="S32" s="63">
        <f t="shared" si="1"/>
        <v>59693.5</v>
      </c>
      <c r="T32" s="63">
        <f t="shared" si="2"/>
        <v>9493.0438651116583</v>
      </c>
      <c r="U32" s="63">
        <f t="shared" si="3"/>
        <v>50200.456134888344</v>
      </c>
      <c r="V32" s="63">
        <f t="shared" si="4"/>
        <v>0</v>
      </c>
      <c r="W32" s="63">
        <f t="shared" si="5"/>
        <v>0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$F33*Outputs_Internal!$D$58/12</f>
        <v>19897.833333333332</v>
      </c>
      <c r="N33" s="63">
        <f>$F33*Outputs_Internal!K$58/12</f>
        <v>3164.3479550372194</v>
      </c>
      <c r="O33" s="63">
        <f>$F33*Outputs_Internal!L$58/12</f>
        <v>16733.485378296115</v>
      </c>
      <c r="P33" s="63">
        <f>$F33*Outputs_Internal!M$58/12</f>
        <v>0</v>
      </c>
      <c r="Q33" s="63">
        <f>$F33*Outputs_Internal!N$58/12</f>
        <v>0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$F34*Outputs_Internal!$D$58/12</f>
        <v>19897.833333333332</v>
      </c>
      <c r="N34" s="63">
        <f>$F34*Outputs_Internal!K$58/12</f>
        <v>3164.3479550372194</v>
      </c>
      <c r="O34" s="63">
        <f>$F34*Outputs_Internal!L$58/12</f>
        <v>16733.485378296115</v>
      </c>
      <c r="P34" s="63">
        <f>$F34*Outputs_Internal!M$58/12</f>
        <v>0</v>
      </c>
      <c r="Q34" s="63">
        <f>$F34*Outputs_Internal!N$58/12</f>
        <v>0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$F35*Outputs_Internal!$D$58/12</f>
        <v>19897.833333333332</v>
      </c>
      <c r="N35" s="63">
        <f>$F35*Outputs_Internal!K$58/12</f>
        <v>3164.3479550372194</v>
      </c>
      <c r="O35" s="63">
        <f>$F35*Outputs_Internal!L$58/12</f>
        <v>16733.485378296115</v>
      </c>
      <c r="P35" s="63">
        <f>$F35*Outputs_Internal!M$58/12</f>
        <v>0</v>
      </c>
      <c r="Q35" s="63">
        <f>$F35*Outputs_Internal!N$58/12</f>
        <v>0</v>
      </c>
      <c r="S35" s="63">
        <f t="shared" si="1"/>
        <v>59693.5</v>
      </c>
      <c r="T35" s="63">
        <f t="shared" si="2"/>
        <v>9493.0438651116583</v>
      </c>
      <c r="U35" s="63">
        <f t="shared" si="3"/>
        <v>50200.456134888344</v>
      </c>
      <c r="V35" s="63">
        <f t="shared" si="4"/>
        <v>0</v>
      </c>
      <c r="W35" s="63">
        <f t="shared" si="5"/>
        <v>0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$F36*Outputs_Internal!$D$58/12</f>
        <v>19897.833333333332</v>
      </c>
      <c r="N36" s="63">
        <f>$F36*Outputs_Internal!K$58/12</f>
        <v>3164.3479550372194</v>
      </c>
      <c r="O36" s="63">
        <f>$F36*Outputs_Internal!L$58/12</f>
        <v>16733.485378296115</v>
      </c>
      <c r="P36" s="63">
        <f>$F36*Outputs_Internal!M$58/12</f>
        <v>0</v>
      </c>
      <c r="Q36" s="63">
        <f>$F36*Outputs_Internal!N$58/12</f>
        <v>0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$F37*Outputs_Internal!$D$58/12</f>
        <v>19897.833333333332</v>
      </c>
      <c r="N37" s="63">
        <f>$F37*Outputs_Internal!K$58/12</f>
        <v>3164.3479550372194</v>
      </c>
      <c r="O37" s="63">
        <f>$F37*Outputs_Internal!L$58/12</f>
        <v>16733.485378296115</v>
      </c>
      <c r="P37" s="63">
        <f>$F37*Outputs_Internal!M$58/12</f>
        <v>0</v>
      </c>
      <c r="Q37" s="63">
        <f>$F37*Outputs_Internal!N$58/12</f>
        <v>0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$F38*Outputs_Internal!$D$58/12</f>
        <v>19897.833333333332</v>
      </c>
      <c r="N38" s="63">
        <f>$F38*Outputs_Internal!K$58/12</f>
        <v>3164.3479550372194</v>
      </c>
      <c r="O38" s="63">
        <f>$F38*Outputs_Internal!L$58/12</f>
        <v>16733.485378296115</v>
      </c>
      <c r="P38" s="63">
        <f>$F38*Outputs_Internal!M$58/12</f>
        <v>0</v>
      </c>
      <c r="Q38" s="63">
        <f>$F38*Outputs_Internal!N$58/12</f>
        <v>0</v>
      </c>
      <c r="S38" s="63">
        <f t="shared" si="1"/>
        <v>59693.5</v>
      </c>
      <c r="T38" s="63">
        <f t="shared" si="2"/>
        <v>9493.0438651116583</v>
      </c>
      <c r="U38" s="63">
        <f t="shared" si="3"/>
        <v>50200.456134888344</v>
      </c>
      <c r="V38" s="63">
        <f t="shared" si="4"/>
        <v>0</v>
      </c>
      <c r="W38" s="63">
        <f t="shared" si="5"/>
        <v>0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$F39*Outputs_Internal!$D$58/12</f>
        <v>19897.833333333332</v>
      </c>
      <c r="N39" s="63">
        <f>$F39*Outputs_Internal!K$58/12</f>
        <v>3164.3479550372194</v>
      </c>
      <c r="O39" s="63">
        <f>$F39*Outputs_Internal!L$58/12</f>
        <v>16733.485378296115</v>
      </c>
      <c r="P39" s="63">
        <f>$F39*Outputs_Internal!M$58/12</f>
        <v>0</v>
      </c>
      <c r="Q39" s="63">
        <f>$F39*Outputs_Internal!N$58/12</f>
        <v>0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$F40*Outputs_Internal!$D$58/12</f>
        <v>19897.833333333332</v>
      </c>
      <c r="N40" s="63">
        <f>$F40*Outputs_Internal!K$58/12</f>
        <v>3164.3479550372194</v>
      </c>
      <c r="O40" s="63">
        <f>$F40*Outputs_Internal!L$58/12</f>
        <v>16733.485378296115</v>
      </c>
      <c r="P40" s="63">
        <f>$F40*Outputs_Internal!M$58/12</f>
        <v>0</v>
      </c>
      <c r="Q40" s="63">
        <f>$F40*Outputs_Internal!N$58/12</f>
        <v>0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$F41*Outputs_Internal!$D$58/12</f>
        <v>19897.833333333332</v>
      </c>
      <c r="N41" s="63">
        <f>$F41*Outputs_Internal!K$58/12</f>
        <v>3164.3479550372194</v>
      </c>
      <c r="O41" s="63">
        <f>$F41*Outputs_Internal!L$58/12</f>
        <v>16733.485378296115</v>
      </c>
      <c r="P41" s="63">
        <f>$F41*Outputs_Internal!M$58/12</f>
        <v>0</v>
      </c>
      <c r="Q41" s="63">
        <f>$F41*Outputs_Internal!N$58/12</f>
        <v>0</v>
      </c>
      <c r="S41" s="63">
        <f t="shared" si="1"/>
        <v>59693.5</v>
      </c>
      <c r="T41" s="63">
        <f t="shared" si="2"/>
        <v>9493.0438651116583</v>
      </c>
      <c r="U41" s="63">
        <f t="shared" si="3"/>
        <v>50200.456134888344</v>
      </c>
      <c r="V41" s="63">
        <f t="shared" si="4"/>
        <v>0</v>
      </c>
      <c r="W41" s="63">
        <f t="shared" si="5"/>
        <v>0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$F42*Outputs_Internal!$D$58/12</f>
        <v>19897.833333333332</v>
      </c>
      <c r="N42" s="63">
        <f>$F42*Outputs_Internal!K$58/12</f>
        <v>3164.3479550372194</v>
      </c>
      <c r="O42" s="63">
        <f>$F42*Outputs_Internal!L$58/12</f>
        <v>16733.485378296115</v>
      </c>
      <c r="P42" s="63">
        <f>$F42*Outputs_Internal!M$58/12</f>
        <v>0</v>
      </c>
      <c r="Q42" s="63">
        <f>$F42*Outputs_Internal!N$58/12</f>
        <v>0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$F43*Outputs_Internal!$D$58/12</f>
        <v>19897.833333333332</v>
      </c>
      <c r="N43" s="63">
        <f>$F43*Outputs_Internal!K$58/12</f>
        <v>3164.3479550372194</v>
      </c>
      <c r="O43" s="63">
        <f>$F43*Outputs_Internal!L$58/12</f>
        <v>16733.485378296115</v>
      </c>
      <c r="P43" s="63">
        <f>$F43*Outputs_Internal!M$58/12</f>
        <v>0</v>
      </c>
      <c r="Q43" s="63">
        <f>$F43*Outputs_Internal!N$58/12</f>
        <v>0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$F44*Outputs_Internal!$D$58/12</f>
        <v>19897.833333333332</v>
      </c>
      <c r="N44" s="63">
        <f>$F44*Outputs_Internal!K$58/12</f>
        <v>3164.3479550372194</v>
      </c>
      <c r="O44" s="63">
        <f>$F44*Outputs_Internal!L$58/12</f>
        <v>16733.485378296115</v>
      </c>
      <c r="P44" s="63">
        <f>$F44*Outputs_Internal!M$58/12</f>
        <v>0</v>
      </c>
      <c r="Q44" s="63">
        <f>$F44*Outputs_Internal!N$58/12</f>
        <v>0</v>
      </c>
      <c r="S44" s="63">
        <f>IF(MOD(MONTH($B44),3)=0,SUM(H42:H44,M42:M44),0)</f>
        <v>59693.5</v>
      </c>
      <c r="T44" s="63">
        <f t="shared" si="2"/>
        <v>9493.0438651116583</v>
      </c>
      <c r="U44" s="63">
        <f t="shared" si="3"/>
        <v>50200.456134888344</v>
      </c>
      <c r="V44" s="63">
        <f t="shared" si="4"/>
        <v>0</v>
      </c>
      <c r="W44" s="63">
        <f t="shared" si="5"/>
        <v>0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$F45*Outputs_Internal!$D$58/12</f>
        <v>0</v>
      </c>
      <c r="N45" s="63">
        <f>$F45*Outputs_Internal!K$58/12</f>
        <v>0</v>
      </c>
      <c r="O45" s="63">
        <f>$F45*Outputs_Internal!L$58/12</f>
        <v>0</v>
      </c>
      <c r="P45" s="63">
        <f>$F45*Outputs_Internal!M$58/12</f>
        <v>0</v>
      </c>
      <c r="Q45" s="63">
        <f>$F45*Outputs_Internal!N$58/12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$F46*Outputs_Internal!$D$58/12</f>
        <v>0</v>
      </c>
      <c r="N46" s="63">
        <f>$F46*Outputs_Internal!K$58/12</f>
        <v>0</v>
      </c>
      <c r="O46" s="63">
        <f>$F46*Outputs_Internal!L$58/12</f>
        <v>0</v>
      </c>
      <c r="P46" s="63">
        <f>$F46*Outputs_Internal!M$58/12</f>
        <v>0</v>
      </c>
      <c r="Q46" s="63">
        <f>$F46*Outputs_Internal!N$58/12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$F47*Outputs_Internal!$D$58/12</f>
        <v>0</v>
      </c>
      <c r="N47" s="63">
        <f>$F47*Outputs_Internal!K$58/12</f>
        <v>0</v>
      </c>
      <c r="O47" s="63">
        <f>$F47*Outputs_Internal!L$58/12</f>
        <v>0</v>
      </c>
      <c r="P47" s="63">
        <f>$F47*Outputs_Internal!M$58/12</f>
        <v>0</v>
      </c>
      <c r="Q47" s="63">
        <f>$F47*Outputs_Internal!N$58/12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$F48*Outputs_Internal!$D$58/12</f>
        <v>0</v>
      </c>
      <c r="N48" s="63">
        <f>$F48*Outputs_Internal!K$58/12</f>
        <v>0</v>
      </c>
      <c r="O48" s="63">
        <f>$F48*Outputs_Internal!L$58/12</f>
        <v>0</v>
      </c>
      <c r="P48" s="63">
        <f>$F48*Outputs_Internal!M$58/12</f>
        <v>0</v>
      </c>
      <c r="Q48" s="63">
        <f>$F48*Outputs_Internal!N$58/12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$F49*Outputs_Internal!$D$58/12</f>
        <v>0</v>
      </c>
      <c r="N49" s="63">
        <f>$F49*Outputs_Internal!K$58/12</f>
        <v>0</v>
      </c>
      <c r="O49" s="63">
        <f>$F49*Outputs_Internal!L$58/12</f>
        <v>0</v>
      </c>
      <c r="P49" s="63">
        <f>$F49*Outputs_Internal!M$58/12</f>
        <v>0</v>
      </c>
      <c r="Q49" s="63">
        <f>$F49*Outputs_Internal!N$58/12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$F50*Outputs_Internal!$D$58/12</f>
        <v>0</v>
      </c>
      <c r="N50" s="63">
        <f>$F50*Outputs_Internal!K$58/12</f>
        <v>0</v>
      </c>
      <c r="O50" s="63">
        <f>$F50*Outputs_Internal!L$58/12</f>
        <v>0</v>
      </c>
      <c r="P50" s="63">
        <f>$F50*Outputs_Internal!M$58/12</f>
        <v>0</v>
      </c>
      <c r="Q50" s="63">
        <f>$F50*Outputs_Internal!N$58/12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$F51*Outputs_Internal!$D$58/12</f>
        <v>0</v>
      </c>
      <c r="N51" s="63">
        <f>$F51*Outputs_Internal!K$58/12</f>
        <v>0</v>
      </c>
      <c r="O51" s="63">
        <f>$F51*Outputs_Internal!L$58/12</f>
        <v>0</v>
      </c>
      <c r="P51" s="63">
        <f>$F51*Outputs_Internal!M$58/12</f>
        <v>0</v>
      </c>
      <c r="Q51" s="63">
        <f>$F51*Outputs_Internal!N$58/12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$F52*Outputs_Internal!$D$58/12</f>
        <v>0</v>
      </c>
      <c r="N52" s="63">
        <f>$F52*Outputs_Internal!K$58/12</f>
        <v>0</v>
      </c>
      <c r="O52" s="63">
        <f>$F52*Outputs_Internal!L$58/12</f>
        <v>0</v>
      </c>
      <c r="P52" s="63">
        <f>$F52*Outputs_Internal!M$58/12</f>
        <v>0</v>
      </c>
      <c r="Q52" s="63">
        <f>$F52*Outputs_Internal!N$58/12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$F53*Outputs_Internal!$D$58/12</f>
        <v>0</v>
      </c>
      <c r="N53" s="63">
        <f>$F53*Outputs_Internal!K$58/12</f>
        <v>0</v>
      </c>
      <c r="O53" s="63">
        <f>$F53*Outputs_Internal!L$58/12</f>
        <v>0</v>
      </c>
      <c r="P53" s="63">
        <f>$F53*Outputs_Internal!M$58/12</f>
        <v>0</v>
      </c>
      <c r="Q53" s="63">
        <f>$F53*Outputs_Internal!N$58/12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$F54*Outputs_Internal!$D$58/12</f>
        <v>0</v>
      </c>
      <c r="N54" s="63">
        <f>$F54*Outputs_Internal!K$58/12</f>
        <v>0</v>
      </c>
      <c r="O54" s="63">
        <f>$F54*Outputs_Internal!L$58/12</f>
        <v>0</v>
      </c>
      <c r="P54" s="63">
        <f>$F54*Outputs_Internal!M$58/12</f>
        <v>0</v>
      </c>
      <c r="Q54" s="63">
        <f>$F54*Outputs_Internal!N$58/12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$F55*Outputs_Internal!$D$58/12</f>
        <v>0</v>
      </c>
      <c r="N55" s="63">
        <f>$F55*Outputs_Internal!K$58/12</f>
        <v>0</v>
      </c>
      <c r="O55" s="63">
        <f>$F55*Outputs_Internal!L$58/12</f>
        <v>0</v>
      </c>
      <c r="P55" s="63">
        <f>$F55*Outputs_Internal!M$58/12</f>
        <v>0</v>
      </c>
      <c r="Q55" s="63">
        <f>$F55*Outputs_Internal!N$58/12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$F56*Outputs_Internal!$D$58/12</f>
        <v>0</v>
      </c>
      <c r="N56" s="63">
        <f>$F56*Outputs_Internal!K$58/12</f>
        <v>0</v>
      </c>
      <c r="O56" s="63">
        <f>$F56*Outputs_Internal!L$58/12</f>
        <v>0</v>
      </c>
      <c r="P56" s="63">
        <f>$F56*Outputs_Internal!M$58/12</f>
        <v>0</v>
      </c>
      <c r="Q56" s="63">
        <f>$F56*Outputs_Internal!N$58/12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$F57*Outputs_Internal!$D$58/12</f>
        <v>0</v>
      </c>
      <c r="N57" s="63">
        <f>$F57*Outputs_Internal!K$58/12</f>
        <v>0</v>
      </c>
      <c r="O57" s="63">
        <f>$F57*Outputs_Internal!L$58/12</f>
        <v>0</v>
      </c>
      <c r="P57" s="63">
        <f>$F57*Outputs_Internal!M$58/12</f>
        <v>0</v>
      </c>
      <c r="Q57" s="63">
        <f>$F57*Outputs_Internal!N$58/12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$F58*Outputs_Internal!$D$58/12</f>
        <v>0</v>
      </c>
      <c r="N58" s="63">
        <f>$F58*Outputs_Internal!K$58/12</f>
        <v>0</v>
      </c>
      <c r="O58" s="63">
        <f>$F58*Outputs_Internal!L$58/12</f>
        <v>0</v>
      </c>
      <c r="P58" s="63">
        <f>$F58*Outputs_Internal!M$58/12</f>
        <v>0</v>
      </c>
      <c r="Q58" s="63">
        <f>$F58*Outputs_Internal!N$58/12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$F59*Outputs_Internal!$D$58/12</f>
        <v>0</v>
      </c>
      <c r="N59" s="63">
        <f>$F59*Outputs_Internal!K$58/12</f>
        <v>0</v>
      </c>
      <c r="O59" s="63">
        <f>$F59*Outputs_Internal!L$58/12</f>
        <v>0</v>
      </c>
      <c r="P59" s="63">
        <f>$F59*Outputs_Internal!M$58/12</f>
        <v>0</v>
      </c>
      <c r="Q59" s="63">
        <f>$F59*Outputs_Internal!N$58/12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$F60*Outputs_Internal!$D$58/12</f>
        <v>0</v>
      </c>
      <c r="N60" s="63">
        <f>$F60*Outputs_Internal!K$58/12</f>
        <v>0</v>
      </c>
      <c r="O60" s="63">
        <f>$F60*Outputs_Internal!L$58/12</f>
        <v>0</v>
      </c>
      <c r="P60" s="63">
        <f>$F60*Outputs_Internal!M$58/12</f>
        <v>0</v>
      </c>
      <c r="Q60" s="63">
        <f>$F60*Outputs_Internal!N$58/12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$F61*Outputs_Internal!$D$58/12</f>
        <v>0</v>
      </c>
      <c r="N61" s="63">
        <f>$F61*Outputs_Internal!K$58/12</f>
        <v>0</v>
      </c>
      <c r="O61" s="63">
        <f>$F61*Outputs_Internal!L$58/12</f>
        <v>0</v>
      </c>
      <c r="P61" s="63">
        <f>$F61*Outputs_Internal!M$58/12</f>
        <v>0</v>
      </c>
      <c r="Q61" s="63">
        <f>$F61*Outputs_Internal!N$58/12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$F62*Outputs_Internal!$D$58/12</f>
        <v>0</v>
      </c>
      <c r="N62" s="63">
        <f>$F62*Outputs_Internal!K$58/12</f>
        <v>0</v>
      </c>
      <c r="O62" s="63">
        <f>$F62*Outputs_Internal!L$58/12</f>
        <v>0</v>
      </c>
      <c r="P62" s="63">
        <f>$F62*Outputs_Internal!M$58/12</f>
        <v>0</v>
      </c>
      <c r="Q62" s="63">
        <f>$F62*Outputs_Internal!N$58/12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$F63*Outputs_Internal!$D$58/12</f>
        <v>0</v>
      </c>
      <c r="N63" s="63">
        <f>$F63*Outputs_Internal!K$58/12</f>
        <v>0</v>
      </c>
      <c r="O63" s="63">
        <f>$F63*Outputs_Internal!L$58/12</f>
        <v>0</v>
      </c>
      <c r="P63" s="63">
        <f>$F63*Outputs_Internal!M$58/12</f>
        <v>0</v>
      </c>
      <c r="Q63" s="63">
        <f>$F63*Outputs_Internal!N$58/12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$F64*Outputs_Internal!$D$58/12</f>
        <v>0</v>
      </c>
      <c r="N64" s="63">
        <f>$F64*Outputs_Internal!K$58/12</f>
        <v>0</v>
      </c>
      <c r="O64" s="63">
        <f>$F64*Outputs_Internal!L$58/12</f>
        <v>0</v>
      </c>
      <c r="P64" s="63">
        <f>$F64*Outputs_Internal!M$58/12</f>
        <v>0</v>
      </c>
      <c r="Q64" s="63">
        <f>$F64*Outputs_Internal!N$58/12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$F65*Outputs_Internal!$D$58/12</f>
        <v>0</v>
      </c>
      <c r="N65" s="63">
        <f>$F65*Outputs_Internal!K$58/12</f>
        <v>0</v>
      </c>
      <c r="O65" s="63">
        <f>$F65*Outputs_Internal!L$58/12</f>
        <v>0</v>
      </c>
      <c r="P65" s="63">
        <f>$F65*Outputs_Internal!M$58/12</f>
        <v>0</v>
      </c>
      <c r="Q65" s="63">
        <f>$F65*Outputs_Internal!N$58/12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$F66*Outputs_Internal!$D$58/12</f>
        <v>0</v>
      </c>
      <c r="N66" s="63">
        <f>$F66*Outputs_Internal!K$58/12</f>
        <v>0</v>
      </c>
      <c r="O66" s="63">
        <f>$F66*Outputs_Internal!L$58/12</f>
        <v>0</v>
      </c>
      <c r="P66" s="63">
        <f>$F66*Outputs_Internal!M$58/12</f>
        <v>0</v>
      </c>
      <c r="Q66" s="63">
        <f>$F66*Outputs_Internal!N$58/12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$F67*Outputs_Internal!$D$58/12</f>
        <v>0</v>
      </c>
      <c r="N67" s="63">
        <f>$F67*Outputs_Internal!K$58/12</f>
        <v>0</v>
      </c>
      <c r="O67" s="63">
        <f>$F67*Outputs_Internal!L$58/12</f>
        <v>0</v>
      </c>
      <c r="P67" s="63">
        <f>$F67*Outputs_Internal!M$58/12</f>
        <v>0</v>
      </c>
      <c r="Q67" s="63">
        <f>$F67*Outputs_Internal!N$58/12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$F68*Outputs_Internal!$D$58/12</f>
        <v>0</v>
      </c>
      <c r="N68" s="63">
        <f>$F68*Outputs_Internal!K$58/12</f>
        <v>0</v>
      </c>
      <c r="O68" s="63">
        <f>$F68*Outputs_Internal!L$58/12</f>
        <v>0</v>
      </c>
      <c r="P68" s="63">
        <f>$F68*Outputs_Internal!M$58/12</f>
        <v>0</v>
      </c>
      <c r="Q68" s="63">
        <f>$F68*Outputs_Internal!N$58/12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$F69*Outputs_Internal!$D$58/12</f>
        <v>0</v>
      </c>
      <c r="N69" s="63">
        <f>$F69*Outputs_Internal!K$58/12</f>
        <v>0</v>
      </c>
      <c r="O69" s="63">
        <f>$F69*Outputs_Internal!L$58/12</f>
        <v>0</v>
      </c>
      <c r="P69" s="63">
        <f>$F69*Outputs_Internal!M$58/12</f>
        <v>0</v>
      </c>
      <c r="Q69" s="63">
        <f>$F69*Outputs_Internal!N$58/12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$F70*Outputs_Internal!$D$58/12</f>
        <v>0</v>
      </c>
      <c r="N70" s="63">
        <f>$F70*Outputs_Internal!K$58/12</f>
        <v>0</v>
      </c>
      <c r="O70" s="63">
        <f>$F70*Outputs_Internal!L$58/12</f>
        <v>0</v>
      </c>
      <c r="P70" s="63">
        <f>$F70*Outputs_Internal!M$58/12</f>
        <v>0</v>
      </c>
      <c r="Q70" s="63">
        <f>$F70*Outputs_Internal!N$58/12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$F71*Outputs_Internal!$D$58/12</f>
        <v>0</v>
      </c>
      <c r="N71" s="63">
        <f>$F71*Outputs_Internal!K$58/12</f>
        <v>0</v>
      </c>
      <c r="O71" s="63">
        <f>$F71*Outputs_Internal!L$58/12</f>
        <v>0</v>
      </c>
      <c r="P71" s="63">
        <f>$F71*Outputs_Internal!M$58/12</f>
        <v>0</v>
      </c>
      <c r="Q71" s="63">
        <f>$F71*Outputs_Internal!N$58/12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$F72*Outputs_Internal!$D$58/12</f>
        <v>0</v>
      </c>
      <c r="N72" s="63">
        <f>$F72*Outputs_Internal!K$58/12</f>
        <v>0</v>
      </c>
      <c r="O72" s="63">
        <f>$F72*Outputs_Internal!L$58/12</f>
        <v>0</v>
      </c>
      <c r="P72" s="63">
        <f>$F72*Outputs_Internal!M$58/12</f>
        <v>0</v>
      </c>
      <c r="Q72" s="63">
        <f>$F72*Outputs_Internal!N$58/12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$F73*Outputs_Internal!$D$58/12</f>
        <v>0</v>
      </c>
      <c r="N73" s="63">
        <f>$F73*Outputs_Internal!K$58/12</f>
        <v>0</v>
      </c>
      <c r="O73" s="63">
        <f>$F73*Outputs_Internal!L$58/12</f>
        <v>0</v>
      </c>
      <c r="P73" s="63">
        <f>$F73*Outputs_Internal!M$58/12</f>
        <v>0</v>
      </c>
      <c r="Q73" s="63">
        <f>$F73*Outputs_Internal!N$58/12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$F74*Outputs_Internal!$D$58/12</f>
        <v>0</v>
      </c>
      <c r="N74" s="63">
        <f>$F74*Outputs_Internal!K$58/12</f>
        <v>0</v>
      </c>
      <c r="O74" s="63">
        <f>$F74*Outputs_Internal!L$58/12</f>
        <v>0</v>
      </c>
      <c r="P74" s="63">
        <f>$F74*Outputs_Internal!M$58/12</f>
        <v>0</v>
      </c>
      <c r="Q74" s="63">
        <f>$F74*Outputs_Internal!N$58/12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$F75*Outputs_Internal!$D$58/12</f>
        <v>0</v>
      </c>
      <c r="N75" s="63">
        <f>$F75*Outputs_Internal!K$58/12</f>
        <v>0</v>
      </c>
      <c r="O75" s="63">
        <f>$F75*Outputs_Internal!L$58/12</f>
        <v>0</v>
      </c>
      <c r="P75" s="63">
        <f>$F75*Outputs_Internal!M$58/12</f>
        <v>0</v>
      </c>
      <c r="Q75" s="63">
        <f>$F75*Outputs_Internal!N$58/12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$F76*Outputs_Internal!$D$58/12</f>
        <v>0</v>
      </c>
      <c r="N76" s="63">
        <f>$F76*Outputs_Internal!K$58/12</f>
        <v>0</v>
      </c>
      <c r="O76" s="63">
        <f>$F76*Outputs_Internal!L$58/12</f>
        <v>0</v>
      </c>
      <c r="P76" s="63">
        <f>$F76*Outputs_Internal!M$58/12</f>
        <v>0</v>
      </c>
      <c r="Q76" s="63">
        <f>$F76*Outputs_Internal!N$58/12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$F77*Outputs_Internal!$D$58/12</f>
        <v>0</v>
      </c>
      <c r="N77" s="63">
        <f>$F77*Outputs_Internal!K$58/12</f>
        <v>0</v>
      </c>
      <c r="O77" s="63">
        <f>$F77*Outputs_Internal!L$58/12</f>
        <v>0</v>
      </c>
      <c r="P77" s="63">
        <f>$F77*Outputs_Internal!M$58/12</f>
        <v>0</v>
      </c>
      <c r="Q77" s="63">
        <f>$F77*Outputs_Internal!N$58/12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$F78*Outputs_Internal!$D$58/12</f>
        <v>0</v>
      </c>
      <c r="N78" s="63">
        <f>$F78*Outputs_Internal!K$58/12</f>
        <v>0</v>
      </c>
      <c r="O78" s="63">
        <f>$F78*Outputs_Internal!L$58/12</f>
        <v>0</v>
      </c>
      <c r="P78" s="63">
        <f>$F78*Outputs_Internal!M$58/12</f>
        <v>0</v>
      </c>
      <c r="Q78" s="63">
        <f>$F78*Outputs_Internal!N$58/12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$F79*Outputs_Internal!$D$58/12</f>
        <v>0</v>
      </c>
      <c r="N79" s="63">
        <f>$F79*Outputs_Internal!K$58/12</f>
        <v>0</v>
      </c>
      <c r="O79" s="63">
        <f>$F79*Outputs_Internal!L$58/12</f>
        <v>0</v>
      </c>
      <c r="P79" s="63">
        <f>$F79*Outputs_Internal!M$58/12</f>
        <v>0</v>
      </c>
      <c r="Q79" s="63">
        <f>$F79*Outputs_Internal!N$58/12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$F80*Outputs_Internal!$D$58/12</f>
        <v>0</v>
      </c>
      <c r="N80" s="63">
        <f>$F80*Outputs_Internal!K$58/12</f>
        <v>0</v>
      </c>
      <c r="O80" s="63">
        <f>$F80*Outputs_Internal!L$58/12</f>
        <v>0</v>
      </c>
      <c r="P80" s="63">
        <f>$F80*Outputs_Internal!M$58/12</f>
        <v>0</v>
      </c>
      <c r="Q80" s="63">
        <f>$F80*Outputs_Internal!N$58/12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$F81*Outputs_Internal!$D$58/12</f>
        <v>0</v>
      </c>
      <c r="N81" s="63">
        <f>$F81*Outputs_Internal!K$58/12</f>
        <v>0</v>
      </c>
      <c r="O81" s="63">
        <f>$F81*Outputs_Internal!L$58/12</f>
        <v>0</v>
      </c>
      <c r="P81" s="63">
        <f>$F81*Outputs_Internal!M$58/12</f>
        <v>0</v>
      </c>
      <c r="Q81" s="63">
        <f>$F81*Outputs_Internal!N$58/12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$F82*Outputs_Internal!$D$58/12</f>
        <v>0</v>
      </c>
      <c r="N82" s="63">
        <f>$F82*Outputs_Internal!K$58/12</f>
        <v>0</v>
      </c>
      <c r="O82" s="63">
        <f>$F82*Outputs_Internal!L$58/12</f>
        <v>0</v>
      </c>
      <c r="P82" s="63">
        <f>$F82*Outputs_Internal!M$58/12</f>
        <v>0</v>
      </c>
      <c r="Q82" s="63">
        <f>$F82*Outputs_Internal!N$58/12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$F83*Outputs_Internal!$D$58/12</f>
        <v>0</v>
      </c>
      <c r="N83" s="63">
        <f>$F83*Outputs_Internal!K$58/12</f>
        <v>0</v>
      </c>
      <c r="O83" s="63">
        <f>$F83*Outputs_Internal!L$58/12</f>
        <v>0</v>
      </c>
      <c r="P83" s="63">
        <f>$F83*Outputs_Internal!M$58/12</f>
        <v>0</v>
      </c>
      <c r="Q83" s="63">
        <f>$F83*Outputs_Internal!N$58/12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$F84*Outputs_Internal!$D$58/12</f>
        <v>0</v>
      </c>
      <c r="N84" s="63">
        <f>$F84*Outputs_Internal!K$58/12</f>
        <v>0</v>
      </c>
      <c r="O84" s="63">
        <f>$F84*Outputs_Internal!L$58/12</f>
        <v>0</v>
      </c>
      <c r="P84" s="63">
        <f>$F84*Outputs_Internal!M$58/12</f>
        <v>0</v>
      </c>
      <c r="Q84" s="63">
        <f>$F84*Outputs_Internal!N$58/12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$F85*Outputs_Internal!$D$58/12</f>
        <v>0</v>
      </c>
      <c r="N85" s="63">
        <f>$F85*Outputs_Internal!K$58/12</f>
        <v>0</v>
      </c>
      <c r="O85" s="63">
        <f>$F85*Outputs_Internal!L$58/12</f>
        <v>0</v>
      </c>
      <c r="P85" s="63">
        <f>$F85*Outputs_Internal!M$58/12</f>
        <v>0</v>
      </c>
      <c r="Q85" s="63">
        <f>$F85*Outputs_Internal!N$58/12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$F86*Outputs_Internal!$D$58/12</f>
        <v>0</v>
      </c>
      <c r="N86" s="63">
        <f>$F86*Outputs_Internal!K$58/12</f>
        <v>0</v>
      </c>
      <c r="O86" s="63">
        <f>$F86*Outputs_Internal!L$58/12</f>
        <v>0</v>
      </c>
      <c r="P86" s="63">
        <f>$F86*Outputs_Internal!M$58/12</f>
        <v>0</v>
      </c>
      <c r="Q86" s="63">
        <f>$F86*Outputs_Internal!N$58/12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$F87*Outputs_Internal!$D$58/12</f>
        <v>0</v>
      </c>
      <c r="N87" s="63">
        <f>$F87*Outputs_Internal!K$58/12</f>
        <v>0</v>
      </c>
      <c r="O87" s="63">
        <f>$F87*Outputs_Internal!L$58/12</f>
        <v>0</v>
      </c>
      <c r="P87" s="63">
        <f>$F87*Outputs_Internal!M$58/12</f>
        <v>0</v>
      </c>
      <c r="Q87" s="63">
        <f>$F87*Outputs_Internal!N$58/12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$F88*Outputs_Internal!$D$58/12</f>
        <v>0</v>
      </c>
      <c r="N88" s="63">
        <f>$F88*Outputs_Internal!K$58/12</f>
        <v>0</v>
      </c>
      <c r="O88" s="63">
        <f>$F88*Outputs_Internal!L$58/12</f>
        <v>0</v>
      </c>
      <c r="P88" s="63">
        <f>$F88*Outputs_Internal!M$58/12</f>
        <v>0</v>
      </c>
      <c r="Q88" s="63">
        <f>$F88*Outputs_Internal!N$58/12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$F89*Outputs_Internal!$D$58/12</f>
        <v>0</v>
      </c>
      <c r="N89" s="63">
        <f>$F89*Outputs_Internal!K$58/12</f>
        <v>0</v>
      </c>
      <c r="O89" s="63">
        <f>$F89*Outputs_Internal!L$58/12</f>
        <v>0</v>
      </c>
      <c r="P89" s="63">
        <f>$F89*Outputs_Internal!M$58/12</f>
        <v>0</v>
      </c>
      <c r="Q89" s="63">
        <f>$F89*Outputs_Internal!N$58/12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$F90*Outputs_Internal!$D$58/12</f>
        <v>0</v>
      </c>
      <c r="N90" s="63">
        <f>$F90*Outputs_Internal!K$58/12</f>
        <v>0</v>
      </c>
      <c r="O90" s="63">
        <f>$F90*Outputs_Internal!L$58/12</f>
        <v>0</v>
      </c>
      <c r="P90" s="63">
        <f>$F90*Outputs_Internal!M$58/12</f>
        <v>0</v>
      </c>
      <c r="Q90" s="63">
        <f>$F90*Outputs_Internal!N$58/12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$F91*Outputs_Internal!$D$58/12</f>
        <v>0</v>
      </c>
      <c r="N91" s="63">
        <f>$F91*Outputs_Internal!K$58/12</f>
        <v>0</v>
      </c>
      <c r="O91" s="63">
        <f>$F91*Outputs_Internal!L$58/12</f>
        <v>0</v>
      </c>
      <c r="P91" s="63">
        <f>$F91*Outputs_Internal!M$58/12</f>
        <v>0</v>
      </c>
      <c r="Q91" s="63">
        <f>$F91*Outputs_Internal!N$58/12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$F92*Outputs_Internal!$D$58/12</f>
        <v>0</v>
      </c>
      <c r="N92" s="63">
        <f>$F92*Outputs_Internal!K$58/12</f>
        <v>0</v>
      </c>
      <c r="O92" s="63">
        <f>$F92*Outputs_Internal!L$58/12</f>
        <v>0</v>
      </c>
      <c r="P92" s="63">
        <f>$F92*Outputs_Internal!M$58/12</f>
        <v>0</v>
      </c>
      <c r="Q92" s="63">
        <f>$F92*Outputs_Internal!N$58/12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$F93*Outputs_Internal!$D$58/12</f>
        <v>0</v>
      </c>
      <c r="N93" s="63">
        <f>$F93*Outputs_Internal!K$58/12</f>
        <v>0</v>
      </c>
      <c r="O93" s="63">
        <f>$F93*Outputs_Internal!L$58/12</f>
        <v>0</v>
      </c>
      <c r="P93" s="63">
        <f>$F93*Outputs_Internal!M$58/12</f>
        <v>0</v>
      </c>
      <c r="Q93" s="63">
        <f>$F93*Outputs_Internal!N$58/12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$F94*Outputs_Internal!$D$58/12</f>
        <v>0</v>
      </c>
      <c r="N94" s="63">
        <f>$F94*Outputs_Internal!K$58/12</f>
        <v>0</v>
      </c>
      <c r="O94" s="63">
        <f>$F94*Outputs_Internal!L$58/12</f>
        <v>0</v>
      </c>
      <c r="P94" s="63">
        <f>$F94*Outputs_Internal!M$58/12</f>
        <v>0</v>
      </c>
      <c r="Q94" s="63">
        <f>$F94*Outputs_Internal!N$58/12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IF(AND(Inputs!D6="Y",Inputs!D5="Y"), 0, IF(Inputs!D5="Y", SUM(Prices!$C$3, IF(Inputs!D$7 ="Y", Prices!$C$4, 0)), IF(Inputs!D5="N", Prices!$D$3, 0)))*Inputs!D9</f>
        <v>10000</v>
      </c>
      <c r="E4" s="1">
        <f>IF(AND(Inputs!E6="Y",Inputs!E5="Y"), 0, IF(Inputs!E5="Y", SUM(Prices!$C$3, IF(Inputs!E$7 ="Y", Prices!$C$4, 0)), IF(Inputs!E5="N", Prices!$D$3, 0)))*Inputs!E9</f>
        <v>60000</v>
      </c>
      <c r="F4" s="1">
        <f>IF(AND(Inputs!F6="Y",Inputs!F5="Y"), 0, IF(Inputs!F5="Y", SUM(Prices!$C$3, IF(Inputs!F$7 ="Y", Prices!$C$4, 0)), IF(Inputs!F5="N", Prices!$D$3, 0)))*Inputs!F9</f>
        <v>0</v>
      </c>
      <c r="G4" s="1">
        <f>IF(AND(Inputs!G6="Y",Inputs!G5="Y"), 0, IF(Inputs!G5="Y", SUM(Prices!$C$3, IF(Inputs!G$7 ="Y", Prices!$C$4, 0)), IF(Inputs!G5="N", Prices!$D$3, 0)))*Inputs!G9</f>
        <v>0</v>
      </c>
      <c r="H4" s="1">
        <f>IF(AND(Inputs!H6="Y",Inputs!H5="Y"), 0, IF(Inputs!H5="Y", SUM(Prices!$C$3, IF(Inputs!H$7 ="Y", Prices!$C$4, 0)), IF(Inputs!H5="N", Prices!$D$3, 0)))*Inputs!H9</f>
        <v>0</v>
      </c>
    </row>
    <row r="5" spans="2:15" x14ac:dyDescent="0.2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25">
      <c r="B6" s="6" t="s">
        <v>87</v>
      </c>
      <c r="D6" s="5">
        <f>IF(Inputs!D$5="N",MIN(MAX(Inputs!D$8-$K6,0),$L6-$K6),0)</f>
        <v>0</v>
      </c>
      <c r="E6" s="5">
        <f>IF(Inputs!E$5="N",MIN(MAX(Inputs!E$8-$K6,0),$L6-$K6),0)</f>
        <v>25000</v>
      </c>
      <c r="F6" s="5">
        <f>IF(Inputs!F$5="N",MIN(MAX(Inputs!F$8-$K6,0),$L6-$K6),0)</f>
        <v>0</v>
      </c>
      <c r="G6" s="5">
        <f>IF(Inputs!G$5="N",MIN(MAX(Inputs!G$8-$K6,0),$L6-$K6),0)</f>
        <v>0</v>
      </c>
      <c r="H6" s="5">
        <f>IF(Inputs!H$5="N",MIN(MAX(Inputs!H$8-$K6,0),$L6-$K6),0)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88</v>
      </c>
      <c r="D7" s="5">
        <f>IF(Inputs!D$5="N",MIN(MAX(Inputs!D$8-$K7,0),$L7-$K7),0)</f>
        <v>0</v>
      </c>
      <c r="E7" s="5">
        <f>IF(Inputs!E$5="N",MIN(MAX(Inputs!E$8-$K7,0),$L7-$K7),0)</f>
        <v>50000</v>
      </c>
      <c r="F7" s="5">
        <f>IF(Inputs!F$5="N",MIN(MAX(Inputs!F$8-$K7,0),$L7-$K7),0)</f>
        <v>0</v>
      </c>
      <c r="G7" s="5">
        <f>IF(Inputs!G$5="N",MIN(MAX(Inputs!G$8-$K7,0),$L7-$K7),0)</f>
        <v>0</v>
      </c>
      <c r="H7" s="5">
        <f>IF(Inputs!H$5="N",MIN(MAX(Inputs!H$8-$K7,0),$L7-$K7),0)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89</v>
      </c>
      <c r="D8" s="5">
        <f>IF(Inputs!D$5="N",MIN(MAX(Inputs!D$8-$K8,0),$L8-$K8),0)</f>
        <v>0</v>
      </c>
      <c r="E8" s="5">
        <f>IF(Inputs!E$5="N",MIN(MAX(Inputs!E$8-$K8,0),$L8-$K8),0)</f>
        <v>150000</v>
      </c>
      <c r="F8" s="5">
        <f>IF(Inputs!F$5="N",MIN(MAX(Inputs!F$8-$K8,0),$L8-$K8),0)</f>
        <v>0</v>
      </c>
      <c r="G8" s="5">
        <f>IF(Inputs!G$5="N",MIN(MAX(Inputs!G$8-$K8,0),$L8-$K8),0)</f>
        <v>0</v>
      </c>
      <c r="H8" s="5">
        <f>IF(Inputs!H$5="N",MIN(MAX(Inputs!H$8-$K8,0),$L8-$K8),0)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91</v>
      </c>
      <c r="D9" s="5">
        <f>IF(Inputs!D$5="N",MIN(MAX(Inputs!D$8-$K9,0),$L9-$K9),0)</f>
        <v>0</v>
      </c>
      <c r="E9" s="5">
        <f>IF(Inputs!E$5="N",MIN(MAX(Inputs!E$8-$K9,0),$L9-$K9),0)</f>
        <v>0</v>
      </c>
      <c r="F9" s="5">
        <f>IF(Inputs!F$5="N",MIN(MAX(Inputs!F$8-$K9,0),$L9-$K9),0)</f>
        <v>0</v>
      </c>
      <c r="G9" s="5">
        <f>IF(Inputs!G$5="N",MIN(MAX(Inputs!G$8-$K9,0),$L9-$K9),0)</f>
        <v>0</v>
      </c>
      <c r="H9" s="5">
        <f>IF(Inputs!H$5="N",MIN(MAX(Inputs!H$8-$K9,0),$L9-$K9),0)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95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IF(Inputs!D5="Y", Prices!$C$6, IF(Inputs!D5="N", Prices!$D$6, 0))</f>
        <v>18000</v>
      </c>
      <c r="E14" s="16">
        <f>IF(Inputs!E5="Y", Prices!$C$6, IF(Inputs!E5="N", Prices!$D$6, 0))</f>
        <v>33000</v>
      </c>
      <c r="F14" s="16">
        <f>IF(Inputs!F5="Y", Prices!$C$6, IF(Inputs!F5="N", Prices!$D$6, 0))</f>
        <v>0</v>
      </c>
      <c r="G14" s="16">
        <f>IF(Inputs!G5="Y", Prices!$C$6, IF(Inputs!G5="N", Prices!$D$6, 0))</f>
        <v>0</v>
      </c>
      <c r="H14" s="16">
        <f>IF(Inputs!H5="Y", Prices!$C$6, IF(Inputs!H5="N", Prices!$D$6, 0))</f>
        <v>0</v>
      </c>
    </row>
    <row r="15" spans="2:15" x14ac:dyDescent="0.25">
      <c r="C15" s="17" t="s">
        <v>21</v>
      </c>
      <c r="D15" s="18">
        <f xml:space="preserve"> IF(OR(Inputs!D11="Y",Inputs!D$21="Y"), Prices!$C10, 0)</f>
        <v>0</v>
      </c>
      <c r="E15" s="18">
        <f xml:space="preserve"> IF(OR(Inputs!E11="Y",Inputs!E$21="Y"), Prices!$C10, 0)</f>
        <v>0</v>
      </c>
      <c r="F15" s="18">
        <f xml:space="preserve"> IF(OR(Inputs!F11="Y",Inputs!F$21="Y"), Prices!$C10, 0)</f>
        <v>0</v>
      </c>
      <c r="G15" s="18">
        <f xml:space="preserve"> IF(OR(Inputs!G11="Y",Inputs!G$21="Y"), Prices!$C10, 0)</f>
        <v>0</v>
      </c>
      <c r="H15" s="18">
        <f xml:space="preserve"> IF(OR(Inputs!H11="Y",Inputs!H$21="Y"), Prices!$C10, 0)</f>
        <v>0</v>
      </c>
    </row>
    <row r="16" spans="2:15" x14ac:dyDescent="0.25">
      <c r="C16" s="17" t="s">
        <v>8</v>
      </c>
      <c r="D16" s="18">
        <f xml:space="preserve"> IF(OR(Inputs!D12="Y",Inputs!D$21="Y"), Prices!$C11, 0)</f>
        <v>0</v>
      </c>
      <c r="E16" s="18">
        <f xml:space="preserve"> IF(OR(Inputs!E12="Y",Inputs!E$21="Y"), Prices!$C11, 0)</f>
        <v>0</v>
      </c>
      <c r="F16" s="18">
        <f xml:space="preserve"> IF(OR(Inputs!F12="Y",Inputs!F$21="Y"), Prices!$C11, 0)</f>
        <v>0</v>
      </c>
      <c r="G16" s="18">
        <f xml:space="preserve"> IF(OR(Inputs!G12="Y",Inputs!G$21="Y"), Prices!$C11, 0)</f>
        <v>0</v>
      </c>
      <c r="H16" s="18">
        <f xml:space="preserve"> IF(OR(Inputs!H12="Y",Inputs!H$21="Y"), Prices!$C11, 0)</f>
        <v>0</v>
      </c>
    </row>
    <row r="17" spans="2:8" x14ac:dyDescent="0.25">
      <c r="C17" s="17" t="s">
        <v>22</v>
      </c>
      <c r="D17" s="18">
        <f xml:space="preserve"> IF(OR(Inputs!D13="Y",Inputs!D$21="Y"), Prices!$C12, 0)</f>
        <v>0</v>
      </c>
      <c r="E17" s="18">
        <f xml:space="preserve"> IF(OR(Inputs!E13="Y",Inputs!E$21="Y"), Prices!$C12, 0)</f>
        <v>0</v>
      </c>
      <c r="F17" s="18">
        <f xml:space="preserve"> IF(OR(Inputs!F13="Y",Inputs!F$21="Y"), Prices!$C12, 0)</f>
        <v>0</v>
      </c>
      <c r="G17" s="18">
        <f xml:space="preserve"> IF(OR(Inputs!G13="Y",Inputs!G$21="Y"), Prices!$C12, 0)</f>
        <v>0</v>
      </c>
      <c r="H17" s="18">
        <f xml:space="preserve"> IF(OR(Inputs!H13="Y",Inputs!H$21="Y"), Prices!$C12, 0)</f>
        <v>0</v>
      </c>
    </row>
    <row r="18" spans="2:8" x14ac:dyDescent="0.25">
      <c r="C18" s="17" t="s">
        <v>9</v>
      </c>
      <c r="D18" s="18">
        <f xml:space="preserve"> IF(OR(Inputs!D14="Y",Inputs!D$21="Y"), Prices!$C13, 0)</f>
        <v>0</v>
      </c>
      <c r="E18" s="18">
        <f xml:space="preserve"> IF(OR(Inputs!E14="Y",Inputs!E$21="Y"), Prices!$C13, 0)</f>
        <v>0</v>
      </c>
      <c r="F18" s="18">
        <f xml:space="preserve"> IF(OR(Inputs!F14="Y",Inputs!F$21="Y"), Prices!$C13, 0)</f>
        <v>0</v>
      </c>
      <c r="G18" s="18">
        <f xml:space="preserve"> IF(OR(Inputs!G14="Y",Inputs!G$21="Y"), Prices!$C13, 0)</f>
        <v>0</v>
      </c>
      <c r="H18" s="18">
        <f xml:space="preserve"> IF(OR(Inputs!H14="Y",Inputs!H$21="Y"), Prices!$C13, 0)</f>
        <v>0</v>
      </c>
    </row>
    <row r="19" spans="2:8" x14ac:dyDescent="0.25">
      <c r="C19" s="17" t="s">
        <v>10</v>
      </c>
      <c r="D19" s="18">
        <f xml:space="preserve"> IF(OR(Inputs!D15="Y",Inputs!D$21="Y"), Prices!$C14, 0)</f>
        <v>0</v>
      </c>
      <c r="E19" s="18">
        <f xml:space="preserve"> IF(OR(Inputs!E15="Y",Inputs!E$21="Y"), Prices!$C14, 0)</f>
        <v>0</v>
      </c>
      <c r="F19" s="18">
        <f xml:space="preserve"> IF(OR(Inputs!F15="Y",Inputs!F$21="Y"), Prices!$C14, 0)</f>
        <v>0</v>
      </c>
      <c r="G19" s="18">
        <f xml:space="preserve"> IF(OR(Inputs!G15="Y",Inputs!G$21="Y"), Prices!$C14, 0)</f>
        <v>0</v>
      </c>
      <c r="H19" s="18">
        <f xml:space="preserve"> IF(OR(Inputs!H15="Y",Inputs!H$21="Y"), Prices!$C14, 0)</f>
        <v>0</v>
      </c>
    </row>
    <row r="20" spans="2:8" x14ac:dyDescent="0.25">
      <c r="C20" s="17" t="s">
        <v>78</v>
      </c>
      <c r="D20" s="18">
        <f xml:space="preserve"> IF(OR(Inputs!D16="Y",Inputs!D$21="Y"), Prices!$C15, 0)</f>
        <v>0</v>
      </c>
      <c r="E20" s="18">
        <f xml:space="preserve"> IF(OR(Inputs!E16="Y",Inputs!E$21="Y"), Prices!$C15, 0)</f>
        <v>0</v>
      </c>
      <c r="F20" s="18">
        <f xml:space="preserve"> IF(OR(Inputs!F16="Y",Inputs!F$21="Y"), Prices!$C15, 0)</f>
        <v>0</v>
      </c>
      <c r="G20" s="18">
        <f xml:space="preserve"> IF(OR(Inputs!G16="Y",Inputs!G$21="Y"), Prices!$C15, 0)</f>
        <v>0</v>
      </c>
      <c r="H20" s="18">
        <f xml:space="preserve"> IF(OR(Inputs!H16="Y",Inputs!H$21="Y"), Prices!$C15, 0)</f>
        <v>0</v>
      </c>
    </row>
    <row r="21" spans="2:8" x14ac:dyDescent="0.25">
      <c r="C21" s="19" t="s">
        <v>11</v>
      </c>
      <c r="D21" s="20">
        <f xml:space="preserve"> IF(OR(Inputs!D17="Y",Inputs!D$22="Y",Inputs!D$23="Y"), Prices!$C16, 0)</f>
        <v>12000</v>
      </c>
      <c r="E21" s="20">
        <f xml:space="preserve"> IF(OR(Inputs!E17="Y",Inputs!E$22="Y",Inputs!E$23="Y"), Prices!$C16, 0)</f>
        <v>12000</v>
      </c>
      <c r="F21" s="20">
        <f xml:space="preserve"> IF(OR(Inputs!F17="Y",Inputs!F$22="Y",Inputs!F$23="Y"), Prices!$C16, 0)</f>
        <v>0</v>
      </c>
      <c r="G21" s="20">
        <f xml:space="preserve"> IF(OR(Inputs!G17="Y",Inputs!G$22="Y",Inputs!G$23="Y"), Prices!$C16, 0)</f>
        <v>0</v>
      </c>
      <c r="H21" s="20">
        <f xml:space="preserve"> IF(OR(Inputs!H17="Y",Inputs!H$22="Y",Inputs!H$23="Y"), Prices!$C16, 0)</f>
        <v>0</v>
      </c>
    </row>
    <row r="22" spans="2:8" x14ac:dyDescent="0.25">
      <c r="C22" s="19" t="s">
        <v>12</v>
      </c>
      <c r="D22" s="20">
        <f xml:space="preserve"> IF(OR(Inputs!D18="Y",Inputs!D$22="Y",Inputs!D$23="Y"), Prices!$C17, 0)</f>
        <v>6000</v>
      </c>
      <c r="E22" s="20">
        <f xml:space="preserve"> IF(OR(Inputs!E18="Y",Inputs!E$22="Y",Inputs!E$23="Y"), Prices!$C17, 0)</f>
        <v>6000</v>
      </c>
      <c r="F22" s="20">
        <f xml:space="preserve"> IF(OR(Inputs!F18="Y",Inputs!F$22="Y",Inputs!F$23="Y"), Prices!$C17, 0)</f>
        <v>0</v>
      </c>
      <c r="G22" s="20">
        <f xml:space="preserve"> IF(OR(Inputs!G18="Y",Inputs!G$22="Y",Inputs!G$23="Y"), Prices!$C17, 0)</f>
        <v>0</v>
      </c>
      <c r="H22" s="20">
        <f xml:space="preserve"> IF(OR(Inputs!H18="Y",Inputs!H$22="Y",Inputs!H$23="Y"), Prices!$C17, 0)</f>
        <v>0</v>
      </c>
    </row>
    <row r="23" spans="2:8" x14ac:dyDescent="0.25">
      <c r="C23" s="19" t="s">
        <v>23</v>
      </c>
      <c r="D23" s="20">
        <f>IF(Inputs!D$5="N",0, IF(OR(Inputs!D19="Y",Inputs!D$22="Y",Inputs!D$23="Y"), Prices!$C18, 0))</f>
        <v>6000</v>
      </c>
      <c r="E23" s="20">
        <f>IF(Inputs!E$5="N",0, IF(OR(Inputs!E19="Y",Inputs!E$22="Y",Inputs!E$23="Y"), Prices!$C18, 0))</f>
        <v>0</v>
      </c>
      <c r="F23" s="20">
        <f>IF(Inputs!F$5="N",0, IF(OR(Inputs!F19="Y",Inputs!F$22="Y",Inputs!F$23="Y"), Prices!$C18, 0))</f>
        <v>0</v>
      </c>
      <c r="G23" s="20">
        <f>IF(Inputs!G$5="N",0, IF(OR(Inputs!G19="Y",Inputs!G$22="Y",Inputs!G$23="Y"), Prices!$C18, 0))</f>
        <v>0</v>
      </c>
      <c r="H23" s="20">
        <f>IF(Inputs!H$5="N",0, IF(OR(Inputs!H19="Y",Inputs!H$22="Y",Inputs!H$23="Y"), Prices!$C18, 0))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IF(Inputs!D$5="Y", 0, IF(D$11 = "", "", PRODUCT(D$11, Prices!$E$6)))*D$10</f>
        <v>0</v>
      </c>
      <c r="E26" s="16">
        <f>IF(Inputs!E$5="Y", 0, IF(E$11 = "", "", PRODUCT(E$11, Prices!$E$6)))*E$10</f>
        <v>36400</v>
      </c>
      <c r="F26" s="16">
        <f>IF(Inputs!F$5="Y", 0, IF(F$11 = "", "", PRODUCT(F$11, Prices!$E$6)))*F$10</f>
        <v>0</v>
      </c>
      <c r="G26" s="16">
        <f>IF(Inputs!G$5="Y", 0, IF(G$11 = "", "", PRODUCT(G$11, Prices!$E$6)))*G$10</f>
        <v>0</v>
      </c>
      <c r="H26" s="16">
        <f>IF(Inputs!H$5="Y", 0, IF(H$11 = "", "", PRODUCT(H$11, Prices!$E$6)))*H$10</f>
        <v>0</v>
      </c>
    </row>
    <row r="27" spans="2:8" x14ac:dyDescent="0.25">
      <c r="C27" s="17" t="s">
        <v>21</v>
      </c>
      <c r="D27" s="18">
        <f>IF(OR(Inputs!D$5="Y", D$11 = 0), 0, IF(OR(Inputs!D11="Y",Inputs!D$21="Y"),PRODUCT(D$11, Prices!$E10),0))*D$10</f>
        <v>0</v>
      </c>
      <c r="E27" s="18">
        <f>IF(OR(Inputs!E$5="Y", E$11 = 0), 0, IF(OR(Inputs!E11="Y",Inputs!E$21="Y"),PRODUCT(E$11, Prices!$E10),0))*E$10</f>
        <v>0</v>
      </c>
      <c r="F27" s="18">
        <f>IF(OR(Inputs!F$5="Y", F$11 = 0), 0, IF(OR(Inputs!F11="Y",Inputs!F$21="Y"),PRODUCT(F$11, Prices!$E10),0))*F$10</f>
        <v>0</v>
      </c>
      <c r="G27" s="18">
        <f>IF(OR(Inputs!G$5="Y", G$11 = 0), 0, IF(OR(Inputs!G11="Y",Inputs!G$21="Y"),PRODUCT(G$11, Prices!$E10),0))*G$10</f>
        <v>0</v>
      </c>
      <c r="H27" s="18">
        <f>IF(OR(Inputs!H$5="Y", H$11 = 0), 0, IF(OR(Inputs!H11="Y",Inputs!H$21="Y"),PRODUCT(H$11, Prices!$E10),0))*H$10</f>
        <v>0</v>
      </c>
    </row>
    <row r="28" spans="2:8" x14ac:dyDescent="0.25">
      <c r="C28" s="17" t="s">
        <v>8</v>
      </c>
      <c r="D28" s="18">
        <f>IF(OR(Inputs!D$5="Y", D$11 = 0), 0, IF(OR(Inputs!D12="Y",Inputs!D$21="Y"),PRODUCT(D$11, Prices!$E11),0))*D$10</f>
        <v>0</v>
      </c>
      <c r="E28" s="18">
        <f>IF(OR(Inputs!E$5="Y", E$11 = 0), 0, IF(OR(Inputs!E12="Y",Inputs!E$21="Y"),PRODUCT(E$11, Prices!$E11),0))*E$10</f>
        <v>0</v>
      </c>
      <c r="F28" s="18">
        <f>IF(OR(Inputs!F$5="Y", F$11 = 0), 0, IF(OR(Inputs!F12="Y",Inputs!F$21="Y"),PRODUCT(F$11, Prices!$E11),0))*F$10</f>
        <v>0</v>
      </c>
      <c r="G28" s="18">
        <f>IF(OR(Inputs!G$5="Y", G$11 = 0), 0, IF(OR(Inputs!G12="Y",Inputs!G$21="Y"),PRODUCT(G$11, Prices!$E11),0))*G$10</f>
        <v>0</v>
      </c>
      <c r="H28" s="18">
        <f>IF(OR(Inputs!H$5="Y", H$11 = 0), 0, IF(OR(Inputs!H12="Y",Inputs!H$21="Y"),PRODUCT(H$11, Prices!$E11),0))*H$10</f>
        <v>0</v>
      </c>
    </row>
    <row r="29" spans="2:8" x14ac:dyDescent="0.25">
      <c r="C29" s="17" t="s">
        <v>22</v>
      </c>
      <c r="D29" s="18">
        <f>IF(OR(Inputs!D$5="Y", D$11 = 0), 0, IF(OR(Inputs!D13="Y",Inputs!D$21="Y"),PRODUCT(D$11, Prices!$E12),0))*D$10</f>
        <v>0</v>
      </c>
      <c r="E29" s="18">
        <f>IF(OR(Inputs!E$5="Y", E$11 = 0), 0, IF(OR(Inputs!E13="Y",Inputs!E$21="Y"),PRODUCT(E$11, Prices!$E12),0))*E$10</f>
        <v>0</v>
      </c>
      <c r="F29" s="18">
        <f>IF(OR(Inputs!F$5="Y", F$11 = 0), 0, IF(OR(Inputs!F13="Y",Inputs!F$21="Y"),PRODUCT(F$11, Prices!$E12),0))*F$10</f>
        <v>0</v>
      </c>
      <c r="G29" s="18">
        <f>IF(OR(Inputs!G$5="Y", G$11 = 0), 0, IF(OR(Inputs!G13="Y",Inputs!G$21="Y"),PRODUCT(G$11, Prices!$E12),0))*G$10</f>
        <v>0</v>
      </c>
      <c r="H29" s="18">
        <f>IF(OR(Inputs!H$5="Y", H$11 = 0), 0, IF(OR(Inputs!H13="Y",Inputs!H$21="Y"),PRODUCT(H$11, Prices!$E12),0))*H$10</f>
        <v>0</v>
      </c>
    </row>
    <row r="30" spans="2:8" x14ac:dyDescent="0.25">
      <c r="C30" s="17" t="s">
        <v>9</v>
      </c>
      <c r="D30" s="18">
        <f>IF(OR(Inputs!D$5="Y", D$11 = 0), 0, IF(OR(Inputs!D14="Y",Inputs!D$21="Y"),PRODUCT(D$11, Prices!$E13),0))*D$10</f>
        <v>0</v>
      </c>
      <c r="E30" s="18">
        <f>IF(OR(Inputs!E$5="Y", E$11 = 0), 0, IF(OR(Inputs!E14="Y",Inputs!E$21="Y"),PRODUCT(E$11, Prices!$E13),0))*E$10</f>
        <v>0</v>
      </c>
      <c r="F30" s="18">
        <f>IF(OR(Inputs!F$5="Y", F$11 = 0), 0, IF(OR(Inputs!F14="Y",Inputs!F$21="Y"),PRODUCT(F$11, Prices!$E13),0))*F$10</f>
        <v>0</v>
      </c>
      <c r="G30" s="18">
        <f>IF(OR(Inputs!G$5="Y", G$11 = 0), 0, IF(OR(Inputs!G14="Y",Inputs!G$21="Y"),PRODUCT(G$11, Prices!$E13),0))*G$10</f>
        <v>0</v>
      </c>
      <c r="H30" s="18">
        <f>IF(OR(Inputs!H$5="Y", H$11 = 0), 0, IF(OR(Inputs!H14="Y",Inputs!H$21="Y"),PRODUCT(H$11, Prices!$E13),0))*H$10</f>
        <v>0</v>
      </c>
    </row>
    <row r="31" spans="2:8" x14ac:dyDescent="0.25">
      <c r="C31" s="17" t="s">
        <v>10</v>
      </c>
      <c r="D31" s="18">
        <f>IF(OR(Inputs!D$5="Y", D$11 = 0), 0, IF(OR(Inputs!D15="Y",Inputs!D$21="Y"),PRODUCT(D$11, Prices!$E14),0))*D$10</f>
        <v>0</v>
      </c>
      <c r="E31" s="18">
        <f>IF(OR(Inputs!E$5="Y", E$11 = 0), 0, IF(OR(Inputs!E15="Y",Inputs!E$21="Y"),PRODUCT(E$11, Prices!$E14),0))*E$10</f>
        <v>0</v>
      </c>
      <c r="F31" s="18">
        <f>IF(OR(Inputs!F$5="Y", F$11 = 0), 0, IF(OR(Inputs!F15="Y",Inputs!F$21="Y"),PRODUCT(F$11, Prices!$E14),0))*F$10</f>
        <v>0</v>
      </c>
      <c r="G31" s="18">
        <f>IF(OR(Inputs!G$5="Y", G$11 = 0), 0, IF(OR(Inputs!G15="Y",Inputs!G$21="Y"),PRODUCT(G$11, Prices!$E14),0))*G$10</f>
        <v>0</v>
      </c>
      <c r="H31" s="18">
        <f>IF(OR(Inputs!H$5="Y", H$11 = 0), 0, IF(OR(Inputs!H15="Y",Inputs!H$21="Y"),PRODUCT(H$11, Prices!$E14),0))*H$10</f>
        <v>0</v>
      </c>
    </row>
    <row r="32" spans="2:8" x14ac:dyDescent="0.25">
      <c r="C32" s="17" t="s">
        <v>78</v>
      </c>
      <c r="D32" s="18">
        <f>IF(OR(Inputs!D$5="Y", D$11 = 0), 0, IF(OR(Inputs!D16="Y",Inputs!D$21="Y"),PRODUCT(D$11, Prices!$E15),0))*D$10</f>
        <v>0</v>
      </c>
      <c r="E32" s="18">
        <f>IF(OR(Inputs!E$5="Y", E$11 = 0), 0, IF(OR(Inputs!E16="Y",Inputs!E$21="Y"),PRODUCT(E$11, Prices!$E15),0))*E$10</f>
        <v>0</v>
      </c>
      <c r="F32" s="18">
        <f>IF(OR(Inputs!F$5="Y", F$11 = 0), 0, IF(OR(Inputs!F16="Y",Inputs!F$21="Y"),PRODUCT(F$11, Prices!$E15),0))*F$10</f>
        <v>0</v>
      </c>
      <c r="G32" s="18">
        <f>IF(OR(Inputs!G$5="Y", G$11 = 0), 0, IF(OR(Inputs!G16="Y",Inputs!G$21="Y"),PRODUCT(G$11, Prices!$E15),0))*G$10</f>
        <v>0</v>
      </c>
      <c r="H32" s="18">
        <f>IF(OR(Inputs!H$5="Y", H$11 = 0), 0, IF(OR(Inputs!H16="Y",Inputs!H$21="Y"),PRODUCT(H$11, Prices!$E15),0))*H$10</f>
        <v>0</v>
      </c>
    </row>
    <row r="33" spans="2:8" x14ac:dyDescent="0.25">
      <c r="C33" s="19" t="s">
        <v>11</v>
      </c>
      <c r="D33" s="20">
        <f>IF(OR(Inputs!D$5="Y", D$11 = 0), 0, IF(OR(Inputs!D17="Y",Inputs!D$22="Y",Inputs!D$23="Y"),PRODUCT(D$11, Prices!$E16),0))*D$10</f>
        <v>0</v>
      </c>
      <c r="E33" s="20">
        <f>IF(OR(Inputs!E$5="Y", E$11 = 0), 0, IF(OR(Inputs!E17="Y",Inputs!E$22="Y",Inputs!E$23="Y"),PRODUCT(E$11, Prices!$E16),0))*E$10</f>
        <v>22750</v>
      </c>
      <c r="F33" s="20">
        <f>IF(OR(Inputs!F$5="Y", F$11 = 0), 0, IF(OR(Inputs!F17="Y",Inputs!F$22="Y",Inputs!F$23="Y"),PRODUCT(F$11, Prices!$E16),0))*F$10</f>
        <v>0</v>
      </c>
      <c r="G33" s="20">
        <f>IF(OR(Inputs!G$5="Y", G$11 = 0), 0, IF(OR(Inputs!G17="Y",Inputs!G$22="Y",Inputs!G$23="Y"),PRODUCT(G$11, Prices!$E16),0))*G$10</f>
        <v>0</v>
      </c>
      <c r="H33" s="20">
        <f>IF(OR(Inputs!H$5="Y", H$11 = 0), 0, IF(OR(Inputs!H17="Y",Inputs!H$22="Y",Inputs!H$23="Y"),PRODUCT(H$11, Prices!$E16),0))*H$10</f>
        <v>0</v>
      </c>
    </row>
    <row r="34" spans="2:8" x14ac:dyDescent="0.25">
      <c r="C34" s="19" t="s">
        <v>12</v>
      </c>
      <c r="D34" s="20">
        <f>IF(OR(Inputs!D$5="Y", D$11 = 0), 0, IF(OR(Inputs!D18="Y",Inputs!D$22="Y",Inputs!D$23="Y"),PRODUCT(D$11, Prices!$E17),0))*D$10</f>
        <v>0</v>
      </c>
      <c r="E34" s="20">
        <f>IF(OR(Inputs!E$5="Y", E$11 = 0), 0, IF(OR(Inputs!E18="Y",Inputs!E$22="Y",Inputs!E$23="Y"),PRODUCT(E$11, Prices!$E17),0))*E$10</f>
        <v>9100</v>
      </c>
      <c r="F34" s="20">
        <f>IF(OR(Inputs!F$5="Y", F$11 = 0), 0, IF(OR(Inputs!F18="Y",Inputs!F$22="Y",Inputs!F$23="Y"),PRODUCT(F$11, Prices!$E17),0))*F$10</f>
        <v>0</v>
      </c>
      <c r="G34" s="20">
        <f>IF(OR(Inputs!G$5="Y", G$11 = 0), 0, IF(OR(Inputs!G18="Y",Inputs!G$22="Y",Inputs!G$23="Y"),PRODUCT(G$11, Prices!$E17),0))*G$10</f>
        <v>0</v>
      </c>
      <c r="H34" s="20">
        <f>IF(OR(Inputs!H$5="Y", H$11 = 0), 0, IF(OR(Inputs!H18="Y",Inputs!H$22="Y",Inputs!H$23="Y"),PRODUCT(H$11,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IF(Inputs!D5="Y", Prices!$C$6, IF(Inputs!D5="N", Prices!$D$6, 0))</f>
        <v>18000</v>
      </c>
      <c r="E38" s="16">
        <f>IF(Inputs!E5="Y", Prices!$C$6, IF(Inputs!E5="N", Prices!$D$6, 0))</f>
        <v>33000</v>
      </c>
      <c r="F38" s="16">
        <f>IF(Inputs!F5="Y", Prices!$C$6, IF(Inputs!F5="N", Prices!$D$6, 0))</f>
        <v>0</v>
      </c>
      <c r="G38" s="16">
        <f>IF(Inputs!G5="Y", Prices!$C$6, IF(Inputs!G5="N", Prices!$D$6, 0))</f>
        <v>0</v>
      </c>
      <c r="H38" s="16">
        <f>IF(Inputs!H5="Y", Prices!$C$6, IF(Inputs!H5="N", Prices!$D$6, 0))</f>
        <v>0</v>
      </c>
    </row>
    <row r="39" spans="2:8" x14ac:dyDescent="0.25">
      <c r="C39" s="17" t="s">
        <v>21</v>
      </c>
      <c r="D39" s="18">
        <f>IF(AND(Inputs!D11="Y",Inputs!D$21="N"),Prices!$C10,0)</f>
        <v>0</v>
      </c>
      <c r="E39" s="18">
        <f>IF(AND(Inputs!E11="Y",Inputs!E$21="N"),Prices!$C10,0)</f>
        <v>0</v>
      </c>
      <c r="F39" s="18">
        <f>IF(AND(Inputs!F11="Y",Inputs!F$21="N"),Prices!$C10,0)</f>
        <v>0</v>
      </c>
      <c r="G39" s="18">
        <f>IF(AND(Inputs!G11="Y",Inputs!G$21="N"),Prices!$C10,0)</f>
        <v>0</v>
      </c>
      <c r="H39" s="18">
        <f>IF(AND(Inputs!H11="Y",Inputs!H$21="N"),Prices!$C10,0)</f>
        <v>0</v>
      </c>
    </row>
    <row r="40" spans="2:8" x14ac:dyDescent="0.25">
      <c r="C40" s="17" t="s">
        <v>8</v>
      </c>
      <c r="D40" s="18">
        <f>IF(AND(Inputs!D12="Y",Inputs!D$21="N"),Prices!$C11,0)</f>
        <v>0</v>
      </c>
      <c r="E40" s="18">
        <f>IF(AND(Inputs!E12="Y",Inputs!E$21="N"),Prices!$C11,0)</f>
        <v>0</v>
      </c>
      <c r="F40" s="18">
        <f>IF(AND(Inputs!F12="Y",Inputs!F$21="N"),Prices!$C11,0)</f>
        <v>0</v>
      </c>
      <c r="G40" s="18">
        <f>IF(AND(Inputs!G12="Y",Inputs!G$21="N"),Prices!$C11,0)</f>
        <v>0</v>
      </c>
      <c r="H40" s="18">
        <f>IF(AND(Inputs!H12="Y",Inputs!H$21="N"),Prices!$C11,0)</f>
        <v>0</v>
      </c>
    </row>
    <row r="41" spans="2:8" x14ac:dyDescent="0.25">
      <c r="C41" s="17" t="s">
        <v>22</v>
      </c>
      <c r="D41" s="18">
        <f>IF(AND(Inputs!D13="Y",Inputs!D$21="N"),Prices!$C12,0)</f>
        <v>0</v>
      </c>
      <c r="E41" s="18">
        <f>IF(AND(Inputs!E13="Y",Inputs!E$21="N"),Prices!$C12,0)</f>
        <v>0</v>
      </c>
      <c r="F41" s="18">
        <f>IF(AND(Inputs!F13="Y",Inputs!F$21="N"),Prices!$C12,0)</f>
        <v>0</v>
      </c>
      <c r="G41" s="18">
        <f>IF(AND(Inputs!G13="Y",Inputs!G$21="N"),Prices!$C12,0)</f>
        <v>0</v>
      </c>
      <c r="H41" s="18">
        <f>IF(AND(Inputs!H13="Y",Inputs!H$21="N"),Prices!$C12,0)</f>
        <v>0</v>
      </c>
    </row>
    <row r="42" spans="2:8" x14ac:dyDescent="0.25">
      <c r="C42" s="17" t="s">
        <v>9</v>
      </c>
      <c r="D42" s="18">
        <f>IF(AND(Inputs!D14="Y",Inputs!D$21="N"),Prices!$C13,0)</f>
        <v>0</v>
      </c>
      <c r="E42" s="18">
        <f>IF(AND(Inputs!E14="Y",Inputs!E$21="N"),Prices!$C13,0)</f>
        <v>0</v>
      </c>
      <c r="F42" s="18">
        <f>IF(AND(Inputs!F14="Y",Inputs!F$21="N"),Prices!$C13,0)</f>
        <v>0</v>
      </c>
      <c r="G42" s="18">
        <f>IF(AND(Inputs!G14="Y",Inputs!G$21="N"),Prices!$C13,0)</f>
        <v>0</v>
      </c>
      <c r="H42" s="18">
        <f>IF(AND(Inputs!H14="Y",Inputs!H$21="N"),Prices!$C13,0)</f>
        <v>0</v>
      </c>
    </row>
    <row r="43" spans="2:8" x14ac:dyDescent="0.25">
      <c r="C43" s="17" t="s">
        <v>10</v>
      </c>
      <c r="D43" s="18">
        <f>IF(AND(Inputs!D15="Y",Inputs!D$21="N"),Prices!$C14,0)</f>
        <v>0</v>
      </c>
      <c r="E43" s="18">
        <f>IF(AND(Inputs!E15="Y",Inputs!E$21="N"),Prices!$C14,0)</f>
        <v>0</v>
      </c>
      <c r="F43" s="18">
        <f>IF(AND(Inputs!F15="Y",Inputs!F$21="N"),Prices!$C14,0)</f>
        <v>0</v>
      </c>
      <c r="G43" s="18">
        <f>IF(AND(Inputs!G15="Y",Inputs!G$21="N"),Prices!$C14,0)</f>
        <v>0</v>
      </c>
      <c r="H43" s="18">
        <f>IF(AND(Inputs!H15="Y",Inputs!H$21="N"),Prices!$C14,0)</f>
        <v>0</v>
      </c>
    </row>
    <row r="44" spans="2:8" x14ac:dyDescent="0.25">
      <c r="C44" s="17" t="s">
        <v>78</v>
      </c>
      <c r="D44" s="18">
        <f>IF(AND(Inputs!D16="Y",Inputs!D$21="N"),Prices!$C15,0)</f>
        <v>0</v>
      </c>
      <c r="E44" s="18">
        <f>IF(AND(Inputs!E16="Y",Inputs!E$21="N"),Prices!$C15,0)</f>
        <v>0</v>
      </c>
      <c r="F44" s="18">
        <f>IF(AND(Inputs!F16="Y",Inputs!F$21="N"),Prices!$C15,0)</f>
        <v>0</v>
      </c>
      <c r="G44" s="18">
        <f>IF(AND(Inputs!G16="Y",Inputs!G$21="N"),Prices!$C15,0)</f>
        <v>0</v>
      </c>
      <c r="H44" s="18">
        <f>IF(AND(Inputs!H16="Y",Inputs!H$21="N"),Prices!$C15,0)</f>
        <v>0</v>
      </c>
    </row>
    <row r="45" spans="2:8" x14ac:dyDescent="0.25">
      <c r="C45" s="19" t="s">
        <v>11</v>
      </c>
      <c r="D45" s="20">
        <f>IF(AND(Inputs!D17="Y",Inputs!D$22="N",Inputs!D$23="N"),Prices!$C16,0)</f>
        <v>0</v>
      </c>
      <c r="E45" s="20">
        <f>IF(AND(Inputs!E17="Y",Inputs!E$22="N",Inputs!E$23="N"),Prices!$C16,0)</f>
        <v>0</v>
      </c>
      <c r="F45" s="20">
        <f>IF(AND(Inputs!F17="Y",Inputs!F$22="N",Inputs!F$23="N"),Prices!$C16,0)</f>
        <v>0</v>
      </c>
      <c r="G45" s="20">
        <f>IF(AND(Inputs!G17="Y",Inputs!G$22="N",Inputs!G$23="N"),Prices!$C16,0)</f>
        <v>0</v>
      </c>
      <c r="H45" s="20">
        <f>IF(AND(Inputs!H17="Y",Inputs!H$22="N",Inputs!H$23="N"),Prices!$C16,0)</f>
        <v>0</v>
      </c>
    </row>
    <row r="46" spans="2:8" x14ac:dyDescent="0.25">
      <c r="C46" s="19" t="s">
        <v>12</v>
      </c>
      <c r="D46" s="20">
        <f>IF(AND(Inputs!D18="Y",Inputs!D$22="N",Inputs!D$23="N"),Prices!$C17,0)</f>
        <v>0</v>
      </c>
      <c r="E46" s="20">
        <f>IF(AND(Inputs!E18="Y",Inputs!E$22="N",Inputs!E$23="N"),Prices!$C17,0)</f>
        <v>0</v>
      </c>
      <c r="F46" s="20">
        <f>IF(AND(Inputs!F18="Y",Inputs!F$22="N",Inputs!F$23="N"),Prices!$C17,0)</f>
        <v>0</v>
      </c>
      <c r="G46" s="20">
        <f>IF(AND(Inputs!G18="Y",Inputs!G$22="N",Inputs!G$23="N"),Prices!$C17,0)</f>
        <v>0</v>
      </c>
      <c r="H46" s="20">
        <f>IF(AND(Inputs!H18="Y",Inputs!H$22="N",Inputs!H$23="N"),Prices!$C17,0)</f>
        <v>0</v>
      </c>
    </row>
    <row r="47" spans="2:8" x14ac:dyDescent="0.25">
      <c r="C47" s="19" t="s">
        <v>23</v>
      </c>
      <c r="D47" s="20">
        <f>IF(Inputs!D$5="N",0,IF(AND(Inputs!D19="Y",Inputs!D$22="N",Inputs!D$23="N"),Prices!$C18,0))</f>
        <v>0</v>
      </c>
      <c r="E47" s="20">
        <f>IF(Inputs!E$5="N",0,IF(AND(Inputs!E19="Y",Inputs!E$22="N",Inputs!E$23="N"),Prices!$C18,0))</f>
        <v>0</v>
      </c>
      <c r="F47" s="20">
        <f>IF(Inputs!F$5="N",0,IF(AND(Inputs!F19="Y",Inputs!F$22="N",Inputs!F$23="N"),Prices!$C18,0))</f>
        <v>0</v>
      </c>
      <c r="G47" s="20">
        <f>IF(Inputs!G$5="N",0,IF(AND(Inputs!G19="Y",Inputs!G$22="N",Inputs!G$23="N"),Prices!$C18,0))</f>
        <v>0</v>
      </c>
      <c r="H47" s="20">
        <f>IF(Inputs!H$5="N",0,IF(AND(Inputs!H19="Y",Inputs!H$22="N",Inputs!H$23="N"),Prices!$C18,0))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IF(Inputs!D$5="Y", 0, IF(D$11 = "", "", PRODUCT(D$11, Prices!$E$6)*D$10))</f>
        <v>0</v>
      </c>
      <c r="E50" s="16">
        <f>IF(Inputs!E$5="Y", 0, IF(E$11 = "", "", PRODUCT(E$11, Prices!$E$6)*E$10))</f>
        <v>36400</v>
      </c>
      <c r="F50" s="16">
        <f>IF(Inputs!F$5="Y", 0, IF(F$11 = "", "", PRODUCT(F$11, Prices!$E$6)*F$10))</f>
        <v>0</v>
      </c>
      <c r="G50" s="16">
        <f>IF(Inputs!G$5="Y", 0, IF(G$11 = "", "", PRODUCT(G$11, Prices!$E$6)*G$10))</f>
        <v>0</v>
      </c>
      <c r="H50" s="16">
        <f>IF(Inputs!H$5="Y", 0, IF(H$11 = "", "", PRODUCT(H$11, Prices!$E$6)*H$10))</f>
        <v>0</v>
      </c>
    </row>
    <row r="51" spans="2:8" x14ac:dyDescent="0.25">
      <c r="C51" s="17" t="s">
        <v>21</v>
      </c>
      <c r="D51" s="18">
        <f>IF(OR(Inputs!D$5="Y", D$11 = 0), 0, IF(AND(Inputs!D11="Y",Inputs!D$21="N"),PRODUCT(D$11, Prices!$E10)*D$10,0))</f>
        <v>0</v>
      </c>
      <c r="E51" s="18">
        <f>IF(OR(Inputs!E$5="Y", E$11 = 0), 0, IF(AND(Inputs!E11="Y",Inputs!E$21="N"),PRODUCT(E$11, Prices!$E10)*E$10,0))</f>
        <v>0</v>
      </c>
      <c r="F51" s="18">
        <f>IF(OR(Inputs!F$5="Y", F$11 = 0), 0, IF(AND(Inputs!F11="Y",Inputs!F$21="N"),PRODUCT(F$11, Prices!$E10)*F$10,0))</f>
        <v>0</v>
      </c>
      <c r="G51" s="18">
        <f>IF(OR(Inputs!G$5="Y", G$11 = 0), 0, IF(AND(Inputs!G11="Y",Inputs!G$21="N"),PRODUCT(G$11, Prices!$E10)*G$10,0))</f>
        <v>0</v>
      </c>
      <c r="H51" s="18">
        <f>IF(OR(Inputs!H$5="Y", H$11 = 0), 0, IF(AND(Inputs!H11="Y",Inputs!H$21="N"),PRODUCT(H$11, Prices!$E10)*H$10,0))</f>
        <v>0</v>
      </c>
    </row>
    <row r="52" spans="2:8" x14ac:dyDescent="0.25">
      <c r="C52" s="17" t="s">
        <v>8</v>
      </c>
      <c r="D52" s="18">
        <f>IF(OR(Inputs!D$5="Y", D$11 = 0), 0, IF(AND(Inputs!D12="Y",Inputs!D$21="N"),PRODUCT(D$11, Prices!$E11)*D$10,0))</f>
        <v>0</v>
      </c>
      <c r="E52" s="18">
        <f>IF(OR(Inputs!E$5="Y", E$11 = 0), 0, IF(AND(Inputs!E12="Y",Inputs!E$21="N"),PRODUCT(E$11, Prices!$E11)*E$10,0))</f>
        <v>0</v>
      </c>
      <c r="F52" s="18">
        <f>IF(OR(Inputs!F$5="Y", F$11 = 0), 0, IF(AND(Inputs!F12="Y",Inputs!F$21="N"),PRODUCT(F$11, Prices!$E11)*F$10,0))</f>
        <v>0</v>
      </c>
      <c r="G52" s="18">
        <f>IF(OR(Inputs!G$5="Y", G$11 = 0), 0, IF(AND(Inputs!G12="Y",Inputs!G$21="N"),PRODUCT(G$11, Prices!$E11)*G$10,0))</f>
        <v>0</v>
      </c>
      <c r="H52" s="18">
        <f>IF(OR(Inputs!H$5="Y", H$11 = 0), 0, IF(AND(Inputs!H12="Y",Inputs!H$21="N"),PRODUCT(H$11, Prices!$E11)*H$10,0))</f>
        <v>0</v>
      </c>
    </row>
    <row r="53" spans="2:8" x14ac:dyDescent="0.25">
      <c r="C53" s="17" t="s">
        <v>22</v>
      </c>
      <c r="D53" s="18">
        <f>IF(OR(Inputs!D$5="Y", D$11 = 0), 0, IF(AND(Inputs!D13="Y",Inputs!D$21="N"),PRODUCT(D$11, Prices!$E12)*D$10,0))</f>
        <v>0</v>
      </c>
      <c r="E53" s="18">
        <f>IF(OR(Inputs!E$5="Y", E$11 = 0), 0, IF(AND(Inputs!E13="Y",Inputs!E$21="N"),PRODUCT(E$11, Prices!$E12)*E$10,0))</f>
        <v>0</v>
      </c>
      <c r="F53" s="18">
        <f>IF(OR(Inputs!F$5="Y", F$11 = 0), 0, IF(AND(Inputs!F13="Y",Inputs!F$21="N"),PRODUCT(F$11, Prices!$E12)*F$10,0))</f>
        <v>0</v>
      </c>
      <c r="G53" s="18">
        <f>IF(OR(Inputs!G$5="Y", G$11 = 0), 0, IF(AND(Inputs!G13="Y",Inputs!G$21="N"),PRODUCT(G$11, Prices!$E12)*G$10,0))</f>
        <v>0</v>
      </c>
      <c r="H53" s="18">
        <f>IF(OR(Inputs!H$5="Y", H$11 = 0), 0, IF(AND(Inputs!H13="Y",Inputs!H$21="N"),PRODUCT(H$11, Prices!$E12)*H$10,0))</f>
        <v>0</v>
      </c>
    </row>
    <row r="54" spans="2:8" x14ac:dyDescent="0.25">
      <c r="C54" s="17" t="s">
        <v>9</v>
      </c>
      <c r="D54" s="18">
        <f>IF(OR(Inputs!D$5="Y", D$11 = 0), 0, IF(AND(Inputs!D14="Y",Inputs!D$21="N"),PRODUCT(D$11, Prices!$E13)*D$10,0))</f>
        <v>0</v>
      </c>
      <c r="E54" s="18">
        <f>IF(OR(Inputs!E$5="Y", E$11 = 0), 0, IF(AND(Inputs!E14="Y",Inputs!E$21="N"),PRODUCT(E$11, Prices!$E13)*E$10,0))</f>
        <v>0</v>
      </c>
      <c r="F54" s="18">
        <f>IF(OR(Inputs!F$5="Y", F$11 = 0), 0, IF(AND(Inputs!F14="Y",Inputs!F$21="N"),PRODUCT(F$11, Prices!$E13)*F$10,0))</f>
        <v>0</v>
      </c>
      <c r="G54" s="18">
        <f>IF(OR(Inputs!G$5="Y", G$11 = 0), 0, IF(AND(Inputs!G14="Y",Inputs!G$21="N"),PRODUCT(G$11, Prices!$E13)*G$10,0))</f>
        <v>0</v>
      </c>
      <c r="H54" s="18">
        <f>IF(OR(Inputs!H$5="Y", H$11 = 0), 0, IF(AND(Inputs!H14="Y",Inputs!H$21="N"),PRODUCT(H$11, Prices!$E13)*H$10,0))</f>
        <v>0</v>
      </c>
    </row>
    <row r="55" spans="2:8" x14ac:dyDescent="0.25">
      <c r="C55" s="17" t="s">
        <v>10</v>
      </c>
      <c r="D55" s="18">
        <f>IF(OR(Inputs!D$5="Y", D$11 = 0), 0, IF(AND(Inputs!D15="Y",Inputs!D$21="N"),PRODUCT(D$11, Prices!$E14)*D$10,0))</f>
        <v>0</v>
      </c>
      <c r="E55" s="18">
        <f>IF(OR(Inputs!E$5="Y", E$11 = 0), 0, IF(AND(Inputs!E15="Y",Inputs!E$21="N"),PRODUCT(E$11, Prices!$E14)*E$10,0))</f>
        <v>0</v>
      </c>
      <c r="F55" s="18">
        <f>IF(OR(Inputs!F$5="Y", F$11 = 0), 0, IF(AND(Inputs!F15="Y",Inputs!F$21="N"),PRODUCT(F$11, Prices!$E14)*F$10,0))</f>
        <v>0</v>
      </c>
      <c r="G55" s="18">
        <f>IF(OR(Inputs!G$5="Y", G$11 = 0), 0, IF(AND(Inputs!G15="Y",Inputs!G$21="N"),PRODUCT(G$11, Prices!$E14)*G$10,0))</f>
        <v>0</v>
      </c>
      <c r="H55" s="18">
        <f>IF(OR(Inputs!H$5="Y", H$11 = 0), 0, IF(AND(Inputs!H15="Y",Inputs!H$21="N"),PRODUCT(H$11, Prices!$E14)*H$10,0))</f>
        <v>0</v>
      </c>
    </row>
    <row r="56" spans="2:8" x14ac:dyDescent="0.25">
      <c r="C56" s="17" t="s">
        <v>78</v>
      </c>
      <c r="D56" s="18">
        <f>IF(OR(Inputs!D$5="Y", D$11 = 0), 0, IF(AND(Inputs!D16="Y",Inputs!D$21="N"),PRODUCT(D$11, Prices!$E15)*D$10,0))</f>
        <v>0</v>
      </c>
      <c r="E56" s="18">
        <f>IF(OR(Inputs!E$5="Y", E$11 = 0), 0, IF(AND(Inputs!E16="Y",Inputs!E$21="N"),PRODUCT(E$11, Prices!$E15)*E$10,0))</f>
        <v>0</v>
      </c>
      <c r="F56" s="18">
        <f>IF(OR(Inputs!F$5="Y", F$11 = 0), 0, IF(AND(Inputs!F16="Y",Inputs!F$21="N"),PRODUCT(F$11, Prices!$E15)*F$10,0))</f>
        <v>0</v>
      </c>
      <c r="G56" s="18">
        <f>IF(OR(Inputs!G$5="Y", G$11 = 0), 0, IF(AND(Inputs!G16="Y",Inputs!G$21="N"),PRODUCT(G$11, Prices!$E15)*G$10,0))</f>
        <v>0</v>
      </c>
      <c r="H56" s="18">
        <f>IF(OR(Inputs!H$5="Y", H$11 = 0), 0, IF(AND(Inputs!H16="Y",Inputs!H$21="N"),PRODUCT(H$11, Prices!$E15)*H$10,0))</f>
        <v>0</v>
      </c>
    </row>
    <row r="57" spans="2:8" x14ac:dyDescent="0.25">
      <c r="C57" s="19" t="s">
        <v>11</v>
      </c>
      <c r="D57" s="20">
        <f>IF(OR(Inputs!D$5="Y", D$11 = 0), 0, IF(AND(Inputs!D17="Y",Inputs!D$22="N",Inputs!D$23="N"),PRODUCT(D$11, Prices!$E16)*D$10,0))</f>
        <v>0</v>
      </c>
      <c r="E57" s="20">
        <f>IF(OR(Inputs!E$5="Y", E$11 = 0), 0, IF(AND(Inputs!E17="Y",Inputs!E$22="N",Inputs!E$23="N"),PRODUCT(E$11, Prices!$E16)*E$10,0))</f>
        <v>0</v>
      </c>
      <c r="F57" s="20">
        <f>IF(OR(Inputs!F$5="Y", F$11 = 0), 0, IF(AND(Inputs!F17="Y",Inputs!F$22="N",Inputs!F$23="N"),PRODUCT(F$11, Prices!$E16)*F$10,0))</f>
        <v>0</v>
      </c>
      <c r="G57" s="20">
        <f>IF(OR(Inputs!G$5="Y", G$11 = 0), 0, IF(AND(Inputs!G17="Y",Inputs!G$22="N",Inputs!G$23="N"),PRODUCT(G$11, Prices!$E16)*G$10,0))</f>
        <v>0</v>
      </c>
      <c r="H57" s="20">
        <f>IF(OR(Inputs!H$5="Y", H$11 = 0), 0, IF(AND(Inputs!H17="Y",Inputs!H$22="N",Inputs!H$23="N"),PRODUCT(H$11, Prices!$E16)*H$10,0))</f>
        <v>0</v>
      </c>
    </row>
    <row r="58" spans="2:8" x14ac:dyDescent="0.25">
      <c r="C58" s="19" t="s">
        <v>12</v>
      </c>
      <c r="D58" s="20">
        <f>IF(OR(Inputs!D$5="Y", D$11 = 0), 0, IF(AND(Inputs!D18="Y",Inputs!D$22="N",Inputs!D$23="N"),PRODUCT(D$11, Prices!$E17)*D$10,0))</f>
        <v>0</v>
      </c>
      <c r="E58" s="20">
        <f>IF(OR(Inputs!E$5="Y", E$11 = 0), 0, IF(AND(Inputs!E18="Y",Inputs!E$22="N",Inputs!E$23="N"),PRODUCT(E$11, Prices!$E17)*E$10,0))</f>
        <v>0</v>
      </c>
      <c r="F58" s="20">
        <f>IF(OR(Inputs!F$5="Y", F$11 = 0), 0, IF(AND(Inputs!F18="Y",Inputs!F$22="N",Inputs!F$23="N"),PRODUCT(F$11, Prices!$E17)*F$10,0))</f>
        <v>0</v>
      </c>
      <c r="G58" s="20">
        <f>IF(OR(Inputs!G$5="Y", G$11 = 0), 0, IF(AND(Inputs!G18="Y",Inputs!G$22="N",Inputs!G$23="N"),PRODUCT(G$11, Prices!$E17)*G$10,0))</f>
        <v>0</v>
      </c>
      <c r="H58" s="20">
        <f>IF(OR(Inputs!H$5="Y", H$11 = 0), 0, IF(AND(Inputs!H18="Y",Inputs!H$22="N",Inputs!H$23="N"),PRODUCT(H$11,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IF(Inputs!D$21 = "Y", 0, IF(Inputs!D20="Y", Prices!$C20, 0))</f>
        <v>0</v>
      </c>
      <c r="E62" s="18">
        <f>IF(Inputs!E$21 = "Y", 0, IF(Inputs!E20="Y", Prices!$C20, 0))</f>
        <v>0</v>
      </c>
      <c r="F62" s="18">
        <f>IF(Inputs!F$21 = "Y", 0, IF(Inputs!F20="Y", Prices!$C20, 0))</f>
        <v>0</v>
      </c>
      <c r="G62" s="18">
        <f>IF(Inputs!G$21 = "Y", 0, IF(Inputs!G20="Y", Prices!$C20, 0))</f>
        <v>0</v>
      </c>
      <c r="H62" s="18">
        <f>IF(Inputs!H$21 = "Y", 0, IF(Inputs!H20="Y", Prices!$C20, 0))</f>
        <v>0</v>
      </c>
    </row>
    <row r="63" spans="2:8" x14ac:dyDescent="0.25">
      <c r="C63" s="17" t="s">
        <v>15</v>
      </c>
      <c r="D63" s="18">
        <f>IF(Inputs!D21="Y", Prices!$C21, 0)</f>
        <v>0</v>
      </c>
      <c r="E63" s="18">
        <f>IF(Inputs!E21="Y", Prices!$C21, 0)</f>
        <v>0</v>
      </c>
      <c r="F63" s="18">
        <f>IF(Inputs!F21="Y", Prices!$C21, 0)</f>
        <v>0</v>
      </c>
      <c r="G63" s="18">
        <f>IF(Inputs!G21="Y", Prices!$C21, 0)</f>
        <v>0</v>
      </c>
      <c r="H63" s="18">
        <f>IF(Inputs!H21="Y", Prices!$C21, 0)</f>
        <v>0</v>
      </c>
    </row>
    <row r="64" spans="2:8" x14ac:dyDescent="0.25">
      <c r="C64" s="19" t="s">
        <v>16</v>
      </c>
      <c r="D64" s="20">
        <f>IF(Inputs!D22="Y", Prices!$C22, 0)</f>
        <v>42000</v>
      </c>
      <c r="E64" s="20">
        <f>IF(Inputs!E22="Y", Prices!$C22, 0)</f>
        <v>42000</v>
      </c>
      <c r="F64" s="20">
        <f>IF(Inputs!F22="Y", Prices!$C22, 0)</f>
        <v>0</v>
      </c>
      <c r="G64" s="20">
        <f>IF(Inputs!G22="Y", Prices!$C22, 0)</f>
        <v>0</v>
      </c>
      <c r="H64" s="20">
        <f>IF(Inputs!H22="Y", Prices!$C22, 0)</f>
        <v>0</v>
      </c>
    </row>
    <row r="65" spans="2:15" x14ac:dyDescent="0.25">
      <c r="C65" s="19" t="s">
        <v>130</v>
      </c>
      <c r="D65" s="20">
        <f>IF(Inputs!D23="Y", Prices!$C23, 0)</f>
        <v>0</v>
      </c>
      <c r="E65" s="20">
        <f>IF(Inputs!E23="Y", Prices!$C23, 0)</f>
        <v>42000</v>
      </c>
      <c r="F65" s="20">
        <f>IF(Inputs!F23="Y", Prices!$C23, 0)</f>
        <v>0</v>
      </c>
      <c r="G65" s="20">
        <f>IF(Inputs!G23="Y", Prices!$C23, 0)</f>
        <v>0</v>
      </c>
      <c r="H65" s="20">
        <f>IF(Inputs!H23="Y", Prices!$C23, 0)</f>
        <v>0</v>
      </c>
    </row>
    <row r="66" spans="2:15" x14ac:dyDescent="0.25">
      <c r="C66" s="19" t="s">
        <v>17</v>
      </c>
      <c r="D66" s="20">
        <f>IF(Inputs!D24="Y", Prices!$C24, 0)</f>
        <v>0</v>
      </c>
      <c r="E66" s="20">
        <f>IF(Inputs!E24="Y", Prices!$C24, 0)</f>
        <v>0</v>
      </c>
      <c r="F66" s="20">
        <f>IF(Inputs!F24="Y", Prices!$C24, 0)</f>
        <v>0</v>
      </c>
      <c r="G66" s="20">
        <f>IF(Inputs!G24="Y", Prices!$C24, 0)</f>
        <v>0</v>
      </c>
      <c r="H66" s="20">
        <f>IF(Inputs!H24="Y", Prices!$C24, 0)</f>
        <v>0</v>
      </c>
    </row>
    <row r="67" spans="2:15" x14ac:dyDescent="0.25">
      <c r="C67" s="19" t="s">
        <v>100</v>
      </c>
      <c r="D67" s="20">
        <f>IF(Inputs!D25="Y", Prices!$C25 * IF(Inputs!D24="Y",1-Prices!$L$20,1), 0)</f>
        <v>0</v>
      </c>
      <c r="E67" s="20">
        <f>IF(Inputs!E25="Y", Prices!$C25 * IF(Inputs!E24="Y",1-Prices!$L$20,1), 0)</f>
        <v>0</v>
      </c>
      <c r="F67" s="20">
        <f>IF(Inputs!F25="Y", Prices!$C25 * IF(Inputs!F24="Y",1-Prices!$L$20,1), 0)</f>
        <v>0</v>
      </c>
      <c r="G67" s="20">
        <f>IF(Inputs!G25="Y", Prices!$C25 * IF(Inputs!G24="Y",1-Prices!$L$20,1), 0)</f>
        <v>0</v>
      </c>
      <c r="H67" s="20">
        <f>IF(Inputs!H25="Y", Prices!$C25 * IF(Inputs!H24="Y",1-Prices!$L$20,1), 0)</f>
        <v>0</v>
      </c>
    </row>
    <row r="68" spans="2:15" x14ac:dyDescent="0.25">
      <c r="C68" s="19" t="s">
        <v>99</v>
      </c>
      <c r="D68" s="20">
        <f>IF(Inputs!D26="Y", Prices!$C26, 0)</f>
        <v>0</v>
      </c>
      <c r="E68" s="20">
        <f>IF(Inputs!E26="Y", Prices!$C26, 0)</f>
        <v>0</v>
      </c>
      <c r="F68" s="20">
        <f>IF(Inputs!F26="Y", Prices!$C26, 0)</f>
        <v>0</v>
      </c>
      <c r="G68" s="20">
        <f>IF(Inputs!G26="Y", Prices!$C26, 0)</f>
        <v>0</v>
      </c>
      <c r="H68" s="20">
        <f>IF(Inputs!H26="Y", Prices!$C26, 0)</f>
        <v>0</v>
      </c>
    </row>
    <row r="69" spans="2:15" x14ac:dyDescent="0.25">
      <c r="C69" s="81" t="s">
        <v>97</v>
      </c>
      <c r="D69" s="84">
        <f>IF(Inputs!D10="Y", Prices!$C27, 0)</f>
        <v>0</v>
      </c>
      <c r="E69" s="84">
        <f>IF(Inputs!E10="Y", Prices!$C27, 0)</f>
        <v>0</v>
      </c>
      <c r="F69" s="84">
        <f>IF(Inputs!F10="Y", Prices!$C27, 0)</f>
        <v>0</v>
      </c>
      <c r="G69" s="84">
        <f>IF(Inputs!G10="Y", Prices!$C27, 0)</f>
        <v>0</v>
      </c>
      <c r="H69" s="84">
        <f>IF(Inputs!H10="Y", Prices!$C27, 0)</f>
        <v>0</v>
      </c>
    </row>
    <row r="71" spans="2:15" x14ac:dyDescent="0.25">
      <c r="B71" s="6" t="s">
        <v>46</v>
      </c>
      <c r="J71" s="89" t="s">
        <v>105</v>
      </c>
    </row>
    <row r="72" spans="2:15" x14ac:dyDescent="0.2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25">
      <c r="C73" s="17" t="s">
        <v>15</v>
      </c>
      <c r="D73" s="18">
        <f>IF(Inputs!D$5="Y", 0, IF(D$11 = "", 0, IF(Inputs!D21 = "Y", D$11*Prices!$E21, 0)))*D$10</f>
        <v>0</v>
      </c>
      <c r="E73" s="18">
        <f>IF(Inputs!E$5="Y", 0, IF(E$11 = "", 0, IF(Inputs!E21 = "Y", E$11*Prices!$E21, 0)))*E$10</f>
        <v>0</v>
      </c>
      <c r="F73" s="18">
        <f>IF(Inputs!F$5="Y", 0, IF(F$11 = "", 0, IF(Inputs!F21 = "Y", F$11*Prices!$E21, 0)))*F$10</f>
        <v>0</v>
      </c>
      <c r="G73" s="18">
        <f>IF(Inputs!G$5="Y", 0, IF(G$11 = "", 0, IF(Inputs!G21 = "Y", G$11*Prices!$E21, 0)))*G$10</f>
        <v>0</v>
      </c>
      <c r="H73" s="18">
        <f>IF(Inputs!H$5="Y", 0, IF(H$11 = "", 0, IF(Inputs!H21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25">
      <c r="C74" s="19" t="s">
        <v>16</v>
      </c>
      <c r="D74" s="20">
        <f>IF(Inputs!D$5="Y", 0, IF(D$11 = "", 0, IF(Inputs!D22 = "Y", D$11*Prices!$E22, 0)))*D$10</f>
        <v>0</v>
      </c>
      <c r="E74" s="20">
        <f>IF(Inputs!E$5="Y", 0, IF(E$11 = "", 0, IF(Inputs!E22 = "Y", E$11*Prices!$E22, 0)))*E$10</f>
        <v>38220</v>
      </c>
      <c r="F74" s="20">
        <f>IF(Inputs!F$5="Y", 0, IF(F$11 = "", 0, IF(Inputs!F22 = "Y", F$11*Prices!$E22, 0)))*F$10</f>
        <v>0</v>
      </c>
      <c r="G74" s="20">
        <f>IF(Inputs!G$5="Y", 0, IF(G$11 = "", 0, IF(Inputs!G22 = "Y", G$11*Prices!$E22, 0)))*G$10</f>
        <v>0</v>
      </c>
      <c r="H74" s="20">
        <f>IF(Inputs!H$5="Y", 0, IF(H$11 = "", 0, IF(Inputs!H22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42000.001199999999</v>
      </c>
      <c r="L74" s="23">
        <f t="shared" si="5"/>
        <v>80220.001199999999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25">
      <c r="C75" s="19" t="s">
        <v>130</v>
      </c>
      <c r="D75" s="20">
        <f>IF(Inputs!D$5="Y", 0, IF(D$11 = "", 0, IF(Inputs!D23 = "Y", D$11*Prices!$E23, 0)))*D$10</f>
        <v>0</v>
      </c>
      <c r="E75" s="20">
        <f>IF(Inputs!E$5="Y", 0, IF(E$11 = "", 0, IF(Inputs!E23 = "Y", E$11*Prices!$E23, 0)))*E$10</f>
        <v>38220</v>
      </c>
      <c r="F75" s="20">
        <f>IF(Inputs!F$5="Y", 0, IF(F$11 = "", 0, IF(Inputs!F23 = "Y", F$11*Prices!$E23, 0)))*F$10</f>
        <v>0</v>
      </c>
      <c r="G75" s="20">
        <f>IF(Inputs!G$5="Y", 0, IF(G$11 = "", 0, IF(Inputs!G23 = "Y", G$11*Prices!$E23, 0)))*G$10</f>
        <v>0</v>
      </c>
      <c r="H75" s="20">
        <f>IF(Inputs!H$5="Y", 0, IF(H$11 = "", 0, IF(Inputs!H23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80220.001300000004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25">
      <c r="C76" s="19" t="s">
        <v>17</v>
      </c>
      <c r="D76" s="20">
        <f>IF(Inputs!D$5="Y", 0, IF(D$11 = "", 0, IF(Inputs!D24 = "Y", D$11*Prices!$E24, 0)))*D$10</f>
        <v>0</v>
      </c>
      <c r="E76" s="20">
        <f>IF(Inputs!E$5="Y", 0, IF(E$11 = "", 0, IF(Inputs!E24 = "Y", E$11*Prices!$E24, 0)))*E$10</f>
        <v>0</v>
      </c>
      <c r="F76" s="20">
        <f>IF(Inputs!F$5="Y", 0, IF(F$11 = "", 0, IF(Inputs!F24 = "Y", F$11*Prices!$E24, 0)))*F$10</f>
        <v>0</v>
      </c>
      <c r="G76" s="20">
        <f>IF(Inputs!G$5="Y", 0, IF(G$11 = "", 0, IF(Inputs!G24 = "Y", G$11*Prices!$E24, 0)))*G$10</f>
        <v>0</v>
      </c>
      <c r="H76" s="20">
        <f>IF(Inputs!H$5="Y", 0, IF(H$11 = "", 0, IF(Inputs!H24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25">
      <c r="C77" s="19" t="s">
        <v>100</v>
      </c>
      <c r="D77" s="20">
        <f>IF(Inputs!D$5="Y", 0, IF(D$11 = "", 0, IF(Inputs!D25 = "Y", D$11*Prices!$E25 * IF(Inputs!D24="Y",1-Prices!$L$20,1), 0)))*D$10</f>
        <v>0</v>
      </c>
      <c r="E77" s="20">
        <f>IF(Inputs!E$5="Y", 0, IF(E$11 = "", 0, IF(Inputs!E25 = "Y", E$11*Prices!$E25 * IF(Inputs!E24="Y",1-Prices!$L$20,1), 0)))*E$10</f>
        <v>0</v>
      </c>
      <c r="F77" s="20">
        <f>IF(Inputs!F$5="Y", 0, IF(F$11 = "", 0, IF(Inputs!F25 = "Y", F$11*Prices!$E25 * IF(Inputs!F24="Y",1-Prices!$L$20,1), 0)))*F$10</f>
        <v>0</v>
      </c>
      <c r="G77" s="20">
        <f>IF(Inputs!G$5="Y", 0, IF(G$11 = "", 0, IF(Inputs!G25 = "Y", G$11*Prices!$E25 * IF(Inputs!G24="Y",1-Prices!$L$20,1), 0)))*G$10</f>
        <v>0</v>
      </c>
      <c r="H77" s="20">
        <f>IF(Inputs!H$5="Y", 0, IF(H$11 = "", 0, IF(Inputs!H25 = "Y", H$11*Prices!$E25 * IF(Inputs!H24="Y",1-Prices!$L$20,1), 0)))*H$10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25">
      <c r="C78" s="19" t="s">
        <v>99</v>
      </c>
      <c r="D78" s="20">
        <f>IF(Inputs!D$5="Y", 0, IF(D$11 = "", 0, IF(Inputs!D26 = "Y", D$11*Prices!$E26, 0)))*D$10</f>
        <v>0</v>
      </c>
      <c r="E78" s="20">
        <f>IF(Inputs!E$5="Y", 0, IF(E$11 = "", 0, IF(Inputs!E26 = "Y", E$11*Prices!$E26, 0)))*E$10</f>
        <v>0</v>
      </c>
      <c r="F78" s="20">
        <f>IF(Inputs!F$5="Y", 0, IF(F$11 = "", 0, IF(Inputs!F26 = "Y", F$11*Prices!$E26, 0)))*F$10</f>
        <v>0</v>
      </c>
      <c r="G78" s="20">
        <f>IF(Inputs!G$5="Y", 0, IF(G$11 = "", 0, IF(Inputs!G26 = "Y", G$11*Prices!$E26, 0)))*G$10</f>
        <v>0</v>
      </c>
      <c r="H78" s="20">
        <f>IF(Inputs!H$5="Y", 0, IF(H$11 = "", 0, IF(Inputs!H26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25">
      <c r="C79" s="81" t="s">
        <v>97</v>
      </c>
      <c r="D79" s="84">
        <f>IF(Inputs!D$5="Y", 0, IF(D$11 = "", 0, IF(Inputs!D10 = "Y", D$11*Prices!$E27, 0)))*D$10</f>
        <v>0</v>
      </c>
      <c r="E79" s="84">
        <f>IF(Inputs!E$5="Y", 0, IF(E$11 = "", 0, IF(Inputs!E10 = "Y", E$11*Prices!$E27, 0)))*E$10</f>
        <v>0</v>
      </c>
      <c r="F79" s="84">
        <f>IF(Inputs!F$5="Y", 0, IF(F$11 = "", 0, IF(Inputs!F10 = "Y", F$11*Prices!$E27, 0)))*F$10</f>
        <v>0</v>
      </c>
      <c r="G79" s="84">
        <f>IF(Inputs!G$5="Y", 0, IF(G$11 = "", 0, IF(Inputs!G10 = "Y", G$11*Prices!$E27, 0)))*G$10</f>
        <v>0</v>
      </c>
      <c r="H79" s="84">
        <f>IF(Inputs!H$5="Y", 0, IF(H$11 = "", 0, IF(Inputs!H10 = "Y", H$11*Prices!$E27, 0)))*H$10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25">
      <c r="D80" s="1"/>
      <c r="E80" s="1"/>
      <c r="F80" s="1"/>
      <c r="G80" s="1"/>
      <c r="H80" s="1"/>
    </row>
    <row r="81" spans="2:15" x14ac:dyDescent="0.25">
      <c r="B81" s="6" t="s">
        <v>47</v>
      </c>
    </row>
    <row r="82" spans="2:15" x14ac:dyDescent="0.2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2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25">
      <c r="C84" s="19" t="s">
        <v>16</v>
      </c>
      <c r="D84" s="20">
        <f>IF(D64=0,0,D64-SUM(D21:D23))</f>
        <v>18000</v>
      </c>
      <c r="E84" s="20">
        <f>IF(E64=0,0,E64-SUM(E21:E23))</f>
        <v>24000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25">
      <c r="C85" s="19" t="s">
        <v>130</v>
      </c>
      <c r="D85" s="20">
        <f>IF(D65=0,0,D65-IF(Inputs!D22="Y", 0, SUM(D21:D23)))</f>
        <v>0</v>
      </c>
      <c r="E85" s="20">
        <f>IF(E65=0,0,E65-IF(Inputs!E22="Y", 0, SUM(E21:E23)))</f>
        <v>42000</v>
      </c>
      <c r="F85" s="20">
        <f>IF(F65=0,0,F65-IF(Inputs!F22="Y", 0, SUM(F21:F23)))</f>
        <v>0</v>
      </c>
      <c r="G85" s="20">
        <f>IF(G65=0,0,G65-IF(Inputs!G22="Y", 0, SUM(G21:G23)))</f>
        <v>0</v>
      </c>
      <c r="H85" s="20">
        <f>IF(H65=0,0,H65-IF(Inputs!H22="Y",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2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25">
      <c r="C87" s="19" t="s">
        <v>100</v>
      </c>
      <c r="D87" s="20">
        <f t="shared" ref="D87:H87" si="17">D67</f>
        <v>0</v>
      </c>
      <c r="E87" s="20">
        <f t="shared" si="17"/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2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2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25">
      <c r="B91" s="6" t="s">
        <v>48</v>
      </c>
    </row>
    <row r="92" spans="2:15" x14ac:dyDescent="0.2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2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25">
      <c r="C94" s="19" t="s">
        <v>16</v>
      </c>
      <c r="D94" s="20">
        <f>IF(D74=0,0,D74-SUM(D33:D34))</f>
        <v>0</v>
      </c>
      <c r="E94" s="20">
        <f>IF(E74=0,0,E74-SUM(E33:E34))</f>
        <v>6370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25">
      <c r="C95" s="19" t="s">
        <v>130</v>
      </c>
      <c r="D95" s="20">
        <f>IF(D75=0,0,D75-IF(Inputs!D22="Y", 0,SUM(D33:D34)))</f>
        <v>0</v>
      </c>
      <c r="E95" s="20">
        <f>IF(E75=0,0,E75-IF(Inputs!E22="Y", 0,SUM(E33:E34)))</f>
        <v>38220</v>
      </c>
      <c r="F95" s="20">
        <f>IF(F75=0,0,F75-IF(Inputs!F22="Y", 0,SUM(F33:F34)))</f>
        <v>0</v>
      </c>
      <c r="G95" s="20">
        <f>IF(G75=0,0,G75-IF(Inputs!G22="Y", 0,SUM(G33:G34)))</f>
        <v>0</v>
      </c>
      <c r="H95" s="20">
        <f>IF(H75=0,0,H75-IF(Inputs!H22="Y", 0,SUM(H33:H34)))</f>
        <v>0</v>
      </c>
    </row>
    <row r="96" spans="2:15" x14ac:dyDescent="0.2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2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2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2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25">
      <c r="B101" s="6" t="s">
        <v>30</v>
      </c>
    </row>
    <row r="102" spans="1:8" x14ac:dyDescent="0.2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-24066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2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2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2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2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2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25">
      <c r="B109" s="6" t="s">
        <v>113</v>
      </c>
      <c r="D109" s="7">
        <f>SUM(D38:D47, D50:D59, D62:D69, D72:D79, D102:D106)</f>
        <v>60000</v>
      </c>
      <c r="E109" s="7">
        <f t="shared" ref="E109:H109" si="26">SUM(E38:E47, E50:E59, E62:E69, E72:E79, E102:E106)</f>
        <v>205774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25">
      <c r="D110" s="1"/>
    </row>
    <row r="111" spans="1:8" x14ac:dyDescent="0.25">
      <c r="B111" s="6" t="s">
        <v>43</v>
      </c>
      <c r="D111" s="1">
        <f>IF(D121=1, 0, IF(D121=2, $E$124, IF(D121=3, $E$125, IF(D121=4, $E$126, IF(D121=5, $E$127, "")))))</f>
        <v>-27000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25">
      <c r="D112" s="1"/>
      <c r="E112" s="1"/>
      <c r="F112" s="1"/>
      <c r="G112" s="1"/>
      <c r="H112" s="1"/>
    </row>
    <row r="113" spans="2:8" x14ac:dyDescent="0.25">
      <c r="B113" s="6" t="s">
        <v>83</v>
      </c>
      <c r="D113" s="1">
        <f>IF(Inputs!$D$6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25">
      <c r="B115" s="6" t="s">
        <v>114</v>
      </c>
      <c r="D115" s="7">
        <f>SUM(D109, D111)</f>
        <v>33000</v>
      </c>
      <c r="E115" s="7">
        <f>SUM(E109, E111)</f>
        <v>205774</v>
      </c>
      <c r="F115" s="7">
        <f>SUM(F109, F111)</f>
        <v>0</v>
      </c>
      <c r="G115" s="7">
        <f>SUM(G109, G111)</f>
        <v>0</v>
      </c>
      <c r="H115" s="7">
        <f>SUM(H109, H111)</f>
        <v>0</v>
      </c>
    </row>
    <row r="118" spans="2:8" s="21" customFormat="1" x14ac:dyDescent="0.25">
      <c r="B118" s="27"/>
      <c r="C118" s="21" t="s">
        <v>115</v>
      </c>
      <c r="D118" s="21">
        <f>IFERROR(_xlfn.RANK.EQ(D109,$D$109:$H$109),5)</f>
        <v>2</v>
      </c>
      <c r="E118" s="21">
        <f t="shared" ref="E118:H118" si="28">IFERROR(_xlfn.RANK.EQ(E109,$D$109:$H$109),5)</f>
        <v>1</v>
      </c>
      <c r="F118" s="21">
        <f t="shared" si="28"/>
        <v>3</v>
      </c>
      <c r="G118" s="21">
        <f t="shared" si="28"/>
        <v>3</v>
      </c>
      <c r="H118" s="21">
        <f t="shared" si="28"/>
        <v>3</v>
      </c>
    </row>
    <row r="119" spans="2:8" s="21" customFormat="1" x14ac:dyDescent="0.2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25">
      <c r="B120" s="27"/>
      <c r="D120" s="21">
        <f>SUM(D118:D119)</f>
        <v>2.1</v>
      </c>
      <c r="E120" s="21">
        <f t="shared" ref="E120:H120" si="29">SUM(E118:E119)</f>
        <v>1.2</v>
      </c>
      <c r="F120" s="21">
        <f t="shared" si="29"/>
        <v>3.3</v>
      </c>
      <c r="G120" s="21">
        <f t="shared" si="29"/>
        <v>3.4</v>
      </c>
      <c r="H120" s="21">
        <f t="shared" si="29"/>
        <v>3.5</v>
      </c>
    </row>
    <row r="121" spans="2:8" s="21" customFormat="1" x14ac:dyDescent="0.25">
      <c r="B121" s="27"/>
      <c r="D121" s="21">
        <f>_xlfn.RANK.EQ(D120, $D$120:$H$120, 5)</f>
        <v>2</v>
      </c>
      <c r="E121" s="21">
        <f t="shared" ref="E121:H121" si="30">_xlfn.RANK.EQ(E120, $D$120:$H$120, 5)</f>
        <v>1</v>
      </c>
      <c r="F121" s="21">
        <f t="shared" si="30"/>
        <v>3</v>
      </c>
      <c r="G121" s="21">
        <f t="shared" si="30"/>
        <v>4</v>
      </c>
      <c r="H121" s="21">
        <f t="shared" si="30"/>
        <v>5</v>
      </c>
    </row>
    <row r="122" spans="2:8" s="21" customFormat="1" x14ac:dyDescent="0.25">
      <c r="B122" s="27"/>
    </row>
    <row r="123" spans="2:8" s="21" customFormat="1" x14ac:dyDescent="0.25">
      <c r="B123" s="27"/>
      <c r="C123" s="21" t="s">
        <v>116</v>
      </c>
    </row>
    <row r="124" spans="2:8" s="21" customFormat="1" x14ac:dyDescent="0.25">
      <c r="B124" s="27"/>
      <c r="D124" s="21" t="s">
        <v>117</v>
      </c>
      <c r="E124" s="98">
        <f>INDEX($D$109:$H$109, 1, MATCH(2, $D$121:$H$121, 0))*Prices!$L$10*-1</f>
        <v>-27000</v>
      </c>
    </row>
    <row r="125" spans="2:8" s="21" customFormat="1" x14ac:dyDescent="0.2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2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2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2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7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25">
      <c r="B6" s="15" t="s">
        <v>20</v>
      </c>
      <c r="C6" s="42">
        <f>$L$26*15000</f>
        <v>18000</v>
      </c>
      <c r="D6" s="42">
        <f>IF(Inputs!$C$3="Monthly",33000,30000)</f>
        <v>33000</v>
      </c>
      <c r="E6" s="38">
        <f>IF(Inputs!$C$3="Monthly",0.4,0.27)</f>
        <v>0.4</v>
      </c>
      <c r="F6" s="38">
        <f>$E6*F$4</f>
        <v>0.24</v>
      </c>
      <c r="G6" s="38">
        <f t="shared" ref="G6:H6" si="0">$E6*G$4</f>
        <v>9.6000000000000002E-2</v>
      </c>
      <c r="H6" s="38">
        <f t="shared" si="0"/>
        <v>8.0000000000000016E-2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122</v>
      </c>
    </row>
    <row r="9" spans="2:12" x14ac:dyDescent="0.2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25">
      <c r="B10" s="17" t="s">
        <v>21</v>
      </c>
      <c r="C10" s="44">
        <f>$L$26*1000</f>
        <v>1200</v>
      </c>
      <c r="E10" s="40">
        <f>$L$26*0.04</f>
        <v>4.8000000000000001E-2</v>
      </c>
      <c r="F10" s="40">
        <f t="shared" ref="F10:H18" si="1">$E10*F$4</f>
        <v>2.8799999999999999E-2</v>
      </c>
      <c r="G10" s="40">
        <f t="shared" si="1"/>
        <v>1.1519999999999999E-2</v>
      </c>
      <c r="H10" s="40">
        <f t="shared" si="1"/>
        <v>9.6000000000000009E-3</v>
      </c>
      <c r="K10" t="s">
        <v>117</v>
      </c>
      <c r="L10" s="3">
        <v>0.45</v>
      </c>
    </row>
    <row r="11" spans="2:12" x14ac:dyDescent="0.25">
      <c r="B11" s="17" t="s">
        <v>8</v>
      </c>
      <c r="C11" s="44">
        <f>$L$26*4000</f>
        <v>4800</v>
      </c>
      <c r="E11" s="40">
        <f>IF(Inputs!$C$3="Monthly",0.07,0.05)</f>
        <v>7.0000000000000007E-2</v>
      </c>
      <c r="F11" s="40">
        <f t="shared" si="1"/>
        <v>4.2000000000000003E-2</v>
      </c>
      <c r="G11" s="40">
        <f t="shared" si="1"/>
        <v>1.6800000000000002E-2</v>
      </c>
      <c r="H11" s="40">
        <f t="shared" si="1"/>
        <v>1.4000000000000002E-2</v>
      </c>
      <c r="K11" t="s">
        <v>118</v>
      </c>
      <c r="L11" s="3">
        <v>0.5</v>
      </c>
    </row>
    <row r="12" spans="2:12" x14ac:dyDescent="0.25">
      <c r="B12" s="17" t="s">
        <v>22</v>
      </c>
      <c r="C12" s="44">
        <f>$L$26*2000</f>
        <v>2400</v>
      </c>
      <c r="E12" s="40">
        <f>$L$26*0.04</f>
        <v>4.8000000000000001E-2</v>
      </c>
      <c r="F12" s="40">
        <f t="shared" si="1"/>
        <v>2.8799999999999999E-2</v>
      </c>
      <c r="G12" s="40">
        <f t="shared" si="1"/>
        <v>1.1519999999999999E-2</v>
      </c>
      <c r="H12" s="40">
        <f t="shared" si="1"/>
        <v>9.6000000000000009E-3</v>
      </c>
    </row>
    <row r="13" spans="2:12" x14ac:dyDescent="0.25">
      <c r="B13" s="17" t="s">
        <v>9</v>
      </c>
      <c r="C13" s="44">
        <f>$L$26*2000</f>
        <v>2400</v>
      </c>
      <c r="E13" s="40">
        <f>$L$26*0.04</f>
        <v>4.8000000000000001E-2</v>
      </c>
      <c r="F13" s="40">
        <f t="shared" si="1"/>
        <v>2.8799999999999999E-2</v>
      </c>
      <c r="G13" s="40">
        <f t="shared" si="1"/>
        <v>1.1519999999999999E-2</v>
      </c>
      <c r="H13" s="40">
        <f t="shared" si="1"/>
        <v>9.6000000000000009E-3</v>
      </c>
      <c r="K13" s="4"/>
    </row>
    <row r="14" spans="2:12" x14ac:dyDescent="0.25">
      <c r="B14" s="17" t="s">
        <v>10</v>
      </c>
      <c r="C14" s="44">
        <f>$L$26*6000</f>
        <v>7200</v>
      </c>
      <c r="E14" s="40">
        <f>IF(Inputs!$C$3="Monthly",0.07,0.05)</f>
        <v>7.0000000000000007E-2</v>
      </c>
      <c r="F14" s="40">
        <f t="shared" si="1"/>
        <v>4.2000000000000003E-2</v>
      </c>
      <c r="G14" s="40">
        <f t="shared" si="1"/>
        <v>1.6800000000000002E-2</v>
      </c>
      <c r="H14" s="40">
        <f t="shared" si="1"/>
        <v>1.4000000000000002E-2</v>
      </c>
      <c r="K14" s="58" t="s">
        <v>60</v>
      </c>
      <c r="L14" s="57">
        <v>1.2500000000000001E-2</v>
      </c>
    </row>
    <row r="15" spans="2:12" x14ac:dyDescent="0.25">
      <c r="B15" s="17" t="s">
        <v>78</v>
      </c>
      <c r="C15" s="44">
        <f>$L$26*4000</f>
        <v>4800</v>
      </c>
      <c r="E15" s="40">
        <f>IF(Inputs!$C$3="Monthly",0.07,0.05)</f>
        <v>7.0000000000000007E-2</v>
      </c>
      <c r="F15" s="40">
        <f t="shared" si="1"/>
        <v>4.2000000000000003E-2</v>
      </c>
      <c r="G15" s="40">
        <f t="shared" si="1"/>
        <v>1.6800000000000002E-2</v>
      </c>
      <c r="H15" s="40">
        <f t="shared" si="1"/>
        <v>1.4000000000000002E-2</v>
      </c>
      <c r="K15" s="4" t="s">
        <v>61</v>
      </c>
      <c r="L15" s="54">
        <v>43466</v>
      </c>
    </row>
    <row r="16" spans="2:12" x14ac:dyDescent="0.25">
      <c r="B16" s="19" t="s">
        <v>11</v>
      </c>
      <c r="C16" s="45">
        <f>$L$26*10000</f>
        <v>12000</v>
      </c>
      <c r="E16" s="41">
        <f>IF(Inputs!$C$3="Monthly",0.25,0.18)</f>
        <v>0.25</v>
      </c>
      <c r="F16" s="41">
        <f t="shared" si="1"/>
        <v>0.15</v>
      </c>
      <c r="G16" s="41">
        <f t="shared" si="1"/>
        <v>0.06</v>
      </c>
      <c r="H16" s="41">
        <f t="shared" si="1"/>
        <v>0.05</v>
      </c>
      <c r="K16" s="4"/>
      <c r="L16" s="3"/>
    </row>
    <row r="17" spans="2:12" x14ac:dyDescent="0.25">
      <c r="B17" s="19" t="s">
        <v>12</v>
      </c>
      <c r="C17" s="45">
        <f>$L$26*5000</f>
        <v>6000</v>
      </c>
      <c r="E17" s="41">
        <f>IF(Inputs!$C$3="Monthly",0.1,0.07)</f>
        <v>0.1</v>
      </c>
      <c r="F17" s="41">
        <f t="shared" si="1"/>
        <v>0.06</v>
      </c>
      <c r="G17" s="41">
        <f t="shared" si="1"/>
        <v>2.4E-2</v>
      </c>
      <c r="H17" s="41">
        <f t="shared" si="1"/>
        <v>2.0000000000000004E-2</v>
      </c>
    </row>
    <row r="18" spans="2:12" x14ac:dyDescent="0.25">
      <c r="B18" s="19" t="s">
        <v>23</v>
      </c>
      <c r="C18" s="45">
        <f>$L$26*5000</f>
        <v>6000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f>$L$26*8500</f>
        <v>10200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25">
      <c r="B21" s="17" t="s">
        <v>15</v>
      </c>
      <c r="C21" s="44">
        <f>$L$26*33000</f>
        <v>39600</v>
      </c>
      <c r="E21" s="40">
        <f>IF(Inputs!$C$3="Monthly",0.4,0.28)</f>
        <v>0.4</v>
      </c>
      <c r="F21" s="40">
        <f t="shared" si="2"/>
        <v>0.24</v>
      </c>
      <c r="G21" s="40">
        <f t="shared" si="2"/>
        <v>9.6000000000000002E-2</v>
      </c>
      <c r="H21" s="40">
        <f t="shared" si="2"/>
        <v>8.0000000000000016E-2</v>
      </c>
    </row>
    <row r="22" spans="2:12" x14ac:dyDescent="0.25">
      <c r="B22" s="19" t="s">
        <v>16</v>
      </c>
      <c r="C22" s="45">
        <f>$L$26*35000</f>
        <v>42000</v>
      </c>
      <c r="E22" s="41">
        <f>IF(Inputs!$C$3="Monthly",0.42,0.29)</f>
        <v>0.42</v>
      </c>
      <c r="F22" s="41">
        <f t="shared" si="2"/>
        <v>0.252</v>
      </c>
      <c r="G22" s="41">
        <f t="shared" si="2"/>
        <v>0.10079999999999999</v>
      </c>
      <c r="H22" s="41">
        <f t="shared" si="2"/>
        <v>8.4000000000000005E-2</v>
      </c>
    </row>
    <row r="23" spans="2:12" x14ac:dyDescent="0.25">
      <c r="B23" s="19" t="s">
        <v>130</v>
      </c>
      <c r="C23" s="45">
        <f>$L$26*35000</f>
        <v>42000</v>
      </c>
      <c r="E23" s="41">
        <f>IF(Inputs!$C$3="Monthly",0.42,0.29)</f>
        <v>0.42</v>
      </c>
      <c r="F23" s="41">
        <f t="shared" si="2"/>
        <v>0.252</v>
      </c>
      <c r="G23" s="41">
        <f t="shared" si="2"/>
        <v>0.10079999999999999</v>
      </c>
      <c r="H23" s="41">
        <f t="shared" si="2"/>
        <v>8.4000000000000005E-2</v>
      </c>
    </row>
    <row r="24" spans="2:12" x14ac:dyDescent="0.25">
      <c r="B24" s="19" t="s">
        <v>17</v>
      </c>
      <c r="C24" s="45">
        <f>$L$26*28000</f>
        <v>33600</v>
      </c>
      <c r="E24" s="41">
        <f>IF(Inputs!$C$3="Monthly",0.25,0.18)</f>
        <v>0.25</v>
      </c>
      <c r="F24" s="41">
        <f t="shared" si="2"/>
        <v>0.15</v>
      </c>
      <c r="G24" s="41">
        <f t="shared" si="2"/>
        <v>0.06</v>
      </c>
      <c r="H24" s="41">
        <f t="shared" si="2"/>
        <v>0.05</v>
      </c>
      <c r="K24" s="6" t="s">
        <v>126</v>
      </c>
      <c r="L24" s="96">
        <f>18000/15000</f>
        <v>1.2</v>
      </c>
    </row>
    <row r="25" spans="2:12" x14ac:dyDescent="0.2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25">
      <c r="B26" s="19" t="s">
        <v>99</v>
      </c>
      <c r="C26" s="45">
        <f>$L$26*20000</f>
        <v>24000</v>
      </c>
      <c r="E26" s="41">
        <f>$L$26*0.14</f>
        <v>0.16800000000000001</v>
      </c>
      <c r="F26" s="41">
        <f t="shared" si="3"/>
        <v>0.1008</v>
      </c>
      <c r="G26" s="41">
        <f t="shared" si="3"/>
        <v>4.0320000000000002E-2</v>
      </c>
      <c r="H26" s="41">
        <f t="shared" si="3"/>
        <v>3.3600000000000005E-2</v>
      </c>
      <c r="K26" s="6" t="s">
        <v>127</v>
      </c>
      <c r="L26" s="97">
        <f>IF(Inputs!$C$3="Monthly",Prices!$L$24,1)</f>
        <v>1.2</v>
      </c>
    </row>
    <row r="27" spans="2:12" x14ac:dyDescent="0.25">
      <c r="B27" s="81" t="s">
        <v>97</v>
      </c>
      <c r="C27" s="82">
        <f>$L$26*6750</f>
        <v>8100</v>
      </c>
      <c r="E27" s="83">
        <f>IF(Inputs!$C$3="Monthly",0.6,0.42)</f>
        <v>0.6</v>
      </c>
      <c r="F27" s="83">
        <f t="shared" si="3"/>
        <v>0.36</v>
      </c>
      <c r="G27" s="83">
        <f t="shared" si="3"/>
        <v>0.14399999999999999</v>
      </c>
      <c r="H27" s="83">
        <f t="shared" si="3"/>
        <v>0.12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2018-08-22T20:57:26Z</dcterms:modified>
</cp:coreProperties>
</file>