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2" i="1" l="1"/>
  <c r="G112" i="1"/>
  <c r="F112" i="1"/>
  <c r="H111" i="1"/>
  <c r="G111" i="1"/>
  <c r="G114" i="1" s="1"/>
  <c r="F111" i="1"/>
  <c r="H110" i="1"/>
  <c r="G110" i="1"/>
  <c r="F110" i="1"/>
  <c r="H109" i="1"/>
  <c r="G109" i="1"/>
  <c r="F109" i="1"/>
  <c r="H108" i="1"/>
  <c r="G108" i="1"/>
  <c r="F108" i="1"/>
  <c r="H107" i="1"/>
  <c r="G107" i="1"/>
  <c r="F107" i="1"/>
  <c r="H25" i="5"/>
  <c r="G25" i="5"/>
  <c r="H53" i="7"/>
  <c r="G53" i="7"/>
  <c r="F53" i="7" s="1"/>
  <c r="H42" i="7"/>
  <c r="H114" i="1"/>
  <c r="H106" i="1"/>
  <c r="G106" i="1"/>
  <c r="H68" i="1"/>
  <c r="G68" i="1"/>
  <c r="G90" i="1" s="1"/>
  <c r="F68" i="1"/>
  <c r="E68" i="1"/>
  <c r="E90" i="1" s="1"/>
  <c r="D68" i="1"/>
  <c r="D90" i="1" s="1"/>
  <c r="D66" i="1"/>
  <c r="H46" i="1"/>
  <c r="G46" i="1"/>
  <c r="F46" i="1"/>
  <c r="E46" i="1"/>
  <c r="D46" i="1"/>
  <c r="H22" i="1"/>
  <c r="G22" i="1"/>
  <c r="F22" i="1"/>
  <c r="E22" i="1"/>
  <c r="D22" i="1"/>
  <c r="E26" i="3"/>
  <c r="G26" i="3" s="1"/>
  <c r="C26" i="3"/>
  <c r="F90" i="1" l="1"/>
  <c r="D42" i="7" s="1"/>
  <c r="K42" i="7" s="1"/>
  <c r="H90" i="1"/>
  <c r="H26" i="3"/>
  <c r="F26" i="3"/>
  <c r="L20" i="9"/>
  <c r="K20" i="9"/>
  <c r="H20" i="9"/>
  <c r="I65" i="7"/>
  <c r="G65" i="7"/>
  <c r="F65" i="7"/>
  <c r="L42" i="7" l="1"/>
  <c r="M42" i="7"/>
  <c r="N42" i="7"/>
  <c r="H40" i="5"/>
  <c r="G40" i="5"/>
  <c r="D40" i="5"/>
  <c r="H41" i="5"/>
  <c r="G41" i="5"/>
  <c r="D41" i="5"/>
  <c r="G3" i="8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70" i="1"/>
  <c r="G70" i="1"/>
  <c r="F70" i="1"/>
  <c r="D70" i="1"/>
  <c r="E70" i="1"/>
  <c r="L29" i="3"/>
  <c r="AE3" i="8" l="1"/>
  <c r="D89" i="1"/>
  <c r="N3" i="8" l="1"/>
  <c r="S3" i="8" l="1"/>
  <c r="H47" i="1"/>
  <c r="G47" i="1"/>
  <c r="F47" i="1"/>
  <c r="E47" i="1"/>
  <c r="D47" i="1"/>
  <c r="H45" i="1"/>
  <c r="G45" i="1"/>
  <c r="F45" i="1"/>
  <c r="E45" i="1"/>
  <c r="D45" i="1"/>
  <c r="H23" i="1"/>
  <c r="G23" i="1"/>
  <c r="F23" i="1"/>
  <c r="E23" i="1"/>
  <c r="H21" i="1"/>
  <c r="G21" i="1"/>
  <c r="F21" i="1"/>
  <c r="G50" i="7" l="1"/>
  <c r="F50" i="7" s="1"/>
  <c r="D65" i="1"/>
  <c r="H65" i="1"/>
  <c r="H87" i="1" s="1"/>
  <c r="G65" i="1"/>
  <c r="G87" i="1" s="1"/>
  <c r="F65" i="1"/>
  <c r="F87" i="1" s="1"/>
  <c r="E23" i="3"/>
  <c r="G23" i="3" s="1"/>
  <c r="D87" i="1" l="1"/>
  <c r="H50" i="7"/>
  <c r="H23" i="3"/>
  <c r="F23" i="3"/>
  <c r="E28" i="3"/>
  <c r="E24" i="3"/>
  <c r="E22" i="3"/>
  <c r="E21" i="3"/>
  <c r="E17" i="3"/>
  <c r="E16" i="3"/>
  <c r="E15" i="3"/>
  <c r="E14" i="3"/>
  <c r="E11" i="3"/>
  <c r="D6" i="3"/>
  <c r="E6" i="3"/>
  <c r="L27" i="3"/>
  <c r="C6" i="3" l="1"/>
  <c r="C28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7" i="3"/>
  <c r="C21" i="3"/>
  <c r="C17" i="3"/>
  <c r="C10" i="3"/>
  <c r="C11" i="3"/>
  <c r="C15" i="3"/>
  <c r="C20" i="3"/>
  <c r="C27" i="3"/>
  <c r="L24" i="3"/>
  <c r="E21" i="1" l="1"/>
  <c r="D21" i="1"/>
  <c r="E87" i="1"/>
  <c r="H4" i="1"/>
  <c r="G4" i="1"/>
  <c r="F4" i="1"/>
  <c r="E4" i="1"/>
  <c r="D4" i="1"/>
  <c r="J75" i="1" l="1"/>
  <c r="J76" i="1" s="1"/>
  <c r="J77" i="1" s="1"/>
  <c r="J78" i="1" s="1"/>
  <c r="J79" i="1" s="1"/>
  <c r="J80" i="1" s="1"/>
  <c r="J81" i="1" s="1"/>
  <c r="J74" i="1"/>
  <c r="G52" i="7" l="1"/>
  <c r="G54" i="7"/>
  <c r="H43" i="7"/>
  <c r="H41" i="7"/>
  <c r="G89" i="1"/>
  <c r="E89" i="1"/>
  <c r="H69" i="1"/>
  <c r="G69" i="1"/>
  <c r="F69" i="1"/>
  <c r="E69" i="1"/>
  <c r="D69" i="1"/>
  <c r="H27" i="3"/>
  <c r="G27" i="3"/>
  <c r="F27" i="3"/>
  <c r="H25" i="3"/>
  <c r="G25" i="3"/>
  <c r="F25" i="3"/>
  <c r="F54" i="7" l="1"/>
  <c r="H91" i="1"/>
  <c r="F91" i="1"/>
  <c r="G91" i="1"/>
  <c r="F89" i="1"/>
  <c r="D41" i="7" s="1"/>
  <c r="H52" i="7"/>
  <c r="F52" i="7"/>
  <c r="H54" i="7"/>
  <c r="E91" i="1"/>
  <c r="D91" i="1"/>
  <c r="H89" i="1"/>
  <c r="G55" i="7"/>
  <c r="G51" i="7"/>
  <c r="G49" i="7"/>
  <c r="H40" i="7"/>
  <c r="D43" i="7" l="1"/>
  <c r="N43" i="7" s="1"/>
  <c r="H51" i="7"/>
  <c r="D92" i="1"/>
  <c r="F92" i="1"/>
  <c r="E92" i="1"/>
  <c r="G92" i="1"/>
  <c r="H92" i="1"/>
  <c r="M41" i="7"/>
  <c r="F51" i="7"/>
  <c r="D15" i="1"/>
  <c r="K43" i="7" l="1"/>
  <c r="L43" i="7"/>
  <c r="M43" i="7"/>
  <c r="D44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8" i="3"/>
  <c r="G28" i="3"/>
  <c r="F28" i="3"/>
  <c r="H6" i="3"/>
  <c r="G6" i="3"/>
  <c r="F6" i="3"/>
  <c r="E10" i="1" l="1"/>
  <c r="E11" i="1"/>
  <c r="F11" i="1"/>
  <c r="G11" i="1"/>
  <c r="H11" i="1"/>
  <c r="D11" i="1"/>
  <c r="F10" i="1"/>
  <c r="G10" i="1"/>
  <c r="H10" i="1"/>
  <c r="D10" i="1"/>
  <c r="D79" i="1" s="1"/>
  <c r="D25" i="5" s="1"/>
  <c r="D58" i="1" l="1"/>
  <c r="D34" i="1"/>
  <c r="H58" i="1"/>
  <c r="H79" i="1"/>
  <c r="H34" i="1"/>
  <c r="G79" i="1"/>
  <c r="G34" i="1"/>
  <c r="G58" i="1"/>
  <c r="D101" i="1"/>
  <c r="K79" i="1"/>
  <c r="E58" i="1"/>
  <c r="E34" i="1"/>
  <c r="E79" i="1"/>
  <c r="F79" i="1"/>
  <c r="F25" i="5" s="1"/>
  <c r="F34" i="1"/>
  <c r="F58" i="1"/>
  <c r="G81" i="1"/>
  <c r="G78" i="1"/>
  <c r="N78" i="1" s="1"/>
  <c r="F78" i="1"/>
  <c r="M78" i="1" s="1"/>
  <c r="F81" i="1"/>
  <c r="M81" i="1" s="1"/>
  <c r="H81" i="1"/>
  <c r="O81" i="1" s="1"/>
  <c r="H78" i="1"/>
  <c r="H24" i="5" s="1"/>
  <c r="E81" i="1"/>
  <c r="L81" i="1" s="1"/>
  <c r="E78" i="1"/>
  <c r="E24" i="5" s="1"/>
  <c r="E26" i="1"/>
  <c r="D78" i="1"/>
  <c r="K78" i="1" s="1"/>
  <c r="D81" i="1"/>
  <c r="K81" i="1" s="1"/>
  <c r="D33" i="1"/>
  <c r="D57" i="1"/>
  <c r="H33" i="1"/>
  <c r="H57" i="1"/>
  <c r="G57" i="1"/>
  <c r="G33" i="1"/>
  <c r="F33" i="1"/>
  <c r="F57" i="1"/>
  <c r="E76" i="1"/>
  <c r="E57" i="1"/>
  <c r="E33" i="1"/>
  <c r="H56" i="1"/>
  <c r="H76" i="1"/>
  <c r="G76" i="1"/>
  <c r="D76" i="1"/>
  <c r="F76" i="1"/>
  <c r="H51" i="1"/>
  <c r="H55" i="1"/>
  <c r="H80" i="1"/>
  <c r="O80" i="1" s="1"/>
  <c r="G56" i="1"/>
  <c r="G80" i="1"/>
  <c r="N80" i="1" s="1"/>
  <c r="D80" i="1"/>
  <c r="K80" i="1" s="1"/>
  <c r="F80" i="1"/>
  <c r="M80" i="1" s="1"/>
  <c r="E80" i="1"/>
  <c r="L80" i="1" s="1"/>
  <c r="G54" i="1"/>
  <c r="E55" i="1"/>
  <c r="G51" i="1"/>
  <c r="E54" i="1"/>
  <c r="E28" i="1"/>
  <c r="F56" i="1"/>
  <c r="F52" i="1"/>
  <c r="F51" i="1"/>
  <c r="E52" i="1"/>
  <c r="F54" i="1"/>
  <c r="E56" i="1"/>
  <c r="E51" i="1"/>
  <c r="H53" i="1"/>
  <c r="D51" i="1"/>
  <c r="E53" i="1"/>
  <c r="G52" i="1"/>
  <c r="N81" i="1"/>
  <c r="E77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4" i="1"/>
  <c r="E75" i="1"/>
  <c r="E32" i="1"/>
  <c r="E50" i="1"/>
  <c r="E30" i="1"/>
  <c r="G75" i="1"/>
  <c r="G50" i="1"/>
  <c r="G31" i="1"/>
  <c r="G29" i="1"/>
  <c r="G27" i="1"/>
  <c r="G30" i="1"/>
  <c r="G28" i="1"/>
  <c r="G77" i="1"/>
  <c r="G74" i="1"/>
  <c r="G32" i="1"/>
  <c r="G26" i="1"/>
  <c r="H75" i="1"/>
  <c r="H50" i="1"/>
  <c r="H31" i="1"/>
  <c r="H29" i="1"/>
  <c r="H27" i="1"/>
  <c r="H77" i="1"/>
  <c r="H74" i="1"/>
  <c r="H32" i="1"/>
  <c r="H30" i="1"/>
  <c r="H28" i="1"/>
  <c r="H26" i="1"/>
  <c r="F31" i="1"/>
  <c r="F29" i="1"/>
  <c r="F27" i="1"/>
  <c r="F77" i="1"/>
  <c r="F32" i="1"/>
  <c r="F30" i="1"/>
  <c r="F75" i="1"/>
  <c r="F50" i="1"/>
  <c r="F28" i="1"/>
  <c r="F74" i="1"/>
  <c r="F26" i="1"/>
  <c r="D31" i="1"/>
  <c r="D32" i="1"/>
  <c r="D26" i="1"/>
  <c r="D27" i="1"/>
  <c r="D50" i="1"/>
  <c r="D29" i="1"/>
  <c r="D28" i="1"/>
  <c r="D75" i="1"/>
  <c r="D77" i="1"/>
  <c r="D74" i="1"/>
  <c r="D30" i="1"/>
  <c r="G60" i="7"/>
  <c r="D118" i="1"/>
  <c r="D32" i="5" s="1"/>
  <c r="D75" i="7" l="1"/>
  <c r="E25" i="5"/>
  <c r="D78" i="7"/>
  <c r="F101" i="1"/>
  <c r="M79" i="1"/>
  <c r="G101" i="1"/>
  <c r="N79" i="1"/>
  <c r="F24" i="5"/>
  <c r="L79" i="1"/>
  <c r="E101" i="1"/>
  <c r="H101" i="1"/>
  <c r="O79" i="1"/>
  <c r="L78" i="1"/>
  <c r="O78" i="1"/>
  <c r="G24" i="5"/>
  <c r="D77" i="7"/>
  <c r="H98" i="1"/>
  <c r="H22" i="5"/>
  <c r="F98" i="1"/>
  <c r="F22" i="5"/>
  <c r="D98" i="1"/>
  <c r="D22" i="5"/>
  <c r="G98" i="1"/>
  <c r="G22" i="5"/>
  <c r="E97" i="1"/>
  <c r="E22" i="5"/>
  <c r="E98" i="1"/>
  <c r="D24" i="5"/>
  <c r="L76" i="1"/>
  <c r="M76" i="1"/>
  <c r="K76" i="1"/>
  <c r="N76" i="1"/>
  <c r="O76" i="1"/>
  <c r="G26" i="5"/>
  <c r="H26" i="5"/>
  <c r="F26" i="5"/>
  <c r="E26" i="5"/>
  <c r="D26" i="5"/>
  <c r="D79" i="7"/>
  <c r="E100" i="1"/>
  <c r="G102" i="1"/>
  <c r="E102" i="1"/>
  <c r="G100" i="1"/>
  <c r="D100" i="1"/>
  <c r="F102" i="1"/>
  <c r="H102" i="1"/>
  <c r="F100" i="1"/>
  <c r="H100" i="1"/>
  <c r="D102" i="1"/>
  <c r="H103" i="1"/>
  <c r="H27" i="5"/>
  <c r="D103" i="1"/>
  <c r="D27" i="5"/>
  <c r="G103" i="1"/>
  <c r="G27" i="5"/>
  <c r="F103" i="1"/>
  <c r="F27" i="5"/>
  <c r="E103" i="1"/>
  <c r="E27" i="5"/>
  <c r="D80" i="7"/>
  <c r="D24" i="7"/>
  <c r="D96" i="1"/>
  <c r="D31" i="7"/>
  <c r="D60" i="7"/>
  <c r="H26" i="7"/>
  <c r="G26" i="7"/>
  <c r="D53" i="7" l="1"/>
  <c r="K53" i="7" s="1"/>
  <c r="I26" i="7"/>
  <c r="F26" i="7"/>
  <c r="D50" i="7"/>
  <c r="N50" i="7" s="1"/>
  <c r="D54" i="7"/>
  <c r="D52" i="7"/>
  <c r="D55" i="7"/>
  <c r="N55" i="7" s="1"/>
  <c r="M60" i="7"/>
  <c r="K60" i="7"/>
  <c r="N60" i="7"/>
  <c r="L60" i="7"/>
  <c r="N53" i="7" l="1"/>
  <c r="L53" i="7"/>
  <c r="M53" i="7"/>
  <c r="M50" i="7"/>
  <c r="L50" i="7"/>
  <c r="K50" i="7"/>
  <c r="L54" i="7"/>
  <c r="K54" i="7"/>
  <c r="N54" i="7"/>
  <c r="M54" i="7"/>
  <c r="L52" i="7"/>
  <c r="N52" i="7"/>
  <c r="K52" i="7"/>
  <c r="M52" i="7"/>
  <c r="L55" i="7"/>
  <c r="H10" i="7"/>
  <c r="H11" i="7"/>
  <c r="H13" i="7"/>
  <c r="H14" i="7"/>
  <c r="H16" i="7"/>
  <c r="H17" i="7"/>
  <c r="H18" i="7"/>
  <c r="H19" i="7"/>
  <c r="F79" i="7" l="1"/>
  <c r="K79" i="7" s="1"/>
  <c r="H77" i="7"/>
  <c r="M77" i="7" s="1"/>
  <c r="F77" i="7"/>
  <c r="K77" i="7" s="1"/>
  <c r="G79" i="7"/>
  <c r="L79" i="7" s="1"/>
  <c r="H79" i="7"/>
  <c r="M79" i="7" s="1"/>
  <c r="I79" i="7"/>
  <c r="N79" i="7" s="1"/>
  <c r="I77" i="7"/>
  <c r="N77" i="7" s="1"/>
  <c r="G77" i="7"/>
  <c r="L77" i="7" s="1"/>
  <c r="I72" i="7"/>
  <c r="G48" i="7"/>
  <c r="G47" i="7"/>
  <c r="H36" i="7"/>
  <c r="H72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8" i="7" s="1"/>
  <c r="H62" i="1" l="1"/>
  <c r="O73" i="1" s="1"/>
  <c r="G62" i="1"/>
  <c r="N73" i="1" s="1"/>
  <c r="F62" i="1"/>
  <c r="M73" i="1" s="1"/>
  <c r="E62" i="1"/>
  <c r="L73" i="1" s="1"/>
  <c r="D62" i="1"/>
  <c r="K73" i="1" s="1"/>
  <c r="E3" i="8" l="1"/>
  <c r="D3" i="8"/>
  <c r="B4" i="8"/>
  <c r="G4" i="8" s="1"/>
  <c r="H44" i="7"/>
  <c r="H38" i="7"/>
  <c r="H4" i="7"/>
  <c r="D47" i="7"/>
  <c r="N47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9" i="7"/>
  <c r="H49" i="7"/>
  <c r="H55" i="7"/>
  <c r="M55" i="7" s="1"/>
  <c r="F55" i="7"/>
  <c r="K55" i="7" s="1"/>
  <c r="F48" i="7"/>
  <c r="F47" i="7"/>
  <c r="K47" i="7" s="1"/>
  <c r="H47" i="7"/>
  <c r="M47" i="7" s="1"/>
  <c r="M33" i="7"/>
  <c r="F24" i="7"/>
  <c r="K24" i="7" s="1"/>
  <c r="F32" i="7"/>
  <c r="F27" i="7"/>
  <c r="F31" i="7"/>
  <c r="F30" i="7"/>
  <c r="L47" i="7"/>
  <c r="F28" i="7"/>
  <c r="F25" i="7"/>
  <c r="F29" i="7"/>
  <c r="F33" i="7"/>
  <c r="K33" i="7" s="1"/>
  <c r="L33" i="7"/>
  <c r="G72" i="7"/>
  <c r="F72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4" i="1" s="1"/>
  <c r="G63" i="1"/>
  <c r="N74" i="1" s="1"/>
  <c r="F63" i="1"/>
  <c r="M74" i="1" s="1"/>
  <c r="E63" i="1"/>
  <c r="L74" i="1" s="1"/>
  <c r="D63" i="1"/>
  <c r="K74" i="1" s="1"/>
  <c r="D64" i="1"/>
  <c r="E64" i="1"/>
  <c r="F64" i="1"/>
  <c r="M75" i="1" s="1"/>
  <c r="G64" i="1"/>
  <c r="N75" i="1" s="1"/>
  <c r="H64" i="1"/>
  <c r="O75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5" i="1"/>
  <c r="D86" i="1"/>
  <c r="L75" i="1"/>
  <c r="E86" i="1"/>
  <c r="D85" i="1"/>
  <c r="F85" i="1"/>
  <c r="L19" i="7"/>
  <c r="N19" i="7"/>
  <c r="H86" i="1"/>
  <c r="G85" i="1"/>
  <c r="H85" i="1"/>
  <c r="G86" i="1"/>
  <c r="F86" i="1"/>
  <c r="E85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4" i="1"/>
  <c r="F84" i="1"/>
  <c r="E84" i="1"/>
  <c r="D84" i="1"/>
  <c r="H4" i="5"/>
  <c r="F4" i="5"/>
  <c r="E4" i="5"/>
  <c r="D5" i="7" s="1"/>
  <c r="N5" i="7" s="1"/>
  <c r="D4" i="5"/>
  <c r="D4" i="7" s="1"/>
  <c r="H66" i="1"/>
  <c r="O77" i="1" s="1"/>
  <c r="G66" i="1"/>
  <c r="N77" i="1" s="1"/>
  <c r="F66" i="1"/>
  <c r="E66" i="1"/>
  <c r="L77" i="1" s="1"/>
  <c r="L91" i="1" s="1"/>
  <c r="D72" i="7"/>
  <c r="K77" i="1"/>
  <c r="K86" i="1" s="1"/>
  <c r="H14" i="1"/>
  <c r="G14" i="1"/>
  <c r="F14" i="1"/>
  <c r="E14" i="1"/>
  <c r="G4" i="5"/>
  <c r="L92" i="1" l="1"/>
  <c r="K90" i="1"/>
  <c r="K88" i="1"/>
  <c r="L90" i="1"/>
  <c r="M77" i="1"/>
  <c r="K85" i="1"/>
  <c r="K87" i="1"/>
  <c r="L87" i="1"/>
  <c r="K89" i="1"/>
  <c r="L85" i="1"/>
  <c r="M86" i="1"/>
  <c r="M90" i="1"/>
  <c r="M91" i="1"/>
  <c r="M88" i="1"/>
  <c r="M89" i="1"/>
  <c r="M85" i="1"/>
  <c r="M92" i="1"/>
  <c r="M87" i="1"/>
  <c r="M84" i="1"/>
  <c r="L86" i="1"/>
  <c r="O87" i="1"/>
  <c r="O86" i="1"/>
  <c r="O91" i="1"/>
  <c r="O85" i="1"/>
  <c r="O90" i="1"/>
  <c r="O88" i="1"/>
  <c r="O92" i="1"/>
  <c r="O84" i="1"/>
  <c r="O89" i="1"/>
  <c r="L84" i="1"/>
  <c r="L88" i="1"/>
  <c r="L89" i="1"/>
  <c r="N85" i="1"/>
  <c r="N92" i="1"/>
  <c r="N86" i="1"/>
  <c r="N88" i="1"/>
  <c r="N89" i="1"/>
  <c r="N91" i="1"/>
  <c r="N84" i="1"/>
  <c r="N87" i="1"/>
  <c r="N90" i="1"/>
  <c r="K92" i="1"/>
  <c r="K91" i="1"/>
  <c r="AH7" i="8"/>
  <c r="AG7" i="8"/>
  <c r="AE7" i="8"/>
  <c r="AD7" i="8"/>
  <c r="N7" i="8" s="1"/>
  <c r="N6" i="8"/>
  <c r="S6" i="8" s="1"/>
  <c r="I7" i="8"/>
  <c r="F8" i="8"/>
  <c r="G8" i="8"/>
  <c r="J7" i="8"/>
  <c r="K7" i="8"/>
  <c r="B9" i="8"/>
  <c r="E8" i="8"/>
  <c r="D8" i="8"/>
  <c r="D9" i="8" s="1"/>
  <c r="K84" i="1"/>
  <c r="H23" i="5"/>
  <c r="D23" i="5"/>
  <c r="G23" i="5"/>
  <c r="F23" i="5"/>
  <c r="E23" i="5"/>
  <c r="D76" i="7"/>
  <c r="N72" i="7"/>
  <c r="K72" i="7"/>
  <c r="N4" i="7"/>
  <c r="K4" i="7"/>
  <c r="M4" i="7"/>
  <c r="K5" i="7"/>
  <c r="L5" i="7"/>
  <c r="M5" i="7"/>
  <c r="F88" i="1"/>
  <c r="D88" i="1"/>
  <c r="G88" i="1"/>
  <c r="H19" i="5"/>
  <c r="H88" i="1"/>
  <c r="L72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8" i="1"/>
  <c r="M72" i="7"/>
  <c r="E15" i="5"/>
  <c r="E7" i="5"/>
  <c r="E10" i="5"/>
  <c r="E13" i="5"/>
  <c r="E8" i="5"/>
  <c r="E11" i="5"/>
  <c r="E14" i="5"/>
  <c r="E12" i="5"/>
  <c r="E9" i="5"/>
  <c r="H84" i="1"/>
  <c r="D36" i="7" s="1"/>
  <c r="E20" i="5"/>
  <c r="E21" i="5"/>
  <c r="H20" i="5"/>
  <c r="E99" i="1"/>
  <c r="F99" i="1"/>
  <c r="G99" i="1"/>
  <c r="H99" i="1"/>
  <c r="D112" i="1" l="1"/>
  <c r="D107" i="1"/>
  <c r="D110" i="1"/>
  <c r="D109" i="1"/>
  <c r="D108" i="1"/>
  <c r="D111" i="1"/>
  <c r="E107" i="1"/>
  <c r="E110" i="1"/>
  <c r="E112" i="1"/>
  <c r="E108" i="1"/>
  <c r="E111" i="1"/>
  <c r="E109" i="1"/>
  <c r="F106" i="1"/>
  <c r="E106" i="1"/>
  <c r="G9" i="8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0" i="7"/>
  <c r="L40" i="7" s="1"/>
  <c r="D74" i="7"/>
  <c r="K36" i="7"/>
  <c r="M36" i="7"/>
  <c r="N36" i="7"/>
  <c r="J9" i="8"/>
  <c r="N44" i="7"/>
  <c r="L4" i="7"/>
  <c r="K9" i="8" s="1"/>
  <c r="G7" i="5"/>
  <c r="F96" i="1"/>
  <c r="F20" i="5"/>
  <c r="G96" i="1"/>
  <c r="G20" i="5"/>
  <c r="H7" i="5"/>
  <c r="G97" i="1"/>
  <c r="G21" i="5"/>
  <c r="H97" i="1"/>
  <c r="H21" i="5"/>
  <c r="D97" i="1"/>
  <c r="D21" i="5"/>
  <c r="F97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6" i="1"/>
  <c r="E96" i="1"/>
  <c r="D73" i="7"/>
  <c r="D99" i="1"/>
  <c r="D51" i="7" s="1"/>
  <c r="N51" i="7" s="1"/>
  <c r="D20" i="5"/>
  <c r="L36" i="7"/>
  <c r="L9" i="8"/>
  <c r="F114" i="1" l="1"/>
  <c r="E114" i="1"/>
  <c r="AE9" i="8"/>
  <c r="G10" i="8"/>
  <c r="AE10" i="8" s="1"/>
  <c r="AA10" i="8"/>
  <c r="AD9" i="8"/>
  <c r="AH10" i="8"/>
  <c r="AG10" i="8"/>
  <c r="AF10" i="8"/>
  <c r="AD10" i="8"/>
  <c r="N8" i="8"/>
  <c r="B11" i="8"/>
  <c r="G11" i="8" s="1"/>
  <c r="Z10" i="8"/>
  <c r="W10" i="8"/>
  <c r="X10" i="8"/>
  <c r="Y10" i="8"/>
  <c r="D10" i="8"/>
  <c r="D11" i="8" s="1"/>
  <c r="E10" i="8"/>
  <c r="D106" i="1"/>
  <c r="D114" i="1" s="1"/>
  <c r="N40" i="7"/>
  <c r="M40" i="7"/>
  <c r="K40" i="7"/>
  <c r="M24" i="7"/>
  <c r="N24" i="7"/>
  <c r="F10" i="8"/>
  <c r="K51" i="7"/>
  <c r="M51" i="7"/>
  <c r="L51" i="7"/>
  <c r="D48" i="7"/>
  <c r="D49" i="7"/>
  <c r="N49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N9" i="8" l="1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6" i="7"/>
  <c r="G76" i="7"/>
  <c r="I76" i="7"/>
  <c r="H76" i="7"/>
  <c r="D30" i="5"/>
  <c r="H30" i="5"/>
  <c r="E30" i="5"/>
  <c r="G30" i="5"/>
  <c r="F30" i="5"/>
  <c r="K48" i="7"/>
  <c r="N48" i="7"/>
  <c r="L48" i="7"/>
  <c r="M48" i="7"/>
  <c r="L49" i="7"/>
  <c r="M49" i="7"/>
  <c r="K49" i="7"/>
  <c r="L38" i="7"/>
  <c r="L11" i="7"/>
  <c r="M37" i="7"/>
  <c r="K44" i="7"/>
  <c r="M18" i="7"/>
  <c r="H78" i="7" s="1"/>
  <c r="K14" i="7"/>
  <c r="M17" i="7"/>
  <c r="L16" i="7"/>
  <c r="L13" i="7"/>
  <c r="M15" i="7"/>
  <c r="K12" i="7"/>
  <c r="M12" i="7"/>
  <c r="L12" i="7"/>
  <c r="L17" i="7"/>
  <c r="K17" i="7"/>
  <c r="M44" i="7"/>
  <c r="K18" i="7"/>
  <c r="K13" i="7"/>
  <c r="K15" i="7"/>
  <c r="L18" i="7"/>
  <c r="L14" i="7"/>
  <c r="L15" i="7"/>
  <c r="M14" i="7"/>
  <c r="M38" i="7"/>
  <c r="K38" i="7"/>
  <c r="K11" i="7"/>
  <c r="L44" i="7"/>
  <c r="M16" i="7"/>
  <c r="M11" i="7"/>
  <c r="L37" i="7"/>
  <c r="K37" i="7"/>
  <c r="M13" i="7"/>
  <c r="K16" i="7"/>
  <c r="M10" i="7"/>
  <c r="G78" i="7" l="1"/>
  <c r="I78" i="7"/>
  <c r="F78" i="7"/>
  <c r="K78" i="7" s="1"/>
  <c r="F75" i="7"/>
  <c r="K75" i="7" s="1"/>
  <c r="N78" i="7"/>
  <c r="M78" i="7"/>
  <c r="H75" i="7"/>
  <c r="M75" i="7" s="1"/>
  <c r="L78" i="7"/>
  <c r="G75" i="7"/>
  <c r="L75" i="7" s="1"/>
  <c r="I75" i="7"/>
  <c r="N75" i="7" s="1"/>
  <c r="G12" i="8"/>
  <c r="AG12" i="8" s="1"/>
  <c r="AA12" i="8"/>
  <c r="Y12" i="8"/>
  <c r="W12" i="8"/>
  <c r="E12" i="8"/>
  <c r="X12" i="8"/>
  <c r="N11" i="8"/>
  <c r="S11" i="8" s="1"/>
  <c r="AD12" i="8"/>
  <c r="AH12" i="8"/>
  <c r="B13" i="8"/>
  <c r="Z12" i="8"/>
  <c r="D12" i="8"/>
  <c r="F11" i="8"/>
  <c r="F80" i="7"/>
  <c r="K80" i="7" s="1"/>
  <c r="I80" i="7"/>
  <c r="N80" i="7" s="1"/>
  <c r="G80" i="7"/>
  <c r="L80" i="7" s="1"/>
  <c r="H80" i="7"/>
  <c r="M80" i="7" s="1"/>
  <c r="F73" i="7"/>
  <c r="K73" i="7" s="1"/>
  <c r="H74" i="7"/>
  <c r="M74" i="7" s="1"/>
  <c r="N76" i="7"/>
  <c r="G73" i="7"/>
  <c r="L73" i="7" s="1"/>
  <c r="L76" i="7"/>
  <c r="M76" i="7"/>
  <c r="F74" i="7"/>
  <c r="K74" i="7" s="1"/>
  <c r="K76" i="7"/>
  <c r="G74" i="7"/>
  <c r="L74" i="7" s="1"/>
  <c r="I74" i="7"/>
  <c r="N74" i="7" s="1"/>
  <c r="H73" i="7"/>
  <c r="M73" i="7" s="1"/>
  <c r="I73" i="7"/>
  <c r="N73" i="7" s="1"/>
  <c r="F12" i="8"/>
  <c r="D58" i="7"/>
  <c r="D123" i="1"/>
  <c r="D125" i="1" s="1"/>
  <c r="F123" i="1"/>
  <c r="F125" i="1" s="1"/>
  <c r="G123" i="1"/>
  <c r="H123" i="1"/>
  <c r="E123" i="1"/>
  <c r="AE12" i="8" l="1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58" i="7"/>
  <c r="N58" i="7" s="1"/>
  <c r="F58" i="7"/>
  <c r="K58" i="7" s="1"/>
  <c r="H58" i="7"/>
  <c r="M58" i="7" s="1"/>
  <c r="G58" i="7"/>
  <c r="L58" i="7" s="1"/>
  <c r="F13" i="8"/>
  <c r="E125" i="1"/>
  <c r="H125" i="1"/>
  <c r="G125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59" i="7"/>
  <c r="F59" i="7"/>
  <c r="G59" i="7"/>
  <c r="F14" i="8"/>
  <c r="F126" i="1"/>
  <c r="G126" i="1"/>
  <c r="H126" i="1"/>
  <c r="E126" i="1"/>
  <c r="D126" i="1"/>
  <c r="E129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59" i="7"/>
  <c r="E16" i="8"/>
  <c r="F15" i="8"/>
  <c r="E132" i="1"/>
  <c r="H116" i="1" s="1"/>
  <c r="H120" i="1" s="1"/>
  <c r="E130" i="1"/>
  <c r="E131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6" i="1"/>
  <c r="F116" i="1"/>
  <c r="D116" i="1"/>
  <c r="G116" i="1"/>
  <c r="G120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0" i="1"/>
  <c r="F31" i="5"/>
  <c r="F120" i="1"/>
  <c r="E31" i="5"/>
  <c r="E120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59" i="7"/>
  <c r="N59" i="7" s="1"/>
  <c r="N62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2" i="7"/>
  <c r="D19" i="8"/>
  <c r="L18" i="8"/>
  <c r="J18" i="8"/>
  <c r="I18" i="8"/>
  <c r="K18" i="8"/>
  <c r="U12" i="8"/>
  <c r="U5" i="8"/>
  <c r="U15" i="8"/>
  <c r="M59" i="7"/>
  <c r="M62" i="7" s="1"/>
  <c r="U10" i="8"/>
  <c r="L59" i="7"/>
  <c r="L62" i="7" s="1"/>
  <c r="U16" i="8"/>
  <c r="K59" i="7"/>
  <c r="K62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3" i="7"/>
  <c r="P12" i="8"/>
  <c r="P14" i="8"/>
  <c r="P10" i="8"/>
  <c r="P18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8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8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N19" i="8" l="1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P20" i="8"/>
  <c r="W20" i="8" s="1"/>
  <c r="Q20" i="8"/>
  <c r="R20" i="8"/>
  <c r="Y20" i="8" s="1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AA20" i="8" l="1"/>
  <c r="X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X26" i="8" s="1"/>
  <c r="P25" i="8"/>
  <c r="W26" i="8" s="1"/>
  <c r="R25" i="8"/>
  <c r="P26" i="8"/>
  <c r="Q26" i="8"/>
  <c r="E28" i="8"/>
  <c r="F28" i="8" s="1"/>
  <c r="Z26" i="8"/>
  <c r="K27" i="8"/>
  <c r="I27" i="8"/>
  <c r="D28" i="8"/>
  <c r="J27" i="8"/>
  <c r="L27" i="8"/>
  <c r="U27" i="8"/>
  <c r="T27" i="8"/>
  <c r="E29" i="8"/>
  <c r="R26" i="8" l="1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/>
  <c r="Q37" i="8"/>
  <c r="R37" i="8"/>
  <c r="P37" i="8"/>
  <c r="AD39" i="8"/>
  <c r="AE39" i="8"/>
  <c r="AH39" i="8"/>
  <c r="AG39" i="8"/>
  <c r="AF39" i="8"/>
  <c r="R38" i="8"/>
  <c r="P38" i="8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X38" i="8" l="1"/>
  <c r="Y38" i="8"/>
  <c r="W38" i="8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E40" i="5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M67" i="7" s="1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X92" i="8" l="1"/>
  <c r="K67" i="7" s="1"/>
  <c r="N67" i="7"/>
  <c r="W92" i="8"/>
  <c r="D67" i="7" s="1"/>
  <c r="Y92" i="8"/>
  <c r="L67" i="7" s="1"/>
  <c r="T94" i="8"/>
  <c r="U94" i="8"/>
  <c r="F1" i="8"/>
  <c r="N93" i="8"/>
  <c r="AH94" i="8"/>
  <c r="AD94" i="8"/>
  <c r="AG94" i="8"/>
  <c r="AF94" i="8"/>
  <c r="AE94" i="8"/>
  <c r="E41" i="5" s="1"/>
  <c r="E43" i="5" s="1"/>
  <c r="I94" i="8"/>
  <c r="J94" i="8"/>
  <c r="K94" i="8"/>
  <c r="L94" i="8"/>
  <c r="F41" i="5" l="1"/>
  <c r="F43" i="5" s="1"/>
  <c r="C48" i="5" s="1"/>
  <c r="F40" i="5"/>
  <c r="C47" i="5"/>
  <c r="K68" i="7"/>
  <c r="N68" i="7"/>
  <c r="M68" i="7"/>
  <c r="L68" i="7"/>
  <c r="S93" i="8"/>
  <c r="P93" i="8"/>
  <c r="Q93" i="8"/>
  <c r="R93" i="8"/>
  <c r="N94" i="8"/>
  <c r="D65" i="7" l="1"/>
  <c r="S94" i="8"/>
  <c r="P94" i="8"/>
  <c r="Q94" i="8"/>
  <c r="R94" i="8"/>
  <c r="M65" i="7" l="1"/>
  <c r="L65" i="7"/>
  <c r="K65" i="7"/>
  <c r="N65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<sst xmlns="http://schemas.openxmlformats.org/spreadsheetml/2006/main" count="442" uniqueCount="153">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</sst>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9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58</v>
      </c>
      <c r="C1" s="70">
        <v>43647</v>
      </c>
    </row>
    <row r="2" spans="2:12" x14ac:dyDescent="0.35">
      <c r="B2" s="67" t="s">
        <v>72</v>
      </c>
      <c r="C2" s="71">
        <v>36</v>
      </c>
    </row>
    <row r="3" spans="2:12" x14ac:dyDescent="0.35">
      <c r="B3" s="67" t="s">
        <v>122</v>
      </c>
      <c r="C3" s="55" t="s">
        <v>124</v>
      </c>
    </row>
    <row r="4" spans="2:12" x14ac:dyDescent="0.35">
      <c r="B4" s="67" t="s">
        <v>131</v>
      </c>
      <c r="C4" s="55" t="s">
        <v>40</v>
      </c>
    </row>
    <row r="5" spans="2:12" x14ac:dyDescent="0.35">
      <c r="B5" s="68"/>
      <c r="C5" s="72"/>
      <c r="D5" s="13" t="s">
        <v>105</v>
      </c>
      <c r="E5" s="13" t="s">
        <v>106</v>
      </c>
      <c r="F5" s="13" t="s">
        <v>107</v>
      </c>
      <c r="G5" s="13" t="s">
        <v>108</v>
      </c>
      <c r="H5" s="14" t="s">
        <v>109</v>
      </c>
    </row>
    <row r="6" spans="2:12" ht="18" customHeight="1" x14ac:dyDescent="0.35">
      <c r="B6" s="69" t="s">
        <v>5</v>
      </c>
      <c r="D6" s="55" t="s">
        <v>3</v>
      </c>
      <c r="E6" s="55" t="s">
        <v>3</v>
      </c>
      <c r="F6" s="55" t="s">
        <v>28</v>
      </c>
      <c r="G6" s="55"/>
      <c r="H6" s="56"/>
      <c r="L6" t="s">
        <v>3</v>
      </c>
    </row>
    <row r="7" spans="2:12" ht="18" customHeight="1" x14ac:dyDescent="0.35">
      <c r="B7" s="69" t="s">
        <v>80</v>
      </c>
      <c r="D7" s="55" t="s">
        <v>3</v>
      </c>
      <c r="E7" s="55" t="s">
        <v>28</v>
      </c>
      <c r="F7" s="55" t="s">
        <v>28</v>
      </c>
      <c r="G7" s="55"/>
      <c r="H7" s="56"/>
      <c r="L7" t="s">
        <v>28</v>
      </c>
    </row>
    <row r="8" spans="2:12" ht="18" customHeight="1" x14ac:dyDescent="0.35">
      <c r="B8" s="69" t="s">
        <v>6</v>
      </c>
      <c r="D8" s="55" t="s">
        <v>28</v>
      </c>
      <c r="E8" s="55" t="s">
        <v>28</v>
      </c>
      <c r="F8" s="55" t="s">
        <v>28</v>
      </c>
      <c r="G8" s="55"/>
      <c r="H8" s="56"/>
    </row>
    <row r="9" spans="2:12" ht="18" customHeight="1" x14ac:dyDescent="0.35">
      <c r="B9" s="69" t="s">
        <v>139</v>
      </c>
      <c r="D9" s="55" t="s">
        <v>28</v>
      </c>
      <c r="E9" s="55" t="s">
        <v>28</v>
      </c>
      <c r="F9" s="55" t="s">
        <v>3</v>
      </c>
      <c r="G9" s="55"/>
      <c r="H9" s="56"/>
    </row>
    <row r="10" spans="2:12" ht="18" customHeight="1" x14ac:dyDescent="0.35">
      <c r="B10" s="69" t="s">
        <v>4</v>
      </c>
      <c r="D10" s="55">
        <v>25000</v>
      </c>
      <c r="E10" s="55">
        <v>50000</v>
      </c>
      <c r="F10" s="55">
        <v>250000</v>
      </c>
      <c r="G10" s="55"/>
      <c r="H10" s="56"/>
      <c r="L10" t="s">
        <v>123</v>
      </c>
    </row>
    <row r="11" spans="2:12" ht="18" customHeight="1" x14ac:dyDescent="0.35">
      <c r="B11" s="69" t="s">
        <v>110</v>
      </c>
      <c r="D11" s="55">
        <v>1</v>
      </c>
      <c r="E11" s="55">
        <v>1</v>
      </c>
      <c r="F11" s="55">
        <v>1</v>
      </c>
      <c r="G11" s="55"/>
      <c r="H11" s="56"/>
      <c r="L11" t="s">
        <v>124</v>
      </c>
    </row>
    <row r="12" spans="2:12" ht="18" customHeight="1" x14ac:dyDescent="0.35">
      <c r="B12" s="69" t="s">
        <v>97</v>
      </c>
      <c r="D12" s="55" t="s">
        <v>28</v>
      </c>
      <c r="E12" s="55" t="s">
        <v>28</v>
      </c>
      <c r="F12" s="55" t="s">
        <v>3</v>
      </c>
      <c r="G12" s="55"/>
      <c r="H12" s="56"/>
    </row>
    <row r="13" spans="2:12" ht="18" customHeight="1" x14ac:dyDescent="0.35">
      <c r="B13" s="69" t="s">
        <v>7</v>
      </c>
      <c r="D13" s="55" t="s">
        <v>28</v>
      </c>
      <c r="E13" s="55" t="s">
        <v>28</v>
      </c>
      <c r="F13" s="55" t="s">
        <v>28</v>
      </c>
      <c r="G13" s="55"/>
      <c r="H13" s="56"/>
      <c r="L13" t="s">
        <v>40</v>
      </c>
    </row>
    <row r="14" spans="2:12" ht="18" customHeight="1" x14ac:dyDescent="0.35">
      <c r="B14" s="69" t="s">
        <v>8</v>
      </c>
      <c r="D14" s="55" t="s">
        <v>28</v>
      </c>
      <c r="E14" s="55" t="s">
        <v>28</v>
      </c>
      <c r="F14" s="55" t="s">
        <v>28</v>
      </c>
      <c r="G14" s="55"/>
      <c r="H14" s="56"/>
      <c r="L14" t="s">
        <v>41</v>
      </c>
    </row>
    <row r="15" spans="2:12" ht="18" customHeight="1" x14ac:dyDescent="0.35">
      <c r="B15" s="69" t="s">
        <v>21</v>
      </c>
      <c r="D15" s="55" t="s">
        <v>28</v>
      </c>
      <c r="E15" s="55" t="s">
        <v>28</v>
      </c>
      <c r="F15" s="55" t="s">
        <v>28</v>
      </c>
      <c r="G15" s="55"/>
      <c r="H15" s="56"/>
    </row>
    <row r="16" spans="2:12" ht="18" customHeight="1" x14ac:dyDescent="0.35">
      <c r="B16" s="69" t="s">
        <v>9</v>
      </c>
      <c r="D16" s="55" t="s">
        <v>28</v>
      </c>
      <c r="E16" s="55" t="s">
        <v>28</v>
      </c>
      <c r="F16" s="55" t="s">
        <v>28</v>
      </c>
      <c r="G16" s="55"/>
      <c r="H16" s="56"/>
      <c r="L16" t="s">
        <v>3</v>
      </c>
    </row>
    <row r="17" spans="2:12" ht="18" customHeight="1" x14ac:dyDescent="0.35">
      <c r="B17" s="69" t="s">
        <v>10</v>
      </c>
      <c r="D17" s="55" t="s">
        <v>28</v>
      </c>
      <c r="E17" s="55" t="s">
        <v>28</v>
      </c>
      <c r="F17" s="55" t="s">
        <v>28</v>
      </c>
      <c r="G17" s="55"/>
      <c r="H17" s="56"/>
      <c r="L17" t="s">
        <v>28</v>
      </c>
    </row>
    <row r="18" spans="2:12" ht="18" customHeight="1" x14ac:dyDescent="0.35">
      <c r="B18" s="69" t="s">
        <v>77</v>
      </c>
      <c r="D18" s="55" t="s">
        <v>28</v>
      </c>
      <c r="E18" s="55" t="s">
        <v>28</v>
      </c>
      <c r="F18" s="55" t="s">
        <v>28</v>
      </c>
      <c r="G18" s="55"/>
      <c r="H18" s="56"/>
      <c r="L18" t="s">
        <v>123</v>
      </c>
    </row>
    <row r="19" spans="2:12" ht="18" customHeight="1" x14ac:dyDescent="0.35">
      <c r="B19" s="69" t="s">
        <v>11</v>
      </c>
      <c r="D19" s="55" t="s">
        <v>28</v>
      </c>
      <c r="E19" s="55" t="s">
        <v>28</v>
      </c>
      <c r="F19" s="55" t="s">
        <v>28</v>
      </c>
      <c r="G19" s="55"/>
      <c r="H19" s="56"/>
    </row>
    <row r="20" spans="2:12" ht="18" customHeight="1" x14ac:dyDescent="0.35">
      <c r="B20" s="69" t="s">
        <v>149</v>
      </c>
      <c r="D20" s="55" t="s">
        <v>28</v>
      </c>
      <c r="E20" s="55" t="s">
        <v>28</v>
      </c>
      <c r="F20" s="55" t="s">
        <v>28</v>
      </c>
      <c r="G20" s="55"/>
      <c r="H20" s="56"/>
    </row>
    <row r="21" spans="2:12" ht="18" customHeight="1" x14ac:dyDescent="0.35">
      <c r="B21" s="69" t="s">
        <v>12</v>
      </c>
      <c r="D21" s="55" t="s">
        <v>28</v>
      </c>
      <c r="E21" s="55" t="s">
        <v>28</v>
      </c>
      <c r="F21" s="55" t="s">
        <v>28</v>
      </c>
      <c r="G21" s="55"/>
      <c r="H21" s="56"/>
    </row>
    <row r="22" spans="2:12" ht="18" customHeight="1" x14ac:dyDescent="0.35">
      <c r="B22" s="69" t="s">
        <v>13</v>
      </c>
      <c r="D22" s="55" t="s">
        <v>3</v>
      </c>
      <c r="E22" s="55" t="s">
        <v>28</v>
      </c>
      <c r="F22" s="55" t="s">
        <v>28</v>
      </c>
      <c r="G22" s="55"/>
      <c r="H22" s="56"/>
    </row>
    <row r="23" spans="2:12" ht="18" customHeight="1" x14ac:dyDescent="0.35">
      <c r="B23" s="69" t="s">
        <v>14</v>
      </c>
      <c r="D23" s="55" t="s">
        <v>28</v>
      </c>
      <c r="E23" s="55" t="s">
        <v>28</v>
      </c>
      <c r="F23" s="55" t="s">
        <v>3</v>
      </c>
      <c r="G23" s="55"/>
      <c r="H23" s="56"/>
    </row>
    <row r="24" spans="2:12" ht="18" customHeight="1" x14ac:dyDescent="0.35">
      <c r="B24" s="69" t="s">
        <v>15</v>
      </c>
      <c r="D24" s="55" t="s">
        <v>28</v>
      </c>
      <c r="E24" s="55" t="s">
        <v>3</v>
      </c>
      <c r="F24" s="55" t="s">
        <v>28</v>
      </c>
      <c r="G24" s="55"/>
      <c r="H24" s="56"/>
    </row>
    <row r="25" spans="2:12" ht="18" customHeight="1" x14ac:dyDescent="0.35">
      <c r="B25" s="69" t="s">
        <v>129</v>
      </c>
      <c r="D25" s="55" t="s">
        <v>28</v>
      </c>
      <c r="E25" s="55" t="s">
        <v>3</v>
      </c>
      <c r="F25" s="55" t="s">
        <v>28</v>
      </c>
      <c r="G25" s="55"/>
      <c r="H25" s="56"/>
    </row>
    <row r="26" spans="2:12" ht="18" customHeight="1" x14ac:dyDescent="0.35">
      <c r="B26" s="69" t="s">
        <v>16</v>
      </c>
      <c r="D26" s="55" t="s">
        <v>28</v>
      </c>
      <c r="E26" s="55" t="s">
        <v>28</v>
      </c>
      <c r="F26" s="55" t="s">
        <v>28</v>
      </c>
      <c r="G26" s="55"/>
      <c r="H26" s="56"/>
    </row>
    <row r="27" spans="2:12" ht="18" customHeight="1" x14ac:dyDescent="0.35">
      <c r="B27" s="69" t="s">
        <v>99</v>
      </c>
      <c r="D27" s="55" t="s">
        <v>28</v>
      </c>
      <c r="E27" s="55" t="s">
        <v>28</v>
      </c>
      <c r="F27" s="55" t="s">
        <v>28</v>
      </c>
      <c r="G27" s="55"/>
      <c r="H27" s="56"/>
    </row>
    <row r="28" spans="2:12" ht="18" customHeight="1" x14ac:dyDescent="0.35">
      <c r="B28" s="69" t="s">
        <v>150</v>
      </c>
      <c r="D28" s="55" t="s">
        <v>28</v>
      </c>
      <c r="E28" s="55" t="s">
        <v>3</v>
      </c>
      <c r="F28" s="55" t="s">
        <v>3</v>
      </c>
      <c r="G28" s="55"/>
      <c r="H28" s="56"/>
    </row>
    <row r="29" spans="2:12" ht="18" customHeight="1" x14ac:dyDescent="0.35">
      <c r="B29" s="92" t="s">
        <v>98</v>
      </c>
      <c r="C29" s="93"/>
      <c r="D29" s="94" t="s">
        <v>28</v>
      </c>
      <c r="E29" s="94" t="s">
        <v>28</v>
      </c>
      <c r="F29" s="94" t="s">
        <v>28</v>
      </c>
      <c r="G29" s="94"/>
      <c r="H29" s="95"/>
    </row>
  </sheetData>
  <dataValidations count="5">
    <dataValidation type="list" allowBlank="1" showInputMessage="1" showErrorMessage="1" sqref="D13:D28 D6:H9 E13:H26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E27:H28 D12:H12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5000</v>
      </c>
      <c r="F4" s="1">
        <f>MAX(Calcs!F4, 0)</f>
        <v>20000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35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15000</v>
      </c>
      <c r="F7" s="16">
        <f>SUM(Calcs!F38, Calcs!F50)</f>
        <v>54570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20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21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77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149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22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36</v>
      </c>
    </row>
    <row r="19" spans="2:21" x14ac:dyDescent="0.35">
      <c r="C19" t="s">
        <v>13</v>
      </c>
      <c r="D19" s="1">
        <f>SUM(Calcs!D62, Calcs!D73)</f>
        <v>8500</v>
      </c>
      <c r="E19" s="1">
        <f>SUM(Calcs!E62, Calcs!E73)</f>
        <v>0</v>
      </c>
      <c r="F19" s="1">
        <f>SUM(Calcs!F62, Calcs!F73)</f>
        <v>0</v>
      </c>
      <c r="G19" s="1">
        <f>SUM(Calcs!G62, Calcs!G73)</f>
        <v>0</v>
      </c>
      <c r="H19" s="1">
        <f>SUM(Calcs!H62, Calcs!H73)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14</v>
      </c>
      <c r="D20" s="1">
        <f>SUM(Calcs!D63, Calcs!D74)</f>
        <v>0</v>
      </c>
      <c r="E20" s="1">
        <f>SUM(Calcs!E63, Calcs!E74)</f>
        <v>0</v>
      </c>
      <c r="F20" s="1">
        <f>SUM(Calcs!F63, Calcs!F74)</f>
        <v>58480</v>
      </c>
      <c r="G20" s="1">
        <f>SUM(Calcs!G63, Calcs!G74)</f>
        <v>0</v>
      </c>
      <c r="H20" s="1">
        <f>SUM(Calcs!H63, Calcs!H74)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15</v>
      </c>
      <c r="D21" s="1">
        <f>SUM(Calcs!D64, Calcs!D75)</f>
        <v>0</v>
      </c>
      <c r="E21" s="1">
        <f>SUM(Calcs!E64, Calcs!E75)</f>
        <v>35000</v>
      </c>
      <c r="F21" s="1">
        <f>SUM(Calcs!F64, Calcs!F75)</f>
        <v>0</v>
      </c>
      <c r="G21" s="1">
        <f>SUM(Calcs!G64, Calcs!G75)</f>
        <v>0</v>
      </c>
      <c r="H21" s="1">
        <f>SUM(Calcs!H64, Calcs!H75)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129</v>
      </c>
      <c r="D22" s="1">
        <f>SUM(Calcs!D65, Calcs!D76)</f>
        <v>0</v>
      </c>
      <c r="E22" s="1">
        <f>SUM(Calcs!E65, Calcs!E76)</f>
        <v>35000</v>
      </c>
      <c r="F22" s="1">
        <f>SUM(Calcs!F65, Calcs!F76)</f>
        <v>0</v>
      </c>
      <c r="G22" s="1">
        <f>SUM(Calcs!G65, Calcs!G76)</f>
        <v>0</v>
      </c>
      <c r="H22" s="1">
        <f>SUM(Calcs!H65, Calcs!H76)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16</v>
      </c>
      <c r="D23" s="1">
        <f>SUM(Calcs!D66, Calcs!D77)</f>
        <v>0</v>
      </c>
      <c r="E23" s="1">
        <f>SUM(Calcs!E66, Calcs!E77)</f>
        <v>0</v>
      </c>
      <c r="F23" s="1">
        <f>SUM(Calcs!F66, Calcs!F77)</f>
        <v>0</v>
      </c>
      <c r="G23" s="1">
        <f>SUM(Calcs!G66, Calcs!G77)</f>
        <v>0</v>
      </c>
      <c r="H23" s="1">
        <f>SUM(Calcs!H66, Calcs!H77)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99</v>
      </c>
      <c r="D24" s="1">
        <f>SUM(Calcs!D67, Calcs!D78)</f>
        <v>0</v>
      </c>
      <c r="E24" s="1">
        <f>SUM(Calcs!E67, Calcs!E78)</f>
        <v>0</v>
      </c>
      <c r="F24" s="1">
        <f>SUM(Calcs!F67, Calcs!F78)</f>
        <v>0</v>
      </c>
      <c r="G24" s="1">
        <f>SUM(Calcs!G67, Calcs!G78)</f>
        <v>0</v>
      </c>
      <c r="H24" s="1">
        <f>SUM(Calcs!H67, Calcs!H78)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150</v>
      </c>
      <c r="D25" s="1">
        <f>SUM(Calcs!D68, Calcs!D79)</f>
        <v>0</v>
      </c>
      <c r="E25" s="1">
        <f>SUM(Calcs!E68, Calcs!E79)</f>
        <v>28000</v>
      </c>
      <c r="F25" s="1">
        <f>SUM(Calcs!F68, Calcs!F79)</f>
        <v>44380</v>
      </c>
      <c r="G25" s="1">
        <f>SUM(Calcs!G68, Calcs!G79)</f>
        <v>0</v>
      </c>
      <c r="H25" s="1">
        <f>SUM(Calcs!H68, Calcs!H79)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Calcs!D80)</f>
        <v>0</v>
      </c>
      <c r="E26" s="1">
        <f>SUM(Calcs!E69, Calcs!E80)</f>
        <v>0</v>
      </c>
      <c r="F26" s="1">
        <f>SUM(Calcs!F69, Calcs!F80)</f>
        <v>0</v>
      </c>
      <c r="G26" s="1">
        <f>SUM(Calcs!G69, Calcs!G80)</f>
        <v>0</v>
      </c>
      <c r="H26" s="1">
        <f>SUM(Calcs!H69, Calcs!H80)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35">
      <c r="C27" t="s">
        <v>97</v>
      </c>
      <c r="D27" s="1">
        <f>SUM(Calcs!D70, Calcs!D81)</f>
        <v>0</v>
      </c>
      <c r="E27" s="1">
        <f>SUM(Calcs!E70, Calcs!E81)</f>
        <v>0</v>
      </c>
      <c r="F27" s="1">
        <f>SUM(Calcs!F70, Calcs!F81)</f>
        <v>47820</v>
      </c>
      <c r="G27" s="1">
        <f>SUM(Calcs!G70, Calcs!G81)</f>
        <v>0</v>
      </c>
      <c r="H27" s="1">
        <f>SUM(Calcs!H70, Calcs!H81)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37</v>
      </c>
    </row>
    <row r="30" spans="2:21" x14ac:dyDescent="0.35">
      <c r="C30" t="s">
        <v>38</v>
      </c>
      <c r="D30" s="1">
        <f>SUM(Calcs!D106:D110)</f>
        <v>0</v>
      </c>
      <c r="E30" s="1">
        <f>SUM(Calcs!E106:E110)</f>
        <v>-23100</v>
      </c>
      <c r="F30" s="1">
        <f>SUM(Calcs!F106:F110)</f>
        <v>-34317</v>
      </c>
      <c r="G30" s="1">
        <f>SUM(Calcs!G106:G110)</f>
        <v>0</v>
      </c>
      <c r="H30" s="1">
        <f>SUM(Calcs!H106:H110)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35">
      <c r="C31" t="s">
        <v>115</v>
      </c>
      <c r="D31" s="1">
        <f>Calcs!D116</f>
        <v>-11750</v>
      </c>
      <c r="E31" s="1">
        <f>Calcs!E116</f>
        <v>-40455</v>
      </c>
      <c r="F31" s="1">
        <f>Calcs!F116</f>
        <v>0</v>
      </c>
      <c r="G31" s="1">
        <f>Calcs!G116</f>
        <v>0</v>
      </c>
      <c r="H31" s="1">
        <f>Calcs!H116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35">
      <c r="C32" t="s">
        <v>82</v>
      </c>
      <c r="D32" s="1">
        <f>Calcs!D118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35">
      <c r="B34" s="6" t="s">
        <v>39</v>
      </c>
      <c r="D34" s="7">
        <f>SUM(D7:D16, D19:D27, D30:D32)</f>
        <v>8225</v>
      </c>
      <c r="E34" s="7">
        <f>SUM(E7:E16, E19:E27, E30:E31)</f>
        <v>49445</v>
      </c>
      <c r="F34" s="7">
        <f>SUM(F7:F16, F19:F27, F30:F31)</f>
        <v>170933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3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3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35">
      <c r="C37" s="64">
        <f>INDEX(Outputs_Timeline!$D$3:$D$94,MATCH(Inputs!$C$1,Outputs_Timeline!$B$3:$B$94,0),1)</f>
        <v>1.0125</v>
      </c>
    </row>
    <row r="38" spans="2:21" x14ac:dyDescent="0.35">
      <c r="C38" s="64"/>
    </row>
    <row r="39" spans="2:21" x14ac:dyDescent="0.35">
      <c r="B39" s="6" t="s">
        <v>145</v>
      </c>
      <c r="C39" s="64"/>
      <c r="D39" s="104"/>
      <c r="E39" s="7"/>
      <c r="F39" s="7"/>
      <c r="G39" s="7"/>
      <c r="H39" s="7"/>
    </row>
    <row r="40" spans="2:21" x14ac:dyDescent="0.35">
      <c r="C40" s="64" t="s">
        <v>143</v>
      </c>
      <c r="D40" s="1">
        <f>IF(Inputs!D$6 = "N", SUMIF(Outputs_Timeline!$B$3:$B$204,"&lt;" &amp; EDATE(Inputs!$C$1,12), Outputs_Timeline!AD$3:AD$204), 0)</f>
        <v>0</v>
      </c>
      <c r="E40" s="1">
        <f>IF(Inputs!E$6 = "N", SUMIF(Outputs_Timeline!$B$3:$B$204,"&lt;" &amp; EDATE(Inputs!$C$1,12), Outputs_Timeline!AE$3:AE$204), 0)</f>
        <v>0</v>
      </c>
      <c r="F40" s="1">
        <f>IF(Inputs!F$6 = "N", SUMIF(Outputs_Timeline!$B$3:$B$204,"&lt;" &amp; EDATE(Inputs!$C$1,12), Outputs_Timeline!AF$3:AF$204), 0)</f>
        <v>40487.5</v>
      </c>
      <c r="G40" s="1">
        <f>IF(Inputs!G$6 = "N", SUMIF(Outputs_Timeline!$B$3:$B$204,"&lt;" &amp; EDATE(Inputs!$C$1,12), Outputs_Timeline!AG$3:AG$204), 0)</f>
        <v>0</v>
      </c>
      <c r="H40" s="1">
        <f>IF(Inputs!H$6 = "N", SUMIF(Outputs_Timeline!$B$3:$B$204,"&lt;" &amp; EDATE(Inputs!$C$1,12), Outputs_Timeline!AH$3:AH$204), 0)</f>
        <v>0</v>
      </c>
    </row>
    <row r="41" spans="2:21" x14ac:dyDescent="0.35">
      <c r="C41" s="64" t="s">
        <v>144</v>
      </c>
      <c r="D41" s="1">
        <f>IF(Inputs!D$6 = "N", SUM(Outputs_Timeline!AD$3:AD$204), 0)</f>
        <v>0</v>
      </c>
      <c r="E41" s="1">
        <f>IF(Inputs!E$6 = "N", SUM(Outputs_Timeline!AE$3:AE$204), 0)</f>
        <v>0</v>
      </c>
      <c r="F41" s="1">
        <f>IF(Inputs!F$6 = "N", SUM(Outputs_Timeline!AF$3:AF$204), 0)</f>
        <v>127636.84375</v>
      </c>
      <c r="G41" s="1">
        <f>IF(Inputs!G$6 = "N", SUM(Outputs_Timeline!AG$3:AG$204), 0)</f>
        <v>0</v>
      </c>
      <c r="H41" s="1">
        <f>IF(Inputs!H$6 = "N", SUM(Outputs_Timeline!AH$3:AH$204), 0)</f>
        <v>0</v>
      </c>
    </row>
    <row r="43" spans="2:21" x14ac:dyDescent="0.35">
      <c r="B43" s="6" t="s">
        <v>73</v>
      </c>
      <c r="D43" s="7">
        <f>(D34/12*Inputs!$C$2+D4)*$C$37+D41</f>
        <v>24983.4375</v>
      </c>
      <c r="E43" s="7">
        <f>(E34/12*Inputs!$C$2+E4)*$C$37+E41</f>
        <v>155251.6875</v>
      </c>
      <c r="F43" s="7">
        <f>(F34/12*Inputs!$C$2+F4)*$C$37+F41</f>
        <v>667095.83124999993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3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35">
      <c r="B46" s="6" t="s">
        <v>70</v>
      </c>
    </row>
    <row r="47" spans="2:21" x14ac:dyDescent="0.35">
      <c r="C47" s="7">
        <f>SUM(Outputs_Timeline!W:W)</f>
        <v>847330.95625000016</v>
      </c>
    </row>
    <row r="48" spans="2:21" x14ac:dyDescent="0.35">
      <c r="C48" s="52">
        <f>SUM(D43:H43)</f>
        <v>847330.95624999993</v>
      </c>
      <c r="D48" s="1"/>
      <c r="G48" s="1"/>
    </row>
    <row r="49" spans="4:6" x14ac:dyDescent="0.35">
      <c r="D49" s="1"/>
      <c r="E49" s="1"/>
      <c r="F49" s="1"/>
    </row>
    <row r="50" spans="4:6" x14ac:dyDescent="0.35">
      <c r="D50" s="2"/>
      <c r="E50" s="1"/>
      <c r="F50" s="1"/>
    </row>
    <row r="51" spans="4:6" x14ac:dyDescent="0.3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57</v>
      </c>
      <c r="G1" s="50"/>
      <c r="H1" s="50"/>
      <c r="I1" s="50"/>
    </row>
    <row r="2" spans="2:17" x14ac:dyDescent="0.3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35">
      <c r="B3" s="6" t="s">
        <v>0</v>
      </c>
    </row>
    <row r="4" spans="2:17" x14ac:dyDescent="0.35">
      <c r="C4" t="s">
        <v>75</v>
      </c>
      <c r="D4" s="1">
        <f>SUMIF(Inputs!$D$6:$H$6, "Y", Outputs_External!D4:'Outputs_External'!H4)</f>
        <v>5000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76</v>
      </c>
      <c r="D5" s="1">
        <f>SUMIF(Inputs!$D$6:$H$6, "N", Outputs_External!D4:'Outputs_External'!H4)</f>
        <v>20000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60000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28500.000000000004</v>
      </c>
      <c r="L10" s="100">
        <f>(IF(Inputs!C4="New York",-$H$7,$H$7)+G10)*D10</f>
        <v>31500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20</v>
      </c>
      <c r="D11" s="18">
        <f>SUM(Calcs!D15:H15)</f>
        <v>1000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100</v>
      </c>
      <c r="L11" s="18">
        <f t="shared" ref="L11:L18" si="4">G11*$D11</f>
        <v>900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4000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1800</v>
      </c>
      <c r="L12" s="18">
        <f t="shared" si="4"/>
        <v>1800</v>
      </c>
      <c r="M12" s="18">
        <f t="shared" si="2"/>
        <v>0</v>
      </c>
      <c r="N12" s="18">
        <f t="shared" si="2"/>
        <v>400</v>
      </c>
    </row>
    <row r="13" spans="2:17" x14ac:dyDescent="0.35">
      <c r="C13" s="17" t="s">
        <v>21</v>
      </c>
      <c r="D13" s="18">
        <f>SUM(Calcs!D17:H17)</f>
        <v>2000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1800</v>
      </c>
      <c r="L13" s="18">
        <f t="shared" si="4"/>
        <v>200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2000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1300</v>
      </c>
      <c r="L14" s="18">
        <f t="shared" si="4"/>
        <v>700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6000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600</v>
      </c>
      <c r="L15" s="18">
        <f t="shared" si="4"/>
        <v>600</v>
      </c>
      <c r="M15" s="18">
        <f t="shared" si="2"/>
        <v>4800</v>
      </c>
      <c r="N15" s="18">
        <f>I15*$D15</f>
        <v>0</v>
      </c>
    </row>
    <row r="16" spans="2:17" x14ac:dyDescent="0.35">
      <c r="C16" s="17" t="s">
        <v>77</v>
      </c>
      <c r="D16" s="18">
        <f>SUM(Calcs!D20:H20)</f>
        <v>4000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3600</v>
      </c>
      <c r="L16" s="18">
        <f t="shared" si="4"/>
        <v>400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10000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1000</v>
      </c>
      <c r="L17" s="20">
        <f t="shared" si="4"/>
        <v>9000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149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22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128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54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20</v>
      </c>
      <c r="D25" s="18">
        <f>SUM(Calcs!D27:H27)</f>
        <v>3640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91.000000000000085</v>
      </c>
      <c r="L25" s="18">
        <f t="shared" ref="L25:L33" si="9">G25*$D25</f>
        <v>3549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4550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1768.2954545454545</v>
      </c>
      <c r="L26" s="18">
        <f t="shared" si="9"/>
        <v>2388.75</v>
      </c>
      <c r="M26" s="18">
        <f t="shared" si="10"/>
        <v>0</v>
      </c>
      <c r="N26" s="18">
        <f t="shared" si="10"/>
        <v>392.95454545454538</v>
      </c>
    </row>
    <row r="27" spans="2:14" x14ac:dyDescent="0.35">
      <c r="C27" s="17" t="s">
        <v>21</v>
      </c>
      <c r="D27" s="18">
        <f>SUM(Calcs!D29:H29)</f>
        <v>3640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3003</v>
      </c>
      <c r="L27" s="18">
        <f t="shared" si="9"/>
        <v>637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3640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2093</v>
      </c>
      <c r="L28" s="18">
        <f t="shared" si="9"/>
        <v>1547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4550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417.08333333333337</v>
      </c>
      <c r="L29" s="18">
        <f t="shared" si="9"/>
        <v>796.25</v>
      </c>
      <c r="M29" s="18">
        <f t="shared" si="10"/>
        <v>3336.666666666667</v>
      </c>
      <c r="N29" s="18">
        <f t="shared" si="10"/>
        <v>0</v>
      </c>
    </row>
    <row r="30" spans="2:14" x14ac:dyDescent="0.35">
      <c r="C30" s="17" t="s">
        <v>77</v>
      </c>
      <c r="D30" s="18">
        <f>SUM(Calcs!D32:H32)</f>
        <v>4550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3753.75</v>
      </c>
      <c r="L30" s="18">
        <f t="shared" si="9"/>
        <v>796.25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0</v>
      </c>
      <c r="L31" s="20">
        <f t="shared" si="9"/>
        <v>0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149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22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46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13</v>
      </c>
      <c r="D36" s="18">
        <f>SUM(Calcs!D84:H84)</f>
        <v>8500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4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14</v>
      </c>
      <c r="D37" s="18">
        <f>SUM(Calcs!D85:H85)</f>
        <v>14000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15</v>
      </c>
      <c r="D38" s="20">
        <f>SUM(Calcs!D86:H86)</f>
        <v>15000</v>
      </c>
      <c r="F38" s="33">
        <v>0.1</v>
      </c>
      <c r="G38" s="33">
        <v>0.9</v>
      </c>
      <c r="H38" s="37">
        <f t="shared" ref="H38:H44" si="13">1-SUM(F38:G38)</f>
        <v>0</v>
      </c>
      <c r="I38" s="37">
        <v>0</v>
      </c>
      <c r="K38" s="20">
        <f t="shared" si="12"/>
        <v>1500</v>
      </c>
      <c r="L38" s="20">
        <f t="shared" si="12"/>
        <v>13500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129</v>
      </c>
      <c r="D39" s="20">
        <f>SUM(Calcs!D87:H87)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16</v>
      </c>
      <c r="D40" s="20">
        <f>SUM(Calcs!D88:H88)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99</v>
      </c>
      <c r="D41" s="20">
        <f>SUM(Calcs!D89:H89)</f>
        <v>0</v>
      </c>
      <c r="F41" s="33">
        <v>0.1</v>
      </c>
      <c r="G41" s="33">
        <v>0.9</v>
      </c>
      <c r="H41" s="37">
        <f t="shared" ref="H41:H43" si="23">1-SUM(F41:G41)</f>
        <v>0</v>
      </c>
      <c r="I41" s="37">
        <v>0</v>
      </c>
      <c r="K41" s="20">
        <f t="shared" ref="K41:K43" si="24">F41*$D41</f>
        <v>0</v>
      </c>
      <c r="L41" s="20">
        <f t="shared" ref="L41:L43" si="25">G41*$D41</f>
        <v>0</v>
      </c>
      <c r="M41" s="20">
        <f t="shared" ref="M41:M43" si="26">H41*$D41</f>
        <v>0</v>
      </c>
      <c r="N41" s="20">
        <f t="shared" ref="N41:N43" si="27">I41*$D41</f>
        <v>0</v>
      </c>
    </row>
    <row r="42" spans="2:14" x14ac:dyDescent="0.35">
      <c r="C42" s="19" t="s">
        <v>150</v>
      </c>
      <c r="D42" s="20">
        <f>SUM(Calcs!D90:H90)</f>
        <v>51000</v>
      </c>
      <c r="F42" s="33">
        <v>0.1</v>
      </c>
      <c r="G42" s="33">
        <v>0.9</v>
      </c>
      <c r="H42" s="37">
        <f t="shared" ref="H42" si="28">1-SUM(F42:G42)</f>
        <v>0</v>
      </c>
      <c r="I42" s="37">
        <v>0</v>
      </c>
      <c r="K42" s="20">
        <f t="shared" ref="K42" si="29">F42*$D42</f>
        <v>5100</v>
      </c>
      <c r="L42" s="20">
        <f t="shared" ref="L42" si="30">G42*$D42</f>
        <v>45900</v>
      </c>
      <c r="M42" s="20">
        <f t="shared" ref="M42" si="31">H42*$D42</f>
        <v>0</v>
      </c>
      <c r="N42" s="20">
        <f t="shared" ref="N42" si="32">I42*$D42</f>
        <v>0</v>
      </c>
    </row>
    <row r="43" spans="2:14" x14ac:dyDescent="0.35">
      <c r="C43" s="19" t="s">
        <v>98</v>
      </c>
      <c r="D43" s="20">
        <f>SUM(Calcs!D91:H91)</f>
        <v>0</v>
      </c>
      <c r="F43" s="33">
        <v>0.1</v>
      </c>
      <c r="G43" s="33">
        <v>0.9</v>
      </c>
      <c r="H43" s="37">
        <f t="shared" si="23"/>
        <v>0</v>
      </c>
      <c r="I43" s="37">
        <v>0</v>
      </c>
      <c r="K43" s="20">
        <f t="shared" si="24"/>
        <v>0</v>
      </c>
      <c r="L43" s="20">
        <f t="shared" si="25"/>
        <v>0</v>
      </c>
      <c r="M43" s="20">
        <f t="shared" si="26"/>
        <v>0</v>
      </c>
      <c r="N43" s="20">
        <f t="shared" si="27"/>
        <v>0</v>
      </c>
    </row>
    <row r="44" spans="2:14" x14ac:dyDescent="0.35">
      <c r="C44" s="81" t="s">
        <v>97</v>
      </c>
      <c r="D44" s="84">
        <f>SUM(Calcs!D92:H92)</f>
        <v>9600</v>
      </c>
      <c r="F44" s="85">
        <v>0.1</v>
      </c>
      <c r="G44" s="85">
        <v>0.9</v>
      </c>
      <c r="H44" s="86">
        <f t="shared" si="13"/>
        <v>0</v>
      </c>
      <c r="I44" s="86">
        <v>0</v>
      </c>
      <c r="K44" s="84">
        <f t="shared" si="12"/>
        <v>960</v>
      </c>
      <c r="L44" s="84">
        <f t="shared" si="12"/>
        <v>8640</v>
      </c>
      <c r="M44" s="84">
        <f t="shared" si="12"/>
        <v>0</v>
      </c>
      <c r="N44" s="84">
        <f t="shared" si="12"/>
        <v>0</v>
      </c>
    </row>
    <row r="45" spans="2:14" x14ac:dyDescent="0.35">
      <c r="K45" s="9"/>
      <c r="L45" s="9"/>
      <c r="M45" s="9"/>
    </row>
    <row r="46" spans="2:14" x14ac:dyDescent="0.35">
      <c r="B46" s="6" t="s">
        <v>55</v>
      </c>
      <c r="F46" s="11"/>
      <c r="G46" s="11"/>
      <c r="H46" s="11"/>
      <c r="I46" s="11"/>
      <c r="K46" s="9"/>
      <c r="L46" s="9"/>
      <c r="M46" s="9"/>
    </row>
    <row r="47" spans="2:14" x14ac:dyDescent="0.35">
      <c r="C47" s="28" t="s">
        <v>13</v>
      </c>
      <c r="D47" s="29">
        <f>SUM(Calcs!D95:H95)</f>
        <v>0</v>
      </c>
      <c r="F47" s="49">
        <f>IFERROR((1-G47)*F36/SUM(F36,H36),0)</f>
        <v>0.82499999999999996</v>
      </c>
      <c r="G47" s="49">
        <f>MIN(1,G36+$H$21)</f>
        <v>0.17499999999999999</v>
      </c>
      <c r="H47" s="49">
        <f>IFERROR((1-G47)*H36/SUM(F36,H36),0)</f>
        <v>0</v>
      </c>
      <c r="I47" s="49">
        <v>0</v>
      </c>
      <c r="K47" s="29">
        <f>F47*$D47</f>
        <v>0</v>
      </c>
      <c r="L47" s="29">
        <f t="shared" ref="L47:L51" si="33">G47*$D47</f>
        <v>0</v>
      </c>
      <c r="M47" s="29">
        <f>H47*$D47</f>
        <v>0</v>
      </c>
      <c r="N47" s="29">
        <f>I47*$D47</f>
        <v>0</v>
      </c>
    </row>
    <row r="48" spans="2:14" x14ac:dyDescent="0.35">
      <c r="C48" s="17" t="s">
        <v>14</v>
      </c>
      <c r="D48" s="18">
        <f>SUM(Calcs!D96:H96)</f>
        <v>910.00000000000364</v>
      </c>
      <c r="F48" s="30">
        <f>IFERROR((1-G48)*F37/SUM(F37,H37),0)</f>
        <v>0.82499999999999996</v>
      </c>
      <c r="G48" s="30">
        <f>MIN(1,G37+$H$21)</f>
        <v>0.17499999999999999</v>
      </c>
      <c r="H48" s="30">
        <f>IFERROR((1-G48)*H37/SUM(F37,H37),0)</f>
        <v>0</v>
      </c>
      <c r="I48" s="30">
        <v>0</v>
      </c>
      <c r="K48" s="18">
        <f>F48*$D48</f>
        <v>750.75000000000296</v>
      </c>
      <c r="L48" s="18">
        <f t="shared" si="33"/>
        <v>159.25000000000063</v>
      </c>
      <c r="M48" s="18">
        <f t="shared" ref="M48:N51" si="34">H48*$D48</f>
        <v>0</v>
      </c>
      <c r="N48" s="18">
        <f t="shared" si="34"/>
        <v>0</v>
      </c>
    </row>
    <row r="49" spans="2:14" x14ac:dyDescent="0.35">
      <c r="C49" s="19" t="s">
        <v>15</v>
      </c>
      <c r="D49" s="20">
        <f>SUM(Calcs!D97:H97)</f>
        <v>0</v>
      </c>
      <c r="F49" s="31">
        <f>IFERROR((1-G49)*F38/SUM(F38,H38),0)</f>
        <v>2.5000000000000022E-2</v>
      </c>
      <c r="G49" s="31">
        <f>MIN(1,G38+$H$21)</f>
        <v>0.97499999999999998</v>
      </c>
      <c r="H49" s="31">
        <f>IFERROR((1-G49)*H38/SUM(F38,H38),0)</f>
        <v>0</v>
      </c>
      <c r="I49" s="31">
        <v>0</v>
      </c>
      <c r="K49" s="20">
        <f t="shared" ref="K49:K51" si="35">F49*$D49</f>
        <v>0</v>
      </c>
      <c r="L49" s="20">
        <f t="shared" si="33"/>
        <v>0</v>
      </c>
      <c r="M49" s="20">
        <f t="shared" si="34"/>
        <v>0</v>
      </c>
      <c r="N49" s="20">
        <f t="shared" si="34"/>
        <v>0</v>
      </c>
    </row>
    <row r="50" spans="2:14" x14ac:dyDescent="0.35">
      <c r="C50" s="19" t="s">
        <v>129</v>
      </c>
      <c r="D50" s="20">
        <f>SUM(Calcs!D98:H98)</f>
        <v>0</v>
      </c>
      <c r="F50" s="31">
        <f>IFERROR((1-G50)*F39/SUM(F39,H39),0)</f>
        <v>2.5000000000000022E-2</v>
      </c>
      <c r="G50" s="31">
        <f>MIN(1,G39+$H$21)</f>
        <v>0.97499999999999998</v>
      </c>
      <c r="H50" s="31">
        <f>IFERROR((1-G50)*H39/SUM(F39,H39),0)</f>
        <v>0</v>
      </c>
      <c r="I50" s="31">
        <v>0</v>
      </c>
      <c r="K50" s="20">
        <f t="shared" ref="K50" si="36">F50*$D50</f>
        <v>0</v>
      </c>
      <c r="L50" s="20">
        <f t="shared" ref="L50" si="37">G50*$D50</f>
        <v>0</v>
      </c>
      <c r="M50" s="20">
        <f t="shared" ref="M50" si="38">H50*$D50</f>
        <v>0</v>
      </c>
      <c r="N50" s="20">
        <f t="shared" ref="N50" si="39">I50*$D50</f>
        <v>0</v>
      </c>
    </row>
    <row r="51" spans="2:14" x14ac:dyDescent="0.35">
      <c r="C51" s="19" t="s">
        <v>16</v>
      </c>
      <c r="D51" s="20">
        <f>SUM(Calcs!D99:H99)</f>
        <v>0</v>
      </c>
      <c r="F51" s="31">
        <f>IFERROR((1-G51)*F40/SUM(F40,H40),0)</f>
        <v>2.5000000000000022E-2</v>
      </c>
      <c r="G51" s="31">
        <f>MIN(1,G40+$H$21)</f>
        <v>0.97499999999999998</v>
      </c>
      <c r="H51" s="31">
        <f>IFERROR((1-G51)*H40/SUM(F40,H40),0)</f>
        <v>0</v>
      </c>
      <c r="I51" s="31">
        <v>0</v>
      </c>
      <c r="K51" s="20">
        <f t="shared" si="35"/>
        <v>0</v>
      </c>
      <c r="L51" s="20">
        <f t="shared" si="33"/>
        <v>0</v>
      </c>
      <c r="M51" s="20">
        <f t="shared" si="34"/>
        <v>0</v>
      </c>
      <c r="N51" s="20">
        <f t="shared" si="34"/>
        <v>0</v>
      </c>
    </row>
    <row r="52" spans="2:14" x14ac:dyDescent="0.35">
      <c r="C52" s="19" t="s">
        <v>99</v>
      </c>
      <c r="D52" s="20">
        <f>SUM(Calcs!D100:H100)</f>
        <v>0</v>
      </c>
      <c r="F52" s="31">
        <f>IFERROR((1-G52)*F41/SUM(F41,H41),0)</f>
        <v>2.5000000000000022E-2</v>
      </c>
      <c r="G52" s="31">
        <f>MIN(1,G41+$H$21)</f>
        <v>0.97499999999999998</v>
      </c>
      <c r="H52" s="31">
        <f>IFERROR((1-G52)*H41/SUM(F41,H41),0)</f>
        <v>0</v>
      </c>
      <c r="I52" s="31">
        <v>0</v>
      </c>
      <c r="K52" s="20">
        <f t="shared" ref="K52:K54" si="40">F52*$D52</f>
        <v>0</v>
      </c>
      <c r="L52" s="20">
        <f t="shared" ref="L52:L54" si="41">G52*$D52</f>
        <v>0</v>
      </c>
      <c r="M52" s="20">
        <f t="shared" ref="M52:M54" si="42">H52*$D52</f>
        <v>0</v>
      </c>
      <c r="N52" s="20">
        <f t="shared" ref="N52:N54" si="43">I52*$D52</f>
        <v>0</v>
      </c>
    </row>
    <row r="53" spans="2:14" x14ac:dyDescent="0.35">
      <c r="C53" s="19" t="s">
        <v>150</v>
      </c>
      <c r="D53" s="20">
        <f>SUM(Calcs!D101:H101)</f>
        <v>10010</v>
      </c>
      <c r="F53" s="31">
        <f>IFERROR((1-G53)*F42/SUM(F42,H42),0)</f>
        <v>2.5000000000000022E-2</v>
      </c>
      <c r="G53" s="31">
        <f>MIN(1,G42+$H$21)</f>
        <v>0.97499999999999998</v>
      </c>
      <c r="H53" s="31">
        <f>IFERROR((1-G53)*H42/SUM(F42,H42),0)</f>
        <v>0</v>
      </c>
      <c r="I53" s="31">
        <v>0</v>
      </c>
      <c r="K53" s="20">
        <f t="shared" ref="K53" si="44">F53*$D53</f>
        <v>250.25000000000023</v>
      </c>
      <c r="L53" s="20">
        <f t="shared" ref="L53" si="45">G53*$D53</f>
        <v>9759.75</v>
      </c>
      <c r="M53" s="20">
        <f t="shared" ref="M53" si="46">H53*$D53</f>
        <v>0</v>
      </c>
      <c r="N53" s="20">
        <f t="shared" ref="N53" si="47">I53*$D53</f>
        <v>0</v>
      </c>
    </row>
    <row r="54" spans="2:14" x14ac:dyDescent="0.35">
      <c r="C54" s="19" t="s">
        <v>98</v>
      </c>
      <c r="D54" s="20">
        <f>SUM(Calcs!D102:H102)</f>
        <v>0</v>
      </c>
      <c r="F54" s="31">
        <f t="shared" ref="F54" si="48">IFERROR((1-G54)*F43/SUM(F43,H43),0)</f>
        <v>2.5000000000000022E-2</v>
      </c>
      <c r="G54" s="31">
        <f t="shared" ref="G54" si="49">MIN(1,G43+$H$21)</f>
        <v>0.97499999999999998</v>
      </c>
      <c r="H54" s="31">
        <f t="shared" ref="H54" si="50">IFERROR((1-G54)*H43/SUM(F43,H43),0)</f>
        <v>0</v>
      </c>
      <c r="I54" s="31">
        <v>0</v>
      </c>
      <c r="K54" s="20">
        <f t="shared" si="40"/>
        <v>0</v>
      </c>
      <c r="L54" s="20">
        <f t="shared" si="41"/>
        <v>0</v>
      </c>
      <c r="M54" s="20">
        <f t="shared" si="42"/>
        <v>0</v>
      </c>
      <c r="N54" s="20">
        <f t="shared" si="43"/>
        <v>0</v>
      </c>
    </row>
    <row r="55" spans="2:14" x14ac:dyDescent="0.35">
      <c r="C55" s="81" t="s">
        <v>97</v>
      </c>
      <c r="D55" s="84">
        <f>SUM(Calcs!D103:H103)</f>
        <v>38220</v>
      </c>
      <c r="F55" s="87">
        <f t="shared" ref="F55" si="51">IFERROR((1-G55)*F44/SUM(F44,H44),0)</f>
        <v>2.5000000000000022E-2</v>
      </c>
      <c r="G55" s="87">
        <f t="shared" ref="G55" si="52">MIN(1,G44+$H$21)</f>
        <v>0.97499999999999998</v>
      </c>
      <c r="H55" s="87">
        <f t="shared" ref="H55" si="53">IFERROR((1-G55)*H44/SUM(F44,H44),0)</f>
        <v>0</v>
      </c>
      <c r="I55" s="87">
        <v>0</v>
      </c>
      <c r="K55" s="84">
        <f t="shared" ref="K55" si="54">F55*$D55</f>
        <v>955.5000000000008</v>
      </c>
      <c r="L55" s="84">
        <f t="shared" ref="L55" si="55">G55*$D55</f>
        <v>37264.5</v>
      </c>
      <c r="M55" s="84">
        <f t="shared" ref="M55" si="56">H55*$D55</f>
        <v>0</v>
      </c>
      <c r="N55" s="84">
        <f t="shared" ref="N55" si="57">I55*$D55</f>
        <v>0</v>
      </c>
    </row>
    <row r="56" spans="2:14" x14ac:dyDescent="0.35">
      <c r="K56" s="9"/>
      <c r="L56" s="9"/>
      <c r="M56" s="9"/>
    </row>
    <row r="57" spans="2:14" x14ac:dyDescent="0.35">
      <c r="B57" s="6" t="s">
        <v>37</v>
      </c>
      <c r="K57" s="9"/>
      <c r="L57" s="9"/>
      <c r="M57" s="9"/>
    </row>
    <row r="58" spans="2:14" x14ac:dyDescent="0.35">
      <c r="C58" t="s">
        <v>38</v>
      </c>
      <c r="D58" s="1">
        <f>SUM(Outputs_External!D30:'Outputs_External'!H30)</f>
        <v>-57417</v>
      </c>
      <c r="F58" s="8">
        <f>IFERROR(SUM(K72:K80)/SUM($K$72:$N$80), 0)</f>
        <v>0.21665259726816324</v>
      </c>
      <c r="G58" s="8">
        <f t="shared" ref="G58:I58" si="58">IFERROR(SUM(L72:L80)/SUM($K$72:$N$80), 0)</f>
        <v>0.74862611331539208</v>
      </c>
      <c r="H58" s="8">
        <f t="shared" si="58"/>
        <v>3.1638022655986732E-2</v>
      </c>
      <c r="I58" s="8">
        <f t="shared" si="58"/>
        <v>3.0832667604578324E-3</v>
      </c>
      <c r="K58" s="12">
        <f>F58*$D$58</f>
        <v>-12439.542177346129</v>
      </c>
      <c r="L58" s="12">
        <f>G58*$D$58</f>
        <v>-42983.865548229864</v>
      </c>
      <c r="M58" s="12">
        <f>H58*$D$58</f>
        <v>-1816.5603468387901</v>
      </c>
      <c r="N58" s="12">
        <f>I58*$D$58</f>
        <v>-177.03192758520737</v>
      </c>
    </row>
    <row r="59" spans="2:14" x14ac:dyDescent="0.35">
      <c r="C59" t="s">
        <v>115</v>
      </c>
      <c r="D59" s="1">
        <f>SUM(Outputs_External!D31:'Outputs_External'!H31)</f>
        <v>-52205</v>
      </c>
      <c r="F59" s="3">
        <f>IFERROR(SUM(K10:K58)/SUM($K10:$N58), 0)</f>
        <v>0.28888780623611271</v>
      </c>
      <c r="G59" s="3">
        <f>IFERROR(SUM(L10:L58)/SUM($K10:$N58), 0)</f>
        <v>0.68671815952341131</v>
      </c>
      <c r="H59" s="3">
        <f>IFERROR(SUM(M10:M58)/SUM($K10:$N58), 0)</f>
        <v>2.2227832575986171E-2</v>
      </c>
      <c r="I59" s="3">
        <f>1-F59-G59-H59</f>
        <v>2.1662016644898655E-3</v>
      </c>
      <c r="K59" s="12">
        <f>F59*$D$59</f>
        <v>-15081.387924556264</v>
      </c>
      <c r="L59" s="12">
        <f>G59*$D$59</f>
        <v>-35850.121517919688</v>
      </c>
      <c r="M59" s="12">
        <f>H59*$D$59</f>
        <v>-1160.4039996293582</v>
      </c>
      <c r="N59" s="12">
        <f>I59*$D$59</f>
        <v>-113.08655789469343</v>
      </c>
    </row>
    <row r="60" spans="2:14" x14ac:dyDescent="0.35">
      <c r="C60" t="s">
        <v>82</v>
      </c>
      <c r="D60" s="1">
        <f>Outputs_External!D32</f>
        <v>-3525</v>
      </c>
      <c r="F60" s="3">
        <v>0.58085106382978724</v>
      </c>
      <c r="G60" s="3">
        <f>1-F60</f>
        <v>0.41914893617021276</v>
      </c>
      <c r="H60" s="3">
        <v>0</v>
      </c>
      <c r="I60" s="3">
        <v>0</v>
      </c>
      <c r="K60" s="12">
        <f>$D$60*F60</f>
        <v>-2047.5</v>
      </c>
      <c r="L60" s="12">
        <f t="shared" ref="L60:N60" si="59">$D$60*G60</f>
        <v>-1477.5</v>
      </c>
      <c r="M60" s="12">
        <f t="shared" si="59"/>
        <v>0</v>
      </c>
      <c r="N60" s="12">
        <f t="shared" si="59"/>
        <v>0</v>
      </c>
    </row>
    <row r="61" spans="2:14" x14ac:dyDescent="0.35">
      <c r="K61" s="9"/>
      <c r="L61" s="9"/>
      <c r="M61" s="9"/>
    </row>
    <row r="62" spans="2:14" x14ac:dyDescent="0.35">
      <c r="B62" s="6" t="s">
        <v>39</v>
      </c>
      <c r="D62" s="1">
        <f>SUM(Outputs_External!D34:'Outputs_External'!H34)</f>
        <v>228603</v>
      </c>
      <c r="K62" s="12">
        <f>SUM(K58:K60, K36:K44, K10:K19,K24:K33,K47:K55)</f>
        <v>65011.448685976407</v>
      </c>
      <c r="L62" s="12">
        <f>SUM(L58:L60, L36:L44, L10:L19,L24:L33,L47:L55)</f>
        <v>157929.01293385046</v>
      </c>
      <c r="M62" s="12">
        <f>SUM(M58:M60, M36:M44, M10:M19,M24:M33,M47:M55)</f>
        <v>5159.7023201985185</v>
      </c>
      <c r="N62" s="12">
        <f>SUM(N58:N60, N36:N44, N10:N19,N24:N33,N47:N55)</f>
        <v>502.83605997464457</v>
      </c>
    </row>
    <row r="63" spans="2:14" x14ac:dyDescent="0.35">
      <c r="C63" s="21" t="s">
        <v>56</v>
      </c>
      <c r="D63" s="23">
        <f>SUM(K62:N62)</f>
        <v>228603.00000000006</v>
      </c>
      <c r="K63" s="12"/>
      <c r="L63" s="12"/>
      <c r="M63" s="12"/>
    </row>
    <row r="64" spans="2:14" x14ac:dyDescent="0.35">
      <c r="C64" s="21"/>
      <c r="D64" s="23"/>
      <c r="K64" s="12"/>
      <c r="L64" s="12"/>
      <c r="M64" s="12"/>
    </row>
    <row r="65" spans="2:14" x14ac:dyDescent="0.35">
      <c r="B65" s="6" t="s">
        <v>147</v>
      </c>
      <c r="C65" s="21"/>
      <c r="D65" s="1">
        <f>SUM(Outputs_Timeline!N:N)</f>
        <v>127636.84375</v>
      </c>
      <c r="F65" s="3">
        <f>'MARA Prices'!$F$5</f>
        <v>0.1</v>
      </c>
      <c r="G65" s="3">
        <f>'MARA Prices'!$F$6</f>
        <v>0.1</v>
      </c>
      <c r="H65" s="3">
        <v>0</v>
      </c>
      <c r="I65" s="3">
        <f>'MARA Prices'!$F$4</f>
        <v>0.8</v>
      </c>
      <c r="K65" s="12">
        <f>$D$65*F65</f>
        <v>12763.684375000001</v>
      </c>
      <c r="L65" s="12">
        <f>$D$65*G65</f>
        <v>12763.684375000001</v>
      </c>
      <c r="M65" s="12">
        <f>$D$65*H65</f>
        <v>0</v>
      </c>
      <c r="N65" s="12">
        <f>$D$65*I65</f>
        <v>102109.47500000001</v>
      </c>
    </row>
    <row r="66" spans="2:14" x14ac:dyDescent="0.35">
      <c r="K66" s="9"/>
      <c r="L66" s="9"/>
      <c r="M66" s="9"/>
    </row>
    <row r="67" spans="2:14" x14ac:dyDescent="0.35">
      <c r="B67" s="6" t="s">
        <v>70</v>
      </c>
      <c r="D67" s="7">
        <f>SUM(Outputs_Timeline!W:W)</f>
        <v>847330.95625000016</v>
      </c>
      <c r="K67" s="12">
        <f>SUM(Outputs_Timeline!X:X)</f>
        <v>214792.20975865333</v>
      </c>
      <c r="L67" s="12">
        <f>SUM(Outputs_Timeline!Y:Y)</f>
        <v>513229.31116157072</v>
      </c>
      <c r="M67" s="12">
        <f>SUM(Outputs_Timeline!Z:Z)</f>
        <v>15672.595797603002</v>
      </c>
      <c r="N67" s="12">
        <f>SUM(Outputs_Timeline!AA:AA)</f>
        <v>103636.83953217298</v>
      </c>
    </row>
    <row r="68" spans="2:14" x14ac:dyDescent="0.35">
      <c r="D68" s="1"/>
      <c r="K68" s="53">
        <f>IFERROR(K67/$D$67, 0)</f>
        <v>0.25349269748062897</v>
      </c>
      <c r="L68" s="53">
        <f>IFERROR(L67/$D$67, 0)</f>
        <v>0.60570112230166806</v>
      </c>
      <c r="M68" s="53">
        <f>IFERROR(M67/$D$67, 0)</f>
        <v>1.8496427732281377E-2</v>
      </c>
      <c r="N68" s="53">
        <f>IFERROR(N67/$D$67, 0)</f>
        <v>0.12230975248542143</v>
      </c>
    </row>
    <row r="70" spans="2:14" x14ac:dyDescent="0.35">
      <c r="K70" s="9"/>
      <c r="L70" s="9"/>
      <c r="M70" s="9"/>
    </row>
    <row r="71" spans="2:14" x14ac:dyDescent="0.35">
      <c r="B71" s="27" t="s">
        <v>52</v>
      </c>
      <c r="C71" s="21"/>
      <c r="D71" s="21"/>
      <c r="E71" s="21"/>
      <c r="F71" s="21"/>
      <c r="G71" s="21"/>
      <c r="H71" s="21"/>
      <c r="I71" s="21"/>
      <c r="J71" s="21"/>
      <c r="K71" s="22"/>
      <c r="L71" s="22"/>
      <c r="M71" s="22"/>
    </row>
    <row r="72" spans="2:14" x14ac:dyDescent="0.35">
      <c r="B72" s="27"/>
      <c r="C72" s="21" t="s">
        <v>13</v>
      </c>
      <c r="D72" s="23">
        <f>SUM(Calcs!D62:H62)+SUM(Calcs!D73:H73)</f>
        <v>8500</v>
      </c>
      <c r="E72" s="21"/>
      <c r="F72" s="24">
        <f>F36</f>
        <v>0.9</v>
      </c>
      <c r="G72" s="24">
        <f>G36</f>
        <v>0.1</v>
      </c>
      <c r="H72" s="24">
        <f>H36</f>
        <v>0</v>
      </c>
      <c r="I72" s="24">
        <f>I36</f>
        <v>0</v>
      </c>
      <c r="J72" s="21"/>
      <c r="K72" s="25">
        <f t="shared" ref="K72:N74" si="60">F72*$D72</f>
        <v>7650</v>
      </c>
      <c r="L72" s="25">
        <f t="shared" si="60"/>
        <v>850</v>
      </c>
      <c r="M72" s="25">
        <f t="shared" si="60"/>
        <v>0</v>
      </c>
      <c r="N72" s="25">
        <f t="shared" si="60"/>
        <v>0</v>
      </c>
    </row>
    <row r="73" spans="2:14" x14ac:dyDescent="0.35">
      <c r="B73" s="27"/>
      <c r="C73" s="21" t="s">
        <v>14</v>
      </c>
      <c r="D73" s="23">
        <f>SUM(Calcs!D63:H63)+SUM(Calcs!D74:H74)</f>
        <v>58480</v>
      </c>
      <c r="E73" s="21"/>
      <c r="F73" s="24">
        <f>IFERROR(SUM(K$37,K$11:K$16,K$48,K$25:K$30)/SUM($K$37:$N$37,$K$11:$N$16,$K$48:$N$48,$K$25:$N$30),0)</f>
        <v>0.57587002031256485</v>
      </c>
      <c r="G73" s="24">
        <f>IFERROR(SUM(L$37,L$11:L$16,L$48,L$25:L$30)/SUM($K$37:$N$37,$K$11:$N$16,$K$48:$N$48,$K$25:$N$30),0)</f>
        <v>0.2714346785225718</v>
      </c>
      <c r="H73" s="24">
        <f>IFERROR(SUM(M$37,M$11:M$16,M$48,M$25:M$30)/SUM($K$37:$N$37,$K$11:$N$16,$K$48:$N$48,$K$25:$N$30),0)</f>
        <v>0.13913588691290471</v>
      </c>
      <c r="I73" s="24">
        <f>IFERROR(SUM(N$37,N$11:N$16,N$48,N$25:N$30)/SUM($K$37:$N$37,$K$11:$N$16,$K$48:$N$48,$K$25:$N$30),0)</f>
        <v>1.355941425195871E-2</v>
      </c>
      <c r="J73" s="21"/>
      <c r="K73" s="25">
        <f t="shared" si="60"/>
        <v>33676.878787878792</v>
      </c>
      <c r="L73" s="25">
        <f t="shared" si="60"/>
        <v>15873.5</v>
      </c>
      <c r="M73" s="25">
        <f t="shared" si="60"/>
        <v>8136.6666666666679</v>
      </c>
      <c r="N73" s="25">
        <f t="shared" si="60"/>
        <v>792.95454545454538</v>
      </c>
    </row>
    <row r="74" spans="2:14" x14ac:dyDescent="0.35">
      <c r="B74" s="27"/>
      <c r="C74" s="21" t="s">
        <v>15</v>
      </c>
      <c r="D74" s="23">
        <f>SUM(Calcs!D64:H64)+SUM(Calcs!D75:H75)</f>
        <v>35000</v>
      </c>
      <c r="E74" s="21"/>
      <c r="F74" s="24">
        <f>IFERROR(SUM(K38,K17:K19,K49,K31:K33)/SUM($K$38:$N$38,$K$17:$M$19,$K$49:$N$49,$K$31:$N$33),0)</f>
        <v>8.9697002372223417E-2</v>
      </c>
      <c r="G74" s="24">
        <f>IFERROR(SUM(L38,L17:L19,L49,L31:L33)/SUM($K$38:$N$38,$K$17:$M$19,$K$49:$N$49,$K$31:$N$33),0)</f>
        <v>0.91030299762777656</v>
      </c>
      <c r="H74" s="24">
        <f>IFERROR(SUM(M38,M17:M19,M49,M31:M33)/SUM($K$38:$N$38,$K$17:$M$19,$K$49:$N$49,$K$31:$N$33),0)</f>
        <v>0</v>
      </c>
      <c r="I74" s="24">
        <f>IFERROR(SUM(N38,N17:N19,N49,N31:N33)/SUM($K$38:$N$38,$K$17:$M$19,$K$49:$N$49,$K$31:$N$33),0)</f>
        <v>0</v>
      </c>
      <c r="J74" s="21"/>
      <c r="K74" s="25">
        <f t="shared" si="60"/>
        <v>3139.3950830278195</v>
      </c>
      <c r="L74" s="25">
        <f t="shared" si="60"/>
        <v>31860.604916972181</v>
      </c>
      <c r="M74" s="25">
        <f t="shared" si="60"/>
        <v>0</v>
      </c>
      <c r="N74" s="25">
        <f t="shared" si="60"/>
        <v>0</v>
      </c>
    </row>
    <row r="75" spans="2:14" x14ac:dyDescent="0.35">
      <c r="B75" s="27"/>
      <c r="C75" s="21" t="s">
        <v>152</v>
      </c>
      <c r="D75" s="23">
        <f>SUM(Calcs!D65:H65)+SUM(Calcs!D76:H76)</f>
        <v>35000</v>
      </c>
      <c r="E75" s="21"/>
      <c r="F75" s="24">
        <f>IFERROR(SUM(K39,K17:K19,K50,K31:K33)/SUM($K$39:$N$39,$K$17:$M$19,$K$50:$N$50,$K$31:$N$33),0)</f>
        <v>9.2801717643513637E-2</v>
      </c>
      <c r="G75" s="24">
        <f t="shared" ref="G75:I75" si="61">IFERROR(SUM(L39,L17:L19,L50,L31:L33)/SUM($K$39:$N$39,$K$17:$M$19,$K$50:$N$50,$K$31:$N$33),0)</f>
        <v>0.90719828235648636</v>
      </c>
      <c r="H75" s="24">
        <f t="shared" si="61"/>
        <v>0</v>
      </c>
      <c r="I75" s="24">
        <f t="shared" si="61"/>
        <v>0</v>
      </c>
      <c r="J75" s="21"/>
      <c r="K75" s="25">
        <f t="shared" ref="K75" si="62">F75*$D75</f>
        <v>3248.0601175229772</v>
      </c>
      <c r="L75" s="25">
        <f t="shared" ref="L75" si="63">G75*$D75</f>
        <v>31751.939882477021</v>
      </c>
      <c r="M75" s="25">
        <f t="shared" ref="M75" si="64">H75*$D75</f>
        <v>0</v>
      </c>
      <c r="N75" s="25">
        <f t="shared" ref="N75" si="65">I75*$D75</f>
        <v>0</v>
      </c>
    </row>
    <row r="76" spans="2:14" x14ac:dyDescent="0.35">
      <c r="B76" s="27"/>
      <c r="C76" s="21" t="s">
        <v>16</v>
      </c>
      <c r="D76" s="23">
        <f>SUM(Calcs!D66:H66)+SUM(Calcs!D77:H77)</f>
        <v>0</v>
      </c>
      <c r="E76" s="21"/>
      <c r="F76" s="24">
        <f>IFERROR(SUM(K40,K51)/SUM($K40:$N40,$K51:$N51),0)</f>
        <v>0</v>
      </c>
      <c r="G76" s="24">
        <f>IFERROR(SUM(L40,L51)/SUM($K40:$N40,$K51:$N51),0)</f>
        <v>0</v>
      </c>
      <c r="H76" s="24">
        <f>IFERROR(SUM(M40,M51)/SUM($K40:$N40,$K51:$N51),0)</f>
        <v>0</v>
      </c>
      <c r="I76" s="24">
        <f>IFERROR(SUM(N40,N51)/SUM($K40:$N40,$K51:$N51),0)</f>
        <v>0</v>
      </c>
      <c r="J76" s="21"/>
      <c r="K76" s="25">
        <f t="shared" ref="K76:K80" si="66">F76*$D76</f>
        <v>0</v>
      </c>
      <c r="L76" s="25">
        <f t="shared" ref="L76:L80" si="67">G76*$D76</f>
        <v>0</v>
      </c>
      <c r="M76" s="25">
        <f t="shared" ref="M76:M80" si="68">H76*$D76</f>
        <v>0</v>
      </c>
      <c r="N76" s="25">
        <f t="shared" ref="N76:N80" si="69">I76*$D76</f>
        <v>0</v>
      </c>
    </row>
    <row r="77" spans="2:14" x14ac:dyDescent="0.35">
      <c r="B77" s="27"/>
      <c r="C77" s="21" t="s">
        <v>99</v>
      </c>
      <c r="D77" s="23">
        <f>SUM(Calcs!D67:H67)+SUM(Calcs!D78:H78)</f>
        <v>0</v>
      </c>
      <c r="E77" s="21"/>
      <c r="F77" s="24">
        <f>IFERROR(SUM(K41,K52)/SUM($K41:$N41,$K52:$N52),0)</f>
        <v>0</v>
      </c>
      <c r="G77" s="24">
        <f>IFERROR(SUM(L41,L52)/SUM($K41:$N41,$K52:$N52),0)</f>
        <v>0</v>
      </c>
      <c r="H77" s="24">
        <f>IFERROR(SUM(M41,M52)/SUM($K41:$N41,$K52:$N52),0)</f>
        <v>0</v>
      </c>
      <c r="I77" s="24">
        <f>IFERROR(SUM(N41,N52)/SUM($K41:$N41,$K52:$N52),0)</f>
        <v>0</v>
      </c>
      <c r="J77" s="21"/>
      <c r="K77" s="25">
        <f t="shared" ref="K77:K79" si="70">F77*$D77</f>
        <v>0</v>
      </c>
      <c r="L77" s="25">
        <f t="shared" ref="L77:L79" si="71">G77*$D77</f>
        <v>0</v>
      </c>
      <c r="M77" s="25">
        <f t="shared" ref="M77:M79" si="72">H77*$D77</f>
        <v>0</v>
      </c>
      <c r="N77" s="25">
        <f t="shared" ref="N77:N79" si="73">I77*$D77</f>
        <v>0</v>
      </c>
    </row>
    <row r="78" spans="2:14" x14ac:dyDescent="0.35">
      <c r="B78" s="27"/>
      <c r="C78" s="21" t="s">
        <v>150</v>
      </c>
      <c r="D78" s="23">
        <f>SUM(Calcs!D68:H68)+SUM(Calcs!D79:H79)</f>
        <v>72380</v>
      </c>
      <c r="E78" s="21"/>
      <c r="F78" s="24">
        <f>IFERROR(SUM(K42,K18,K53,K32)/SUM($K$42:$N$42,$K$18:$M$18,$K$53:$N$53,$K$32:$N$32),0)</f>
        <v>8.4123804600672009E-2</v>
      </c>
      <c r="G78" s="24">
        <f t="shared" ref="G78:I78" si="74">IFERROR(SUM(L42,L18,L53,L32)/SUM($K$42:$N$42,$K$18:$M$18,$K$53:$N$53,$K$32:$N$32),0)</f>
        <v>0.91587619539932796</v>
      </c>
      <c r="H78" s="24">
        <f t="shared" si="74"/>
        <v>0</v>
      </c>
      <c r="I78" s="24">
        <f t="shared" si="74"/>
        <v>0</v>
      </c>
      <c r="J78" s="21"/>
      <c r="K78" s="25">
        <f t="shared" ref="K78" si="75">F78*$D78</f>
        <v>6088.8809769966401</v>
      </c>
      <c r="L78" s="25">
        <f t="shared" ref="L78" si="76">G78*$D78</f>
        <v>66291.119023003354</v>
      </c>
      <c r="M78" s="25">
        <f t="shared" ref="M78" si="77">H78*$D78</f>
        <v>0</v>
      </c>
      <c r="N78" s="25">
        <f t="shared" ref="N78" si="78">I78*$D78</f>
        <v>0</v>
      </c>
    </row>
    <row r="79" spans="2:14" x14ac:dyDescent="0.35">
      <c r="B79" s="27"/>
      <c r="C79" s="21" t="s">
        <v>98</v>
      </c>
      <c r="D79" s="23">
        <f>SUM(Calcs!D69:H69)+SUM(Calcs!D80:H80)</f>
        <v>0</v>
      </c>
      <c r="E79" s="21"/>
      <c r="F79" s="24">
        <f t="shared" ref="F79:I79" si="79">IFERROR(SUM(K43,K54)/SUM($K43:$N43,$K54:$N54),0)</f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si="70"/>
        <v>0</v>
      </c>
      <c r="L79" s="25">
        <f t="shared" si="71"/>
        <v>0</v>
      </c>
      <c r="M79" s="25">
        <f t="shared" si="72"/>
        <v>0</v>
      </c>
      <c r="N79" s="25">
        <f t="shared" si="73"/>
        <v>0</v>
      </c>
    </row>
    <row r="80" spans="2:14" x14ac:dyDescent="0.35">
      <c r="B80" s="27"/>
      <c r="C80" s="21" t="s">
        <v>97</v>
      </c>
      <c r="D80" s="23">
        <f>SUM(Calcs!D70:H70)+SUM(Calcs!D81:H81)</f>
        <v>47820</v>
      </c>
      <c r="E80" s="21"/>
      <c r="F80" s="24">
        <f t="shared" ref="F80" si="80">IFERROR(SUM(K44,K55)/SUM($K44:$N44,$K55:$N55),0)</f>
        <v>4.0056461731493118E-2</v>
      </c>
      <c r="G80" s="24">
        <f t="shared" ref="G80" si="81">IFERROR(SUM(L44,L55)/SUM($K44:$N44,$K55:$N55),0)</f>
        <v>0.95994353826850687</v>
      </c>
      <c r="H80" s="24">
        <f t="shared" ref="H80" si="82">IFERROR(SUM(M44,M55)/SUM($K44:$N44,$K55:$N55),0)</f>
        <v>0</v>
      </c>
      <c r="I80" s="24">
        <f t="shared" ref="I80" si="83">IFERROR(SUM(N44,N55)/SUM($K44:$N44,$K55:$N55),0)</f>
        <v>0</v>
      </c>
      <c r="J80" s="21"/>
      <c r="K80" s="25">
        <f t="shared" si="66"/>
        <v>1915.5000000000009</v>
      </c>
      <c r="L80" s="25">
        <f t="shared" si="67"/>
        <v>45904.5</v>
      </c>
      <c r="M80" s="25">
        <f t="shared" si="68"/>
        <v>0</v>
      </c>
      <c r="N80" s="25">
        <f t="shared" si="69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3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$F3*Outputs_Internal!$D$62/12+N3</f>
        <v>0</v>
      </c>
      <c r="Q3" s="63">
        <f>$F3*Outputs_Internal!K$62/12+N3*'MARA Prices'!$F$5</f>
        <v>0</v>
      </c>
      <c r="R3" s="63">
        <f>$F3*Outputs_Internal!L$62/12+N3*'MARA Prices'!$F$6</f>
        <v>0</v>
      </c>
      <c r="S3" s="63">
        <f>N3*'MARA Prices'!$F$4</f>
        <v>0</v>
      </c>
      <c r="T3" s="63">
        <f>$F3*Outputs_Internal!M$62/12</f>
        <v>0</v>
      </c>
      <c r="U3" s="63">
        <f>$F3*Outputs_Internal!N$62/12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$F4*Outputs_Internal!$D$62/12+N4</f>
        <v>0</v>
      </c>
      <c r="Q4" s="63">
        <f>$F4*Outputs_Internal!K$62/12+N4*'MARA Prices'!$F$5</f>
        <v>0</v>
      </c>
      <c r="R4" s="63">
        <f>$F4*Outputs_Internal!L$62/12+N4*'MARA Prices'!$F$6</f>
        <v>0</v>
      </c>
      <c r="S4" s="63">
        <f>N4*'MARA Prices'!$F$4</f>
        <v>0</v>
      </c>
      <c r="T4" s="63">
        <f>$F4*Outputs_Internal!M$62/12</f>
        <v>0</v>
      </c>
      <c r="U4" s="63">
        <f>$F4*Outputs_Internal!N$62/12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$F5*Outputs_Internal!$D$62/12+N5</f>
        <v>0</v>
      </c>
      <c r="Q5" s="63">
        <f>$F5*Outputs_Internal!K$62/12+N5*'MARA Prices'!$F$5</f>
        <v>0</v>
      </c>
      <c r="R5" s="63">
        <f>$F5*Outputs_Internal!L$62/12+N5*'MARA Prices'!$F$6</f>
        <v>0</v>
      </c>
      <c r="S5" s="63">
        <f>N5*'MARA Prices'!$F$4</f>
        <v>0</v>
      </c>
      <c r="T5" s="63">
        <f>$F5*Outputs_Internal!M$62/12</f>
        <v>0</v>
      </c>
      <c r="U5" s="63">
        <f>$F5*Outputs_Internal!N$62/12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$F6*Outputs_Internal!$D$62/12+N6</f>
        <v>0</v>
      </c>
      <c r="Q6" s="63">
        <f>$F6*Outputs_Internal!K$62/12+N6*'MARA Prices'!$F$5</f>
        <v>0</v>
      </c>
      <c r="R6" s="63">
        <f>$F6*Outputs_Internal!L$62/12+N6*'MARA Prices'!$F$6</f>
        <v>0</v>
      </c>
      <c r="S6" s="63">
        <f>N6*'MARA Prices'!$F$4</f>
        <v>0</v>
      </c>
      <c r="T6" s="63">
        <f>$F6*Outputs_Internal!M$62/12</f>
        <v>0</v>
      </c>
      <c r="U6" s="63">
        <f>$F6*Outputs_Internal!N$62/12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$F7*Outputs_Internal!$D$62/12+N7</f>
        <v>0</v>
      </c>
      <c r="Q7" s="63">
        <f>$F7*Outputs_Internal!K$62/12+N7*'MARA Prices'!$F$5</f>
        <v>0</v>
      </c>
      <c r="R7" s="63">
        <f>$F7*Outputs_Internal!L$62/12+N7*'MARA Prices'!$F$6</f>
        <v>0</v>
      </c>
      <c r="S7" s="63">
        <f>N7*'MARA Prices'!$F$4</f>
        <v>0</v>
      </c>
      <c r="T7" s="63">
        <f>$F7*Outputs_Internal!M$62/12</f>
        <v>0</v>
      </c>
      <c r="U7" s="63">
        <f>$F7*Outputs_Internal!N$62/12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$F8*Outputs_Internal!$D$62/12+N8</f>
        <v>0</v>
      </c>
      <c r="Q8" s="63">
        <f>$F8*Outputs_Internal!K$62/12+N8*'MARA Prices'!$F$5</f>
        <v>0</v>
      </c>
      <c r="R8" s="63">
        <f>$F8*Outputs_Internal!L$62/12+N8*'MARA Prices'!$F$6</f>
        <v>0</v>
      </c>
      <c r="S8" s="63">
        <f>N8*'MARA Prices'!$F$4</f>
        <v>0</v>
      </c>
      <c r="T8" s="63">
        <f>$F8*Outputs_Internal!M$62/12</f>
        <v>0</v>
      </c>
      <c r="U8" s="63">
        <f>$F8*Outputs_Internal!N$62/12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$F9*Outputs_Internal!$D$62/12+N9</f>
        <v>0</v>
      </c>
      <c r="Q9" s="63">
        <f>$F9*Outputs_Internal!K$62/12+N9*'MARA Prices'!$F$5</f>
        <v>0</v>
      </c>
      <c r="R9" s="63">
        <f>$F9*Outputs_Internal!L$62/12+N9*'MARA Prices'!$F$6</f>
        <v>0</v>
      </c>
      <c r="S9" s="63">
        <f>N9*'MARA Prices'!$F$4</f>
        <v>0</v>
      </c>
      <c r="T9" s="63">
        <f>$F9*Outputs_Internal!M$62/12</f>
        <v>0</v>
      </c>
      <c r="U9" s="63">
        <f>$F9*Outputs_Internal!N$62/12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$F10*Outputs_Internal!$D$62/12+N10</f>
        <v>0</v>
      </c>
      <c r="Q10" s="63">
        <f>$F10*Outputs_Internal!K$62/12+N10*'MARA Prices'!$F$5</f>
        <v>0</v>
      </c>
      <c r="R10" s="63">
        <f>$F10*Outputs_Internal!L$62/12+N10*'MARA Prices'!$F$6</f>
        <v>0</v>
      </c>
      <c r="S10" s="63">
        <f>N10*'MARA Prices'!$F$4</f>
        <v>0</v>
      </c>
      <c r="T10" s="63">
        <f>$F10*Outputs_Internal!M$62/12</f>
        <v>0</v>
      </c>
      <c r="U10" s="63">
        <f>$F10*Outputs_Internal!N$62/12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$F11*Outputs_Internal!$D$62/12+N11</f>
        <v>0</v>
      </c>
      <c r="Q11" s="63">
        <f>$F11*Outputs_Internal!K$62/12+N11*'MARA Prices'!$F$5</f>
        <v>0</v>
      </c>
      <c r="R11" s="63">
        <f>$F11*Outputs_Internal!L$62/12+N11*'MARA Prices'!$F$6</f>
        <v>0</v>
      </c>
      <c r="S11" s="63">
        <f>N11*'MARA Prices'!$F$4</f>
        <v>0</v>
      </c>
      <c r="T11" s="63">
        <f>$F11*Outputs_Internal!M$62/12</f>
        <v>0</v>
      </c>
      <c r="U11" s="63">
        <f>$F11*Outputs_Internal!N$62/12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$F12*Outputs_Internal!$D$62/12+N12</f>
        <v>0</v>
      </c>
      <c r="Q12" s="63">
        <f>$F12*Outputs_Internal!K$62/12+N12*'MARA Prices'!$F$5</f>
        <v>0</v>
      </c>
      <c r="R12" s="63">
        <f>$F12*Outputs_Internal!L$62/12+N12*'MARA Prices'!$F$6</f>
        <v>0</v>
      </c>
      <c r="S12" s="63">
        <f>N12*'MARA Prices'!$F$4</f>
        <v>0</v>
      </c>
      <c r="T12" s="63">
        <f>$F12*Outputs_Internal!M$62/12</f>
        <v>0</v>
      </c>
      <c r="U12" s="63">
        <f>$F12*Outputs_Internal!N$62/12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$F13*Outputs_Internal!$D$62/12+N13</f>
        <v>0</v>
      </c>
      <c r="Q13" s="63">
        <f>$F13*Outputs_Internal!K$62/12+N13*'MARA Prices'!$F$5</f>
        <v>0</v>
      </c>
      <c r="R13" s="63">
        <f>$F13*Outputs_Internal!L$62/12+N13*'MARA Prices'!$F$6</f>
        <v>0</v>
      </c>
      <c r="S13" s="63">
        <f>N13*'MARA Prices'!$F$4</f>
        <v>0</v>
      </c>
      <c r="T13" s="63">
        <f>$F13*Outputs_Internal!M$62/12</f>
        <v>0</v>
      </c>
      <c r="U13" s="63">
        <f>$F13*Outputs_Internal!N$62/12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$F14*Outputs_Internal!$D$62/12+N14</f>
        <v>0</v>
      </c>
      <c r="Q14" s="63">
        <f>$F14*Outputs_Internal!K$62/12+N14*'MARA Prices'!$F$5</f>
        <v>0</v>
      </c>
      <c r="R14" s="63">
        <f>$F14*Outputs_Internal!L$62/12+N14*'MARA Prices'!$F$6</f>
        <v>0</v>
      </c>
      <c r="S14" s="63">
        <f>N14*'MARA Prices'!$F$4</f>
        <v>0</v>
      </c>
      <c r="T14" s="63">
        <f>$F14*Outputs_Internal!M$62/12</f>
        <v>0</v>
      </c>
      <c r="U14" s="63">
        <f>$F14*Outputs_Internal!N$62/12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$F15*Outputs_Internal!$D$62/12+N15</f>
        <v>0</v>
      </c>
      <c r="Q15" s="63">
        <f>$F15*Outputs_Internal!K$62/12+N15*'MARA Prices'!$F$5</f>
        <v>0</v>
      </c>
      <c r="R15" s="63">
        <f>$F15*Outputs_Internal!L$62/12+N15*'MARA Prices'!$F$6</f>
        <v>0</v>
      </c>
      <c r="S15" s="63">
        <f>N15*'MARA Prices'!$F$4</f>
        <v>0</v>
      </c>
      <c r="T15" s="63">
        <f>$F15*Outputs_Internal!M$62/12</f>
        <v>0</v>
      </c>
      <c r="U15" s="63">
        <f>$F15*Outputs_Internal!N$62/12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$F16*Outputs_Internal!$D$62/12+N16</f>
        <v>0</v>
      </c>
      <c r="Q16" s="63">
        <f>$F16*Outputs_Internal!K$62/12+N16*'MARA Prices'!$F$5</f>
        <v>0</v>
      </c>
      <c r="R16" s="63">
        <f>$F16*Outputs_Internal!L$62/12+N16*'MARA Prices'!$F$6</f>
        <v>0</v>
      </c>
      <c r="S16" s="63">
        <f>N16*'MARA Prices'!$F$4</f>
        <v>0</v>
      </c>
      <c r="T16" s="63">
        <f>$F16*Outputs_Internal!M$62/12</f>
        <v>0</v>
      </c>
      <c r="U16" s="63">
        <f>$F16*Outputs_Internal!N$62/12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$F17*Outputs_Internal!$D$62/12+N17</f>
        <v>0</v>
      </c>
      <c r="Q17" s="63">
        <f>$F17*Outputs_Internal!K$62/12+N17*'MARA Prices'!$F$5</f>
        <v>0</v>
      </c>
      <c r="R17" s="63">
        <f>$F17*Outputs_Internal!L$62/12+N17*'MARA Prices'!$F$6</f>
        <v>0</v>
      </c>
      <c r="S17" s="63">
        <f>N17*'MARA Prices'!$F$4</f>
        <v>0</v>
      </c>
      <c r="T17" s="63">
        <f>$F17*Outputs_Internal!M$62/12</f>
        <v>0</v>
      </c>
      <c r="U17" s="63">
        <f>$F17*Outputs_Internal!N$62/12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$F18*Outputs_Internal!$D$62/12+N18</f>
        <v>0</v>
      </c>
      <c r="Q18" s="63">
        <f>$F18*Outputs_Internal!K$62/12+N18*'MARA Prices'!$F$5</f>
        <v>0</v>
      </c>
      <c r="R18" s="63">
        <f>$F18*Outputs_Internal!L$62/12+N18*'MARA Prices'!$F$6</f>
        <v>0</v>
      </c>
      <c r="S18" s="63">
        <f>N18*'MARA Prices'!$F$4</f>
        <v>0</v>
      </c>
      <c r="T18" s="63">
        <f>$F18*Outputs_Internal!M$62/12</f>
        <v>0</v>
      </c>
      <c r="U18" s="63">
        <f>$F18*Outputs_Internal!N$62/12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$F19*Outputs_Internal!$D$62/12+N19</f>
        <v>0</v>
      </c>
      <c r="Q19" s="63">
        <f>$F19*Outputs_Internal!K$62/12+N19*'MARA Prices'!$F$5</f>
        <v>0</v>
      </c>
      <c r="R19" s="63">
        <f>$F19*Outputs_Internal!L$62/12+N19*'MARA Prices'!$F$6</f>
        <v>0</v>
      </c>
      <c r="S19" s="63">
        <f>N19*'MARA Prices'!$F$4</f>
        <v>0</v>
      </c>
      <c r="T19" s="63">
        <f>$F19*Outputs_Internal!M$62/12</f>
        <v>0</v>
      </c>
      <c r="U19" s="63">
        <f>$F19*Outputs_Internal!N$62/12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$F20*Outputs_Internal!$D$62/12+N20</f>
        <v>0</v>
      </c>
      <c r="Q20" s="63">
        <f>$F20*Outputs_Internal!K$62/12+N20*'MARA Prices'!$F$5</f>
        <v>0</v>
      </c>
      <c r="R20" s="63">
        <f>$F20*Outputs_Internal!L$62/12+N20*'MARA Prices'!$F$6</f>
        <v>0</v>
      </c>
      <c r="S20" s="63">
        <f>N20*'MARA Prices'!$F$4</f>
        <v>0</v>
      </c>
      <c r="T20" s="63">
        <f>$F20*Outputs_Internal!M$62/12</f>
        <v>0</v>
      </c>
      <c r="U20" s="63">
        <f>$F20*Outputs_Internal!N$62/12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$F21*Outputs_Internal!$D$62/12+N21</f>
        <v>0</v>
      </c>
      <c r="Q21" s="63">
        <f>$F21*Outputs_Internal!K$62/12+N21*'MARA Prices'!$F$5</f>
        <v>0</v>
      </c>
      <c r="R21" s="63">
        <f>$F21*Outputs_Internal!L$62/12+N21*'MARA Prices'!$F$6</f>
        <v>0</v>
      </c>
      <c r="S21" s="63">
        <f>N21*'MARA Prices'!$F$4</f>
        <v>0</v>
      </c>
      <c r="T21" s="63">
        <f>$F21*Outputs_Internal!M$62/12</f>
        <v>0</v>
      </c>
      <c r="U21" s="63">
        <f>$F21*Outputs_Internal!N$62/12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$F22*Outputs_Internal!$D$62/12+N22</f>
        <v>0</v>
      </c>
      <c r="Q22" s="63">
        <f>$F22*Outputs_Internal!K$62/12+N22*'MARA Prices'!$F$5</f>
        <v>0</v>
      </c>
      <c r="R22" s="63">
        <f>$F22*Outputs_Internal!L$62/12+N22*'MARA Prices'!$F$6</f>
        <v>0</v>
      </c>
      <c r="S22" s="63">
        <f>N22*'MARA Prices'!$F$4</f>
        <v>0</v>
      </c>
      <c r="T22" s="63">
        <f>$F22*Outputs_Internal!M$62/12</f>
        <v>0</v>
      </c>
      <c r="U22" s="63">
        <f>$F22*Outputs_Internal!N$62/12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$F23*Outputs_Internal!$D$62/12+N23</f>
        <v>0</v>
      </c>
      <c r="Q23" s="63">
        <f>$F23*Outputs_Internal!K$62/12+N23*'MARA Prices'!$F$5</f>
        <v>0</v>
      </c>
      <c r="R23" s="63">
        <f>$F23*Outputs_Internal!L$62/12+N23*'MARA Prices'!$F$6</f>
        <v>0</v>
      </c>
      <c r="S23" s="63">
        <f>N23*'MARA Prices'!$F$4</f>
        <v>0</v>
      </c>
      <c r="T23" s="63">
        <f>$F23*Outputs_Internal!M$62/12</f>
        <v>0</v>
      </c>
      <c r="U23" s="63">
        <f>$F23*Outputs_Internal!N$62/12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$F24*Outputs_Internal!$D$62/12+N24</f>
        <v>0</v>
      </c>
      <c r="Q24" s="63">
        <f>$F24*Outputs_Internal!K$62/12+N24*'MARA Prices'!$F$5</f>
        <v>0</v>
      </c>
      <c r="R24" s="63">
        <f>$F24*Outputs_Internal!L$62/12+N24*'MARA Prices'!$F$6</f>
        <v>0</v>
      </c>
      <c r="S24" s="63">
        <f>N24*'MARA Prices'!$F$4</f>
        <v>0</v>
      </c>
      <c r="T24" s="63">
        <f>$F24*Outputs_Internal!M$62/12</f>
        <v>0</v>
      </c>
      <c r="U24" s="63">
        <f>$F24*Outputs_Internal!N$62/12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$F25*Outputs_Internal!$D$62/12+N25</f>
        <v>0</v>
      </c>
      <c r="Q25" s="63">
        <f>$F25*Outputs_Internal!K$62/12+N25*'MARA Prices'!$F$5</f>
        <v>0</v>
      </c>
      <c r="R25" s="63">
        <f>$F25*Outputs_Internal!L$62/12+N25*'MARA Prices'!$F$6</f>
        <v>0</v>
      </c>
      <c r="S25" s="63">
        <f>N25*'MARA Prices'!$F$4</f>
        <v>0</v>
      </c>
      <c r="T25" s="63">
        <f>$F25*Outputs_Internal!M$62/12</f>
        <v>0</v>
      </c>
      <c r="U25" s="63">
        <f>$F25*Outputs_Internal!N$62/12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$F26*Outputs_Internal!$D$62/12+N26</f>
        <v>0</v>
      </c>
      <c r="Q26" s="63">
        <f>$F26*Outputs_Internal!K$62/12+N26*'MARA Prices'!$F$5</f>
        <v>0</v>
      </c>
      <c r="R26" s="63">
        <f>$F26*Outputs_Internal!L$62/12+N26*'MARA Prices'!$F$6</f>
        <v>0</v>
      </c>
      <c r="S26" s="63">
        <f>N26*'MARA Prices'!$F$4</f>
        <v>0</v>
      </c>
      <c r="T26" s="63">
        <f>$F26*Outputs_Internal!M$62/12</f>
        <v>0</v>
      </c>
      <c r="U26" s="63">
        <f>$F26*Outputs_Internal!N$62/12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25312.5</v>
      </c>
      <c r="J27" s="63">
        <f>IF($B27=Inputs!$C$1,SUM(Outputs_Internal!K$4, Outputs_Internal!K$5),0)*$D27</f>
        <v>4556.25</v>
      </c>
      <c r="K27" s="63">
        <f>IF($B27=Inputs!$C$1,SUM(Outputs_Internal!L$4, Outputs_Internal!L$5),0)*$D27</f>
        <v>20756.25</v>
      </c>
      <c r="L27" s="63">
        <f>IF($B27=Inputs!$C$1,SUM(Outputs_Internal!M$4, Outputs_Internal!$M$5),0)*$D27</f>
        <v>0</v>
      </c>
      <c r="N27" s="63">
        <f t="shared" si="0"/>
        <v>3291.6666666666665</v>
      </c>
      <c r="P27" s="63">
        <f>$F27*Outputs_Internal!$D$62/12+N27</f>
        <v>22580.044791666667</v>
      </c>
      <c r="Q27" s="63">
        <f>$F27*Outputs_Internal!K$62/12+N27*'MARA Prices'!$F$5</f>
        <v>5814.5076495459252</v>
      </c>
      <c r="R27" s="63">
        <f>$F27*Outputs_Internal!L$62/12+N27*'MARA Prices'!$F$6</f>
        <v>13654.4271329603</v>
      </c>
      <c r="S27" s="63">
        <f>N27*'MARA Prices'!$F$4</f>
        <v>2633.3333333333335</v>
      </c>
      <c r="T27" s="63">
        <f>$F27*Outputs_Internal!M$62/12</f>
        <v>435.34988326674994</v>
      </c>
      <c r="U27" s="63">
        <f>$F27*Outputs_Internal!N$62/12</f>
        <v>42.426792560360632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3291.6666666666665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3291.6666666666665</v>
      </c>
      <c r="P28" s="63">
        <f>$F28*Outputs_Internal!$D$62/12+N28</f>
        <v>22580.044791666667</v>
      </c>
      <c r="Q28" s="63">
        <f>$F28*Outputs_Internal!K$62/12+N28*'MARA Prices'!$F$5</f>
        <v>5814.5076495459252</v>
      </c>
      <c r="R28" s="63">
        <f>$F28*Outputs_Internal!L$62/12+N28*'MARA Prices'!$F$6</f>
        <v>13654.4271329603</v>
      </c>
      <c r="S28" s="63">
        <f>N28*'MARA Prices'!$F$4</f>
        <v>2633.3333333333335</v>
      </c>
      <c r="T28" s="63">
        <f>$F28*Outputs_Internal!M$62/12</f>
        <v>435.34988326674994</v>
      </c>
      <c r="U28" s="63">
        <f>$F28*Outputs_Internal!N$62/12</f>
        <v>42.426792560360632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3291.6666666666665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3291.6666666666665</v>
      </c>
      <c r="P29" s="63">
        <f>$F29*Outputs_Internal!$D$62/12+N29</f>
        <v>22580.044791666667</v>
      </c>
      <c r="Q29" s="63">
        <f>$F29*Outputs_Internal!K$62/12+N29*'MARA Prices'!$F$5</f>
        <v>5814.5076495459252</v>
      </c>
      <c r="R29" s="63">
        <f>$F29*Outputs_Internal!L$62/12+N29*'MARA Prices'!$F$6</f>
        <v>13654.4271329603</v>
      </c>
      <c r="S29" s="63">
        <f>N29*'MARA Prices'!$F$4</f>
        <v>2633.3333333333335</v>
      </c>
      <c r="T29" s="63">
        <f>$F29*Outputs_Internal!M$62/12</f>
        <v>435.34988326674994</v>
      </c>
      <c r="U29" s="63">
        <f>$F29*Outputs_Internal!N$62/12</f>
        <v>42.426792560360632</v>
      </c>
      <c r="W29" s="63">
        <f t="shared" si="2"/>
        <v>93052.634374999994</v>
      </c>
      <c r="X29" s="63">
        <f t="shared" si="3"/>
        <v>21999.772948637776</v>
      </c>
      <c r="Y29" s="63">
        <f t="shared" si="4"/>
        <v>61719.531398880899</v>
      </c>
      <c r="Z29" s="63">
        <f t="shared" si="5"/>
        <v>1306.0496498002499</v>
      </c>
      <c r="AA29" s="63">
        <f t="shared" si="6"/>
        <v>8027.2803776810833</v>
      </c>
      <c r="AD29" s="63">
        <f>'MARA Prices'!H$21*$G29</f>
        <v>0</v>
      </c>
      <c r="AE29" s="63">
        <f>'MARA Prices'!I$21*$G29</f>
        <v>0</v>
      </c>
      <c r="AF29" s="63">
        <f>'MARA Prices'!J$21*$G29</f>
        <v>3291.6666666666665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3291.6666666666665</v>
      </c>
      <c r="P30" s="63">
        <f>$F30*Outputs_Internal!$D$62/12+N30</f>
        <v>22580.044791666667</v>
      </c>
      <c r="Q30" s="63">
        <f>$F30*Outputs_Internal!K$62/12+N30*'MARA Prices'!$F$5</f>
        <v>5814.5076495459252</v>
      </c>
      <c r="R30" s="63">
        <f>$F30*Outputs_Internal!L$62/12+N30*'MARA Prices'!$F$6</f>
        <v>13654.4271329603</v>
      </c>
      <c r="S30" s="63">
        <f>N30*'MARA Prices'!$F$4</f>
        <v>2633.3333333333335</v>
      </c>
      <c r="T30" s="63">
        <f>$F30*Outputs_Internal!M$62/12</f>
        <v>435.34988326674994</v>
      </c>
      <c r="U30" s="63">
        <f>$F30*Outputs_Internal!N$62/12</f>
        <v>42.426792560360632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3291.6666666666665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3291.6666666666665</v>
      </c>
      <c r="P31" s="63">
        <f>$F31*Outputs_Internal!$D$62/12+N31</f>
        <v>22580.044791666667</v>
      </c>
      <c r="Q31" s="63">
        <f>$F31*Outputs_Internal!K$62/12+N31*'MARA Prices'!$F$5</f>
        <v>5814.5076495459252</v>
      </c>
      <c r="R31" s="63">
        <f>$F31*Outputs_Internal!L$62/12+N31*'MARA Prices'!$F$6</f>
        <v>13654.4271329603</v>
      </c>
      <c r="S31" s="63">
        <f>N31*'MARA Prices'!$F$4</f>
        <v>2633.3333333333335</v>
      </c>
      <c r="T31" s="63">
        <f>$F31*Outputs_Internal!M$62/12</f>
        <v>435.34988326674994</v>
      </c>
      <c r="U31" s="63">
        <f>$F31*Outputs_Internal!N$62/12</f>
        <v>42.426792560360632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3291.6666666666665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3291.6666666666665</v>
      </c>
      <c r="P32" s="63">
        <f>$F32*Outputs_Internal!$D$62/12+N32</f>
        <v>22580.044791666667</v>
      </c>
      <c r="Q32" s="63">
        <f>$F32*Outputs_Internal!K$62/12+N32*'MARA Prices'!$F$5</f>
        <v>5814.5076495459252</v>
      </c>
      <c r="R32" s="63">
        <f>$F32*Outputs_Internal!L$62/12+N32*'MARA Prices'!$F$6</f>
        <v>13654.4271329603</v>
      </c>
      <c r="S32" s="63">
        <f>N32*'MARA Prices'!$F$4</f>
        <v>2633.3333333333335</v>
      </c>
      <c r="T32" s="63">
        <f>$F32*Outputs_Internal!M$62/12</f>
        <v>435.34988326674994</v>
      </c>
      <c r="U32" s="63">
        <f>$F32*Outputs_Internal!N$62/12</f>
        <v>42.426792560360632</v>
      </c>
      <c r="W32" s="63">
        <f t="shared" si="2"/>
        <v>67740.134374999994</v>
      </c>
      <c r="X32" s="63">
        <f t="shared" si="3"/>
        <v>17443.522948637776</v>
      </c>
      <c r="Y32" s="63">
        <f t="shared" si="4"/>
        <v>40963.281398880899</v>
      </c>
      <c r="Z32" s="63">
        <f t="shared" si="5"/>
        <v>1306.0496498002499</v>
      </c>
      <c r="AA32" s="63">
        <f t="shared" si="6"/>
        <v>8027.2803776810833</v>
      </c>
      <c r="AD32" s="63">
        <f>'MARA Prices'!H$21*$G32</f>
        <v>0</v>
      </c>
      <c r="AE32" s="63">
        <f>'MARA Prices'!I$21*$G32</f>
        <v>0</v>
      </c>
      <c r="AF32" s="63">
        <f>'MARA Prices'!J$21*$G32</f>
        <v>3291.6666666666665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3456.25</v>
      </c>
      <c r="P33" s="63">
        <f>$F33*Outputs_Internal!$D$62/12+N33</f>
        <v>22744.628124999999</v>
      </c>
      <c r="Q33" s="63">
        <f>$F33*Outputs_Internal!K$62/12+N33*'MARA Prices'!$F$5</f>
        <v>5830.9659828792583</v>
      </c>
      <c r="R33" s="63">
        <f>$F33*Outputs_Internal!L$62/12+N33*'MARA Prices'!$F$6</f>
        <v>13670.885466293634</v>
      </c>
      <c r="S33" s="63">
        <f>N33*'MARA Prices'!$F$4</f>
        <v>2765</v>
      </c>
      <c r="T33" s="63">
        <f>$F33*Outputs_Internal!M$62/12</f>
        <v>435.34988326674994</v>
      </c>
      <c r="U33" s="63">
        <f>$F33*Outputs_Internal!N$62/12</f>
        <v>42.426792560360632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3456.25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3456.25</v>
      </c>
      <c r="P34" s="63">
        <f>$F34*Outputs_Internal!$D$62/12+N34</f>
        <v>22744.628124999999</v>
      </c>
      <c r="Q34" s="63">
        <f>$F34*Outputs_Internal!K$62/12+N34*'MARA Prices'!$F$5</f>
        <v>5830.9659828792583</v>
      </c>
      <c r="R34" s="63">
        <f>$F34*Outputs_Internal!L$62/12+N34*'MARA Prices'!$F$6</f>
        <v>13670.885466293634</v>
      </c>
      <c r="S34" s="63">
        <f>N34*'MARA Prices'!$F$4</f>
        <v>2765</v>
      </c>
      <c r="T34" s="63">
        <f>$F34*Outputs_Internal!M$62/12</f>
        <v>435.34988326674994</v>
      </c>
      <c r="U34" s="63">
        <f>$F34*Outputs_Internal!N$62/12</f>
        <v>42.426792560360632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3456.25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3456.25</v>
      </c>
      <c r="P35" s="63">
        <f>$F35*Outputs_Internal!$D$62/12+N35</f>
        <v>22744.628124999999</v>
      </c>
      <c r="Q35" s="63">
        <f>$F35*Outputs_Internal!K$62/12+N35*'MARA Prices'!$F$5</f>
        <v>5830.9659828792583</v>
      </c>
      <c r="R35" s="63">
        <f>$F35*Outputs_Internal!L$62/12+N35*'MARA Prices'!$F$6</f>
        <v>13670.885466293634</v>
      </c>
      <c r="S35" s="63">
        <f>N35*'MARA Prices'!$F$4</f>
        <v>2765</v>
      </c>
      <c r="T35" s="63">
        <f>$F35*Outputs_Internal!M$62/12</f>
        <v>435.34988326674994</v>
      </c>
      <c r="U35" s="63">
        <f>$F35*Outputs_Internal!N$62/12</f>
        <v>42.426792560360632</v>
      </c>
      <c r="W35" s="63">
        <f t="shared" si="2"/>
        <v>68233.884374999994</v>
      </c>
      <c r="X35" s="63">
        <f t="shared" si="3"/>
        <v>17492.897948637776</v>
      </c>
      <c r="Y35" s="63">
        <f t="shared" si="4"/>
        <v>41012.656398880899</v>
      </c>
      <c r="Z35" s="63">
        <f t="shared" si="5"/>
        <v>1306.0496498002499</v>
      </c>
      <c r="AA35" s="63">
        <f t="shared" si="6"/>
        <v>8422.2803776810815</v>
      </c>
      <c r="AD35" s="63">
        <f>'MARA Prices'!H$21*$G35</f>
        <v>0</v>
      </c>
      <c r="AE35" s="63">
        <f>'MARA Prices'!I$21*$G35</f>
        <v>0</v>
      </c>
      <c r="AF35" s="63">
        <f>'MARA Prices'!J$21*$G35</f>
        <v>3456.25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3456.25</v>
      </c>
      <c r="P36" s="63">
        <f>$F36*Outputs_Internal!$D$62/12+N36</f>
        <v>22744.628124999999</v>
      </c>
      <c r="Q36" s="63">
        <f>$F36*Outputs_Internal!K$62/12+N36*'MARA Prices'!$F$5</f>
        <v>5830.9659828792583</v>
      </c>
      <c r="R36" s="63">
        <f>$F36*Outputs_Internal!L$62/12+N36*'MARA Prices'!$F$6</f>
        <v>13670.885466293634</v>
      </c>
      <c r="S36" s="63">
        <f>N36*'MARA Prices'!$F$4</f>
        <v>2765</v>
      </c>
      <c r="T36" s="63">
        <f>$F36*Outputs_Internal!M$62/12</f>
        <v>435.34988326674994</v>
      </c>
      <c r="U36" s="63">
        <f>$F36*Outputs_Internal!N$62/12</f>
        <v>42.426792560360632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3456.25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3456.25</v>
      </c>
      <c r="P37" s="63">
        <f>$F37*Outputs_Internal!$D$62/12+N37</f>
        <v>22744.628124999999</v>
      </c>
      <c r="Q37" s="63">
        <f>$F37*Outputs_Internal!K$62/12+N37*'MARA Prices'!$F$5</f>
        <v>5830.9659828792583</v>
      </c>
      <c r="R37" s="63">
        <f>$F37*Outputs_Internal!L$62/12+N37*'MARA Prices'!$F$6</f>
        <v>13670.885466293634</v>
      </c>
      <c r="S37" s="63">
        <f>N37*'MARA Prices'!$F$4</f>
        <v>2765</v>
      </c>
      <c r="T37" s="63">
        <f>$F37*Outputs_Internal!M$62/12</f>
        <v>435.34988326674994</v>
      </c>
      <c r="U37" s="63">
        <f>$F37*Outputs_Internal!N$62/12</f>
        <v>42.426792560360632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3456.25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3456.25</v>
      </c>
      <c r="P38" s="63">
        <f>$F38*Outputs_Internal!$D$62/12+N38</f>
        <v>22744.628124999999</v>
      </c>
      <c r="Q38" s="63">
        <f>$F38*Outputs_Internal!K$62/12+N38*'MARA Prices'!$F$5</f>
        <v>5830.9659828792583</v>
      </c>
      <c r="R38" s="63">
        <f>$F38*Outputs_Internal!L$62/12+N38*'MARA Prices'!$F$6</f>
        <v>13670.885466293634</v>
      </c>
      <c r="S38" s="63">
        <f>N38*'MARA Prices'!$F$4</f>
        <v>2765</v>
      </c>
      <c r="T38" s="63">
        <f>$F38*Outputs_Internal!M$62/12</f>
        <v>435.34988326674994</v>
      </c>
      <c r="U38" s="63">
        <f>$F38*Outputs_Internal!N$62/12</f>
        <v>42.426792560360632</v>
      </c>
      <c r="W38" s="63">
        <f t="shared" si="7"/>
        <v>68233.884374999994</v>
      </c>
      <c r="X38" s="63">
        <f t="shared" si="8"/>
        <v>17492.897948637776</v>
      </c>
      <c r="Y38" s="63">
        <f t="shared" si="9"/>
        <v>41012.656398880899</v>
      </c>
      <c r="Z38" s="63">
        <f t="shared" si="10"/>
        <v>1306.0496498002499</v>
      </c>
      <c r="AA38" s="63">
        <f t="shared" si="11"/>
        <v>8422.2803776810815</v>
      </c>
      <c r="AD38" s="63">
        <f>'MARA Prices'!H$21*$G38</f>
        <v>0</v>
      </c>
      <c r="AE38" s="63">
        <f>'MARA Prices'!I$21*$G38</f>
        <v>0</v>
      </c>
      <c r="AF38" s="63">
        <f>'MARA Prices'!J$21*$G38</f>
        <v>3456.25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3456.25</v>
      </c>
      <c r="P39" s="63">
        <f>$F39*Outputs_Internal!$D$62/12+N39</f>
        <v>22744.628124999999</v>
      </c>
      <c r="Q39" s="63">
        <f>$F39*Outputs_Internal!K$62/12+N39*'MARA Prices'!$F$5</f>
        <v>5830.9659828792583</v>
      </c>
      <c r="R39" s="63">
        <f>$F39*Outputs_Internal!L$62/12+N39*'MARA Prices'!$F$6</f>
        <v>13670.885466293634</v>
      </c>
      <c r="S39" s="63">
        <f>N39*'MARA Prices'!$F$4</f>
        <v>2765</v>
      </c>
      <c r="T39" s="63">
        <f>$F39*Outputs_Internal!M$62/12</f>
        <v>435.34988326674994</v>
      </c>
      <c r="U39" s="63">
        <f>$F39*Outputs_Internal!N$62/12</f>
        <v>42.426792560360632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3456.25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3456.25</v>
      </c>
      <c r="P40" s="63">
        <f>$F40*Outputs_Internal!$D$62/12+N40</f>
        <v>22744.628124999999</v>
      </c>
      <c r="Q40" s="63">
        <f>$F40*Outputs_Internal!K$62/12+N40*'MARA Prices'!$F$5</f>
        <v>5830.9659828792583</v>
      </c>
      <c r="R40" s="63">
        <f>$F40*Outputs_Internal!L$62/12+N40*'MARA Prices'!$F$6</f>
        <v>13670.885466293634</v>
      </c>
      <c r="S40" s="63">
        <f>N40*'MARA Prices'!$F$4</f>
        <v>2765</v>
      </c>
      <c r="T40" s="63">
        <f>$F40*Outputs_Internal!M$62/12</f>
        <v>435.34988326674994</v>
      </c>
      <c r="U40" s="63">
        <f>$F40*Outputs_Internal!N$62/12</f>
        <v>42.426792560360632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3456.25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3456.25</v>
      </c>
      <c r="P41" s="63">
        <f>$F41*Outputs_Internal!$D$62/12+N41</f>
        <v>22744.628124999999</v>
      </c>
      <c r="Q41" s="63">
        <f>$F41*Outputs_Internal!K$62/12+N41*'MARA Prices'!$F$5</f>
        <v>5830.9659828792583</v>
      </c>
      <c r="R41" s="63">
        <f>$F41*Outputs_Internal!L$62/12+N41*'MARA Prices'!$F$6</f>
        <v>13670.885466293634</v>
      </c>
      <c r="S41" s="63">
        <f>N41*'MARA Prices'!$F$4</f>
        <v>2765</v>
      </c>
      <c r="T41" s="63">
        <f>$F41*Outputs_Internal!M$62/12</f>
        <v>435.34988326674994</v>
      </c>
      <c r="U41" s="63">
        <f>$F41*Outputs_Internal!N$62/12</f>
        <v>42.426792560360632</v>
      </c>
      <c r="W41" s="63">
        <f t="shared" si="7"/>
        <v>68233.884374999994</v>
      </c>
      <c r="X41" s="63">
        <f t="shared" si="8"/>
        <v>17492.897948637776</v>
      </c>
      <c r="Y41" s="63">
        <f t="shared" si="9"/>
        <v>41012.656398880899</v>
      </c>
      <c r="Z41" s="63">
        <f t="shared" si="10"/>
        <v>1306.0496498002499</v>
      </c>
      <c r="AA41" s="63">
        <f t="shared" si="11"/>
        <v>8422.2803776810815</v>
      </c>
      <c r="AD41" s="63">
        <f>'MARA Prices'!H$21*$G41</f>
        <v>0</v>
      </c>
      <c r="AE41" s="63">
        <f>'MARA Prices'!I$21*$G41</f>
        <v>0</v>
      </c>
      <c r="AF41" s="63">
        <f>'MARA Prices'!J$21*$G41</f>
        <v>3456.25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3456.25</v>
      </c>
      <c r="P42" s="63">
        <f>$F42*Outputs_Internal!$D$62/12+N42</f>
        <v>22744.628124999999</v>
      </c>
      <c r="Q42" s="63">
        <f>$F42*Outputs_Internal!K$62/12+N42*'MARA Prices'!$F$5</f>
        <v>5830.9659828792583</v>
      </c>
      <c r="R42" s="63">
        <f>$F42*Outputs_Internal!L$62/12+N42*'MARA Prices'!$F$6</f>
        <v>13670.885466293634</v>
      </c>
      <c r="S42" s="63">
        <f>N42*'MARA Prices'!$F$4</f>
        <v>2765</v>
      </c>
      <c r="T42" s="63">
        <f>$F42*Outputs_Internal!M$62/12</f>
        <v>435.34988326674994</v>
      </c>
      <c r="U42" s="63">
        <f>$F42*Outputs_Internal!N$62/12</f>
        <v>42.426792560360632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3456.25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3456.25</v>
      </c>
      <c r="P43" s="63">
        <f>$F43*Outputs_Internal!$D$62/12+N43</f>
        <v>22744.628124999999</v>
      </c>
      <c r="Q43" s="63">
        <f>$F43*Outputs_Internal!K$62/12+N43*'MARA Prices'!$F$5</f>
        <v>5830.9659828792583</v>
      </c>
      <c r="R43" s="63">
        <f>$F43*Outputs_Internal!L$62/12+N43*'MARA Prices'!$F$6</f>
        <v>13670.885466293634</v>
      </c>
      <c r="S43" s="63">
        <f>N43*'MARA Prices'!$F$4</f>
        <v>2765</v>
      </c>
      <c r="T43" s="63">
        <f>$F43*Outputs_Internal!M$62/12</f>
        <v>435.34988326674994</v>
      </c>
      <c r="U43" s="63">
        <f>$F43*Outputs_Internal!N$62/12</f>
        <v>42.426792560360632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3456.25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3456.25</v>
      </c>
      <c r="P44" s="63">
        <f>$F44*Outputs_Internal!$D$62/12+N44</f>
        <v>22744.628124999999</v>
      </c>
      <c r="Q44" s="63">
        <f>$F44*Outputs_Internal!K$62/12+N44*'MARA Prices'!$F$5</f>
        <v>5830.9659828792583</v>
      </c>
      <c r="R44" s="63">
        <f>$F44*Outputs_Internal!L$62/12+N44*'MARA Prices'!$F$6</f>
        <v>13670.885466293634</v>
      </c>
      <c r="S44" s="63">
        <f>N44*'MARA Prices'!$F$4</f>
        <v>2765</v>
      </c>
      <c r="T44" s="63">
        <f>$F44*Outputs_Internal!M$62/12</f>
        <v>435.34988326674994</v>
      </c>
      <c r="U44" s="63">
        <f>$F44*Outputs_Internal!N$62/12</f>
        <v>42.426792560360632</v>
      </c>
      <c r="W44" s="63">
        <f t="shared" si="7"/>
        <v>68233.884374999994</v>
      </c>
      <c r="X44" s="63">
        <f t="shared" si="8"/>
        <v>17492.897948637776</v>
      </c>
      <c r="Y44" s="63">
        <f t="shared" si="9"/>
        <v>41012.656398880899</v>
      </c>
      <c r="Z44" s="63">
        <f t="shared" si="10"/>
        <v>1306.0496498002499</v>
      </c>
      <c r="AA44" s="63">
        <f t="shared" si="11"/>
        <v>8422.2803776810815</v>
      </c>
      <c r="AD44" s="63">
        <f>'MARA Prices'!H$21*$G44</f>
        <v>0</v>
      </c>
      <c r="AE44" s="63">
        <f>'MARA Prices'!I$21*$G44</f>
        <v>0</v>
      </c>
      <c r="AF44" s="63">
        <f>'MARA Prices'!J$21*$G44</f>
        <v>3456.25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3629.0625</v>
      </c>
      <c r="P45" s="63">
        <f>$F45*Outputs_Internal!$D$62/12+N45</f>
        <v>22917.440624999999</v>
      </c>
      <c r="Q45" s="63">
        <f>$F45*Outputs_Internal!K$62/12+N45*'MARA Prices'!$F$5</f>
        <v>5848.2472328792583</v>
      </c>
      <c r="R45" s="63">
        <f>$F45*Outputs_Internal!L$62/12+N45*'MARA Prices'!$F$6</f>
        <v>13688.166716293634</v>
      </c>
      <c r="S45" s="63">
        <f>N45*'MARA Prices'!$F$4</f>
        <v>2903.25</v>
      </c>
      <c r="T45" s="63">
        <f>$F45*Outputs_Internal!M$62/12</f>
        <v>435.34988326674994</v>
      </c>
      <c r="U45" s="63">
        <f>$F45*Outputs_Internal!N$62/12</f>
        <v>42.426792560360632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3629.0625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3629.0625</v>
      </c>
      <c r="P46" s="63">
        <f>$F46*Outputs_Internal!$D$62/12+N46</f>
        <v>22917.440624999999</v>
      </c>
      <c r="Q46" s="63">
        <f>$F46*Outputs_Internal!K$62/12+N46*'MARA Prices'!$F$5</f>
        <v>5848.2472328792583</v>
      </c>
      <c r="R46" s="63">
        <f>$F46*Outputs_Internal!L$62/12+N46*'MARA Prices'!$F$6</f>
        <v>13688.166716293634</v>
      </c>
      <c r="S46" s="63">
        <f>N46*'MARA Prices'!$F$4</f>
        <v>2903.25</v>
      </c>
      <c r="T46" s="63">
        <f>$F46*Outputs_Internal!M$62/12</f>
        <v>435.34988326674994</v>
      </c>
      <c r="U46" s="63">
        <f>$F46*Outputs_Internal!N$62/12</f>
        <v>42.426792560360632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3629.0625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3629.0625</v>
      </c>
      <c r="P47" s="63">
        <f>$F47*Outputs_Internal!$D$62/12+N47</f>
        <v>22917.440624999999</v>
      </c>
      <c r="Q47" s="63">
        <f>$F47*Outputs_Internal!K$62/12+N47*'MARA Prices'!$F$5</f>
        <v>5848.2472328792583</v>
      </c>
      <c r="R47" s="63">
        <f>$F47*Outputs_Internal!L$62/12+N47*'MARA Prices'!$F$6</f>
        <v>13688.166716293634</v>
      </c>
      <c r="S47" s="63">
        <f>N47*'MARA Prices'!$F$4</f>
        <v>2903.25</v>
      </c>
      <c r="T47" s="63">
        <f>$F47*Outputs_Internal!M$62/12</f>
        <v>435.34988326674994</v>
      </c>
      <c r="U47" s="63">
        <f>$F47*Outputs_Internal!N$62/12</f>
        <v>42.426792560360632</v>
      </c>
      <c r="W47" s="63">
        <f t="shared" si="7"/>
        <v>68752.321874999994</v>
      </c>
      <c r="X47" s="63">
        <f t="shared" si="8"/>
        <v>17544.741698637776</v>
      </c>
      <c r="Y47" s="63">
        <f t="shared" si="9"/>
        <v>41064.500148880899</v>
      </c>
      <c r="Z47" s="63">
        <f t="shared" si="10"/>
        <v>1306.0496498002499</v>
      </c>
      <c r="AA47" s="63">
        <f t="shared" si="11"/>
        <v>8837.0303776810815</v>
      </c>
      <c r="AD47" s="63">
        <f>'MARA Prices'!H$21*$G47</f>
        <v>0</v>
      </c>
      <c r="AE47" s="63">
        <f>'MARA Prices'!I$21*$G47</f>
        <v>0</v>
      </c>
      <c r="AF47" s="63">
        <f>'MARA Prices'!J$21*$G47</f>
        <v>3629.0625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3629.0625</v>
      </c>
      <c r="P48" s="63">
        <f>$F48*Outputs_Internal!$D$62/12+N48</f>
        <v>22917.440624999999</v>
      </c>
      <c r="Q48" s="63">
        <f>$F48*Outputs_Internal!K$62/12+N48*'MARA Prices'!$F$5</f>
        <v>5848.2472328792583</v>
      </c>
      <c r="R48" s="63">
        <f>$F48*Outputs_Internal!L$62/12+N48*'MARA Prices'!$F$6</f>
        <v>13688.166716293634</v>
      </c>
      <c r="S48" s="63">
        <f>N48*'MARA Prices'!$F$4</f>
        <v>2903.25</v>
      </c>
      <c r="T48" s="63">
        <f>$F48*Outputs_Internal!M$62/12</f>
        <v>435.34988326674994</v>
      </c>
      <c r="U48" s="63">
        <f>$F48*Outputs_Internal!N$62/12</f>
        <v>42.426792560360632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3629.0625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3629.0625</v>
      </c>
      <c r="P49" s="63">
        <f>$F49*Outputs_Internal!$D$62/12+N49</f>
        <v>22917.440624999999</v>
      </c>
      <c r="Q49" s="63">
        <f>$F49*Outputs_Internal!K$62/12+N49*'MARA Prices'!$F$5</f>
        <v>5848.2472328792583</v>
      </c>
      <c r="R49" s="63">
        <f>$F49*Outputs_Internal!L$62/12+N49*'MARA Prices'!$F$6</f>
        <v>13688.166716293634</v>
      </c>
      <c r="S49" s="63">
        <f>N49*'MARA Prices'!$F$4</f>
        <v>2903.25</v>
      </c>
      <c r="T49" s="63">
        <f>$F49*Outputs_Internal!M$62/12</f>
        <v>435.34988326674994</v>
      </c>
      <c r="U49" s="63">
        <f>$F49*Outputs_Internal!N$62/12</f>
        <v>42.426792560360632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3629.0625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3629.0625</v>
      </c>
      <c r="P50" s="63">
        <f>$F50*Outputs_Internal!$D$62/12+N50</f>
        <v>22917.440624999999</v>
      </c>
      <c r="Q50" s="63">
        <f>$F50*Outputs_Internal!K$62/12+N50*'MARA Prices'!$F$5</f>
        <v>5848.2472328792583</v>
      </c>
      <c r="R50" s="63">
        <f>$F50*Outputs_Internal!L$62/12+N50*'MARA Prices'!$F$6</f>
        <v>13688.166716293634</v>
      </c>
      <c r="S50" s="63">
        <f>N50*'MARA Prices'!$F$4</f>
        <v>2903.25</v>
      </c>
      <c r="T50" s="63">
        <f>$F50*Outputs_Internal!M$62/12</f>
        <v>435.34988326674994</v>
      </c>
      <c r="U50" s="63">
        <f>$F50*Outputs_Internal!N$62/12</f>
        <v>42.426792560360632</v>
      </c>
      <c r="W50" s="63">
        <f t="shared" si="7"/>
        <v>68752.321874999994</v>
      </c>
      <c r="X50" s="63">
        <f t="shared" si="8"/>
        <v>17544.741698637776</v>
      </c>
      <c r="Y50" s="63">
        <f t="shared" si="9"/>
        <v>41064.500148880899</v>
      </c>
      <c r="Z50" s="63">
        <f t="shared" si="10"/>
        <v>1306.0496498002499</v>
      </c>
      <c r="AA50" s="63">
        <f t="shared" si="11"/>
        <v>8837.0303776810815</v>
      </c>
      <c r="AD50" s="63">
        <f>'MARA Prices'!H$21*$G50</f>
        <v>0</v>
      </c>
      <c r="AE50" s="63">
        <f>'MARA Prices'!I$21*$G50</f>
        <v>0</v>
      </c>
      <c r="AF50" s="63">
        <f>'MARA Prices'!J$21*$G50</f>
        <v>3629.0625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3629.0625</v>
      </c>
      <c r="P51" s="63">
        <f>$F51*Outputs_Internal!$D$62/12+N51</f>
        <v>22917.440624999999</v>
      </c>
      <c r="Q51" s="63">
        <f>$F51*Outputs_Internal!K$62/12+N51*'MARA Prices'!$F$5</f>
        <v>5848.2472328792583</v>
      </c>
      <c r="R51" s="63">
        <f>$F51*Outputs_Internal!L$62/12+N51*'MARA Prices'!$F$6</f>
        <v>13688.166716293634</v>
      </c>
      <c r="S51" s="63">
        <f>N51*'MARA Prices'!$F$4</f>
        <v>2903.25</v>
      </c>
      <c r="T51" s="63">
        <f>$F51*Outputs_Internal!M$62/12</f>
        <v>435.34988326674994</v>
      </c>
      <c r="U51" s="63">
        <f>$F51*Outputs_Internal!N$62/12</f>
        <v>42.426792560360632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3629.0625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3629.0625</v>
      </c>
      <c r="P52" s="63">
        <f>$F52*Outputs_Internal!$D$62/12+N52</f>
        <v>22917.440624999999</v>
      </c>
      <c r="Q52" s="63">
        <f>$F52*Outputs_Internal!K$62/12+N52*'MARA Prices'!$F$5</f>
        <v>5848.2472328792583</v>
      </c>
      <c r="R52" s="63">
        <f>$F52*Outputs_Internal!L$62/12+N52*'MARA Prices'!$F$6</f>
        <v>13688.166716293634</v>
      </c>
      <c r="S52" s="63">
        <f>N52*'MARA Prices'!$F$4</f>
        <v>2903.25</v>
      </c>
      <c r="T52" s="63">
        <f>$F52*Outputs_Internal!M$62/12</f>
        <v>435.34988326674994</v>
      </c>
      <c r="U52" s="63">
        <f>$F52*Outputs_Internal!N$62/12</f>
        <v>42.426792560360632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3629.0625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3629.0625</v>
      </c>
      <c r="P53" s="63">
        <f>$F53*Outputs_Internal!$D$62/12+N53</f>
        <v>22917.440624999999</v>
      </c>
      <c r="Q53" s="63">
        <f>$F53*Outputs_Internal!K$62/12+N53*'MARA Prices'!$F$5</f>
        <v>5848.2472328792583</v>
      </c>
      <c r="R53" s="63">
        <f>$F53*Outputs_Internal!L$62/12+N53*'MARA Prices'!$F$6</f>
        <v>13688.166716293634</v>
      </c>
      <c r="S53" s="63">
        <f>N53*'MARA Prices'!$F$4</f>
        <v>2903.25</v>
      </c>
      <c r="T53" s="63">
        <f>$F53*Outputs_Internal!M$62/12</f>
        <v>435.34988326674994</v>
      </c>
      <c r="U53" s="63">
        <f>$F53*Outputs_Internal!N$62/12</f>
        <v>42.426792560360632</v>
      </c>
      <c r="W53" s="63">
        <f t="shared" si="7"/>
        <v>68752.321874999994</v>
      </c>
      <c r="X53" s="63">
        <f t="shared" si="8"/>
        <v>17544.741698637776</v>
      </c>
      <c r="Y53" s="63">
        <f t="shared" si="9"/>
        <v>41064.500148880899</v>
      </c>
      <c r="Z53" s="63">
        <f t="shared" si="10"/>
        <v>1306.0496498002499</v>
      </c>
      <c r="AA53" s="63">
        <f t="shared" si="11"/>
        <v>8837.0303776810815</v>
      </c>
      <c r="AD53" s="63">
        <f>'MARA Prices'!H$21*$G53</f>
        <v>0</v>
      </c>
      <c r="AE53" s="63">
        <f>'MARA Prices'!I$21*$G53</f>
        <v>0</v>
      </c>
      <c r="AF53" s="63">
        <f>'MARA Prices'!J$21*$G53</f>
        <v>3629.0625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3629.0625</v>
      </c>
      <c r="P54" s="63">
        <f>$F54*Outputs_Internal!$D$62/12+N54</f>
        <v>22917.440624999999</v>
      </c>
      <c r="Q54" s="63">
        <f>$F54*Outputs_Internal!K$62/12+N54*'MARA Prices'!$F$5</f>
        <v>5848.2472328792583</v>
      </c>
      <c r="R54" s="63">
        <f>$F54*Outputs_Internal!L$62/12+N54*'MARA Prices'!$F$6</f>
        <v>13688.166716293634</v>
      </c>
      <c r="S54" s="63">
        <f>N54*'MARA Prices'!$F$4</f>
        <v>2903.25</v>
      </c>
      <c r="T54" s="63">
        <f>$F54*Outputs_Internal!M$62/12</f>
        <v>435.34988326674994</v>
      </c>
      <c r="U54" s="63">
        <f>$F54*Outputs_Internal!N$62/12</f>
        <v>42.426792560360632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3629.0625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3629.0625</v>
      </c>
      <c r="P55" s="63">
        <f>$F55*Outputs_Internal!$D$62/12+N55</f>
        <v>22917.440624999999</v>
      </c>
      <c r="Q55" s="63">
        <f>$F55*Outputs_Internal!K$62/12+N55*'MARA Prices'!$F$5</f>
        <v>5848.2472328792583</v>
      </c>
      <c r="R55" s="63">
        <f>$F55*Outputs_Internal!L$62/12+N55*'MARA Prices'!$F$6</f>
        <v>13688.166716293634</v>
      </c>
      <c r="S55" s="63">
        <f>N55*'MARA Prices'!$F$4</f>
        <v>2903.25</v>
      </c>
      <c r="T55" s="63">
        <f>$F55*Outputs_Internal!M$62/12</f>
        <v>435.34988326674994</v>
      </c>
      <c r="U55" s="63">
        <f>$F55*Outputs_Internal!N$62/12</f>
        <v>42.426792560360632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3629.0625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3629.0625</v>
      </c>
      <c r="P56" s="63">
        <f>$F56*Outputs_Internal!$D$62/12+N56</f>
        <v>22917.440624999999</v>
      </c>
      <c r="Q56" s="63">
        <f>$F56*Outputs_Internal!K$62/12+N56*'MARA Prices'!$F$5</f>
        <v>5848.2472328792583</v>
      </c>
      <c r="R56" s="63">
        <f>$F56*Outputs_Internal!L$62/12+N56*'MARA Prices'!$F$6</f>
        <v>13688.166716293634</v>
      </c>
      <c r="S56" s="63">
        <f>N56*'MARA Prices'!$F$4</f>
        <v>2903.25</v>
      </c>
      <c r="T56" s="63">
        <f>$F56*Outputs_Internal!M$62/12</f>
        <v>435.34988326674994</v>
      </c>
      <c r="U56" s="63">
        <f>$F56*Outputs_Internal!N$62/12</f>
        <v>42.426792560360632</v>
      </c>
      <c r="W56" s="63">
        <f t="shared" si="7"/>
        <v>68752.321874999994</v>
      </c>
      <c r="X56" s="63">
        <f t="shared" si="8"/>
        <v>17544.741698637776</v>
      </c>
      <c r="Y56" s="63">
        <f t="shared" si="9"/>
        <v>41064.500148880899</v>
      </c>
      <c r="Z56" s="63">
        <f t="shared" si="10"/>
        <v>1306.0496498002499</v>
      </c>
      <c r="AA56" s="63">
        <f t="shared" si="11"/>
        <v>8837.0303776810815</v>
      </c>
      <c r="AD56" s="63">
        <f>'MARA Prices'!H$21*$G56</f>
        <v>0</v>
      </c>
      <c r="AE56" s="63">
        <f>'MARA Prices'!I$21*$G56</f>
        <v>0</v>
      </c>
      <c r="AF56" s="63">
        <f>'MARA Prices'!J$21*$G56</f>
        <v>3629.0625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3810.5156250000005</v>
      </c>
      <c r="P57" s="63">
        <f>$F57*Outputs_Internal!$D$62/12+N57</f>
        <v>23098.893749999999</v>
      </c>
      <c r="Q57" s="63">
        <f>$F57*Outputs_Internal!K$62/12+N57*'MARA Prices'!$F$5</f>
        <v>5866.3925453792581</v>
      </c>
      <c r="R57" s="63">
        <f>$F57*Outputs_Internal!L$62/12+N57*'MARA Prices'!$F$6</f>
        <v>13706.312028793634</v>
      </c>
      <c r="S57" s="63">
        <f>N57*'MARA Prices'!$F$4</f>
        <v>3048.4125000000004</v>
      </c>
      <c r="T57" s="63">
        <f>$F57*Outputs_Internal!M$62/12</f>
        <v>435.34988326674994</v>
      </c>
      <c r="U57" s="63">
        <f>$F57*Outputs_Internal!N$62/12</f>
        <v>42.426792560360632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3810.5156250000005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3810.5156250000005</v>
      </c>
      <c r="P58" s="63">
        <f>$F58*Outputs_Internal!$D$62/12+N58</f>
        <v>23098.893749999999</v>
      </c>
      <c r="Q58" s="63">
        <f>$F58*Outputs_Internal!K$62/12+N58*'MARA Prices'!$F$5</f>
        <v>5866.3925453792581</v>
      </c>
      <c r="R58" s="63">
        <f>$F58*Outputs_Internal!L$62/12+N58*'MARA Prices'!$F$6</f>
        <v>13706.312028793634</v>
      </c>
      <c r="S58" s="63">
        <f>N58*'MARA Prices'!$F$4</f>
        <v>3048.4125000000004</v>
      </c>
      <c r="T58" s="63">
        <f>$F58*Outputs_Internal!M$62/12</f>
        <v>435.34988326674994</v>
      </c>
      <c r="U58" s="63">
        <f>$F58*Outputs_Internal!N$62/12</f>
        <v>42.426792560360632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3810.5156250000005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3810.5156250000005</v>
      </c>
      <c r="P59" s="63">
        <f>$F59*Outputs_Internal!$D$62/12+N59</f>
        <v>23098.893749999999</v>
      </c>
      <c r="Q59" s="63">
        <f>$F59*Outputs_Internal!K$62/12+N59*'MARA Prices'!$F$5</f>
        <v>5866.3925453792581</v>
      </c>
      <c r="R59" s="63">
        <f>$F59*Outputs_Internal!L$62/12+N59*'MARA Prices'!$F$6</f>
        <v>13706.312028793634</v>
      </c>
      <c r="S59" s="63">
        <f>N59*'MARA Prices'!$F$4</f>
        <v>3048.4125000000004</v>
      </c>
      <c r="T59" s="63">
        <f>$F59*Outputs_Internal!M$62/12</f>
        <v>435.34988326674994</v>
      </c>
      <c r="U59" s="63">
        <f>$F59*Outputs_Internal!N$62/12</f>
        <v>42.426792560360632</v>
      </c>
      <c r="W59" s="63">
        <f t="shared" si="7"/>
        <v>69296.681249999994</v>
      </c>
      <c r="X59" s="63">
        <f t="shared" si="8"/>
        <v>17599.177636137774</v>
      </c>
      <c r="Y59" s="63">
        <f t="shared" si="9"/>
        <v>41118.936086380905</v>
      </c>
      <c r="Z59" s="63">
        <f t="shared" si="10"/>
        <v>1306.0496498002499</v>
      </c>
      <c r="AA59" s="63">
        <f t="shared" si="11"/>
        <v>9272.5178776810826</v>
      </c>
      <c r="AD59" s="63">
        <f>'MARA Prices'!H$21*$G59</f>
        <v>0</v>
      </c>
      <c r="AE59" s="63">
        <f>'MARA Prices'!I$21*$G59</f>
        <v>0</v>
      </c>
      <c r="AF59" s="63">
        <f>'MARA Prices'!J$21*$G59</f>
        <v>3810.5156250000005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3810.5156250000005</v>
      </c>
      <c r="P60" s="63">
        <f>$F60*Outputs_Internal!$D$62/12+N60</f>
        <v>23098.893749999999</v>
      </c>
      <c r="Q60" s="63">
        <f>$F60*Outputs_Internal!K$62/12+N60*'MARA Prices'!$F$5</f>
        <v>5866.3925453792581</v>
      </c>
      <c r="R60" s="63">
        <f>$F60*Outputs_Internal!L$62/12+N60*'MARA Prices'!$F$6</f>
        <v>13706.312028793634</v>
      </c>
      <c r="S60" s="63">
        <f>N60*'MARA Prices'!$F$4</f>
        <v>3048.4125000000004</v>
      </c>
      <c r="T60" s="63">
        <f>$F60*Outputs_Internal!M$62/12</f>
        <v>435.34988326674994</v>
      </c>
      <c r="U60" s="63">
        <f>$F60*Outputs_Internal!N$62/12</f>
        <v>42.426792560360632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3810.5156250000005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3810.5156250000005</v>
      </c>
      <c r="P61" s="63">
        <f>$F61*Outputs_Internal!$D$62/12+N61</f>
        <v>23098.893749999999</v>
      </c>
      <c r="Q61" s="63">
        <f>$F61*Outputs_Internal!K$62/12+N61*'MARA Prices'!$F$5</f>
        <v>5866.3925453792581</v>
      </c>
      <c r="R61" s="63">
        <f>$F61*Outputs_Internal!L$62/12+N61*'MARA Prices'!$F$6</f>
        <v>13706.312028793634</v>
      </c>
      <c r="S61" s="63">
        <f>N61*'MARA Prices'!$F$4</f>
        <v>3048.4125000000004</v>
      </c>
      <c r="T61" s="63">
        <f>$F61*Outputs_Internal!M$62/12</f>
        <v>435.34988326674994</v>
      </c>
      <c r="U61" s="63">
        <f>$F61*Outputs_Internal!N$62/12</f>
        <v>42.426792560360632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3810.5156250000005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3810.5156250000005</v>
      </c>
      <c r="P62" s="63">
        <f>$F62*Outputs_Internal!$D$62/12+N62</f>
        <v>23098.893749999999</v>
      </c>
      <c r="Q62" s="63">
        <f>$F62*Outputs_Internal!K$62/12+N62*'MARA Prices'!$F$5</f>
        <v>5866.3925453792581</v>
      </c>
      <c r="R62" s="63">
        <f>$F62*Outputs_Internal!L$62/12+N62*'MARA Prices'!$F$6</f>
        <v>13706.312028793634</v>
      </c>
      <c r="S62" s="63">
        <f>N62*'MARA Prices'!$F$4</f>
        <v>3048.4125000000004</v>
      </c>
      <c r="T62" s="63">
        <f>$F62*Outputs_Internal!M$62/12</f>
        <v>435.34988326674994</v>
      </c>
      <c r="U62" s="63">
        <f>$F62*Outputs_Internal!N$62/12</f>
        <v>42.426792560360632</v>
      </c>
      <c r="W62" s="63">
        <f t="shared" si="7"/>
        <v>69296.681249999994</v>
      </c>
      <c r="X62" s="63">
        <f t="shared" si="8"/>
        <v>17599.177636137774</v>
      </c>
      <c r="Y62" s="63">
        <f t="shared" si="9"/>
        <v>41118.936086380905</v>
      </c>
      <c r="Z62" s="63">
        <f t="shared" si="10"/>
        <v>1306.0496498002499</v>
      </c>
      <c r="AA62" s="63">
        <f t="shared" si="11"/>
        <v>9272.5178776810826</v>
      </c>
      <c r="AD62" s="63">
        <f>'MARA Prices'!H$21*$G62</f>
        <v>0</v>
      </c>
      <c r="AE62" s="63">
        <f>'MARA Prices'!I$21*$G62</f>
        <v>0</v>
      </c>
      <c r="AF62" s="63">
        <f>'MARA Prices'!J$21*$G62</f>
        <v>3810.5156250000005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$F63*Outputs_Internal!$D$62/12+N63</f>
        <v>0</v>
      </c>
      <c r="Q63" s="63">
        <f>$F63*Outputs_Internal!K$62/12+N63*'MARA Prices'!$F$5</f>
        <v>0</v>
      </c>
      <c r="R63" s="63">
        <f>$F63*Outputs_Internal!L$62/12+N63*'MARA Prices'!$F$6</f>
        <v>0</v>
      </c>
      <c r="S63" s="63">
        <f>N63*'MARA Prices'!$F$4</f>
        <v>0</v>
      </c>
      <c r="T63" s="63">
        <f>$F63*Outputs_Internal!M$62/12</f>
        <v>0</v>
      </c>
      <c r="U63" s="63">
        <f>$F63*Outputs_Internal!N$62/12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$F64*Outputs_Internal!$D$62/12+N64</f>
        <v>0</v>
      </c>
      <c r="Q64" s="63">
        <f>$F64*Outputs_Internal!K$62/12+N64*'MARA Prices'!$F$5</f>
        <v>0</v>
      </c>
      <c r="R64" s="63">
        <f>$F64*Outputs_Internal!L$62/12+N64*'MARA Prices'!$F$6</f>
        <v>0</v>
      </c>
      <c r="S64" s="63">
        <f>N64*'MARA Prices'!$F$4</f>
        <v>0</v>
      </c>
      <c r="T64" s="63">
        <f>$F64*Outputs_Internal!M$62/12</f>
        <v>0</v>
      </c>
      <c r="U64" s="63">
        <f>$F64*Outputs_Internal!N$62/12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$F65*Outputs_Internal!$D$62/12+N65</f>
        <v>0</v>
      </c>
      <c r="Q65" s="63">
        <f>$F65*Outputs_Internal!K$62/12+N65*'MARA Prices'!$F$5</f>
        <v>0</v>
      </c>
      <c r="R65" s="63">
        <f>$F65*Outputs_Internal!L$62/12+N65*'MARA Prices'!$F$6</f>
        <v>0</v>
      </c>
      <c r="S65" s="63">
        <f>N65*'MARA Prices'!$F$4</f>
        <v>0</v>
      </c>
      <c r="T65" s="63">
        <f>$F65*Outputs_Internal!M$62/12</f>
        <v>0</v>
      </c>
      <c r="U65" s="63">
        <f>$F65*Outputs_Internal!N$62/12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$F66*Outputs_Internal!$D$62/12+N66</f>
        <v>0</v>
      </c>
      <c r="Q66" s="63">
        <f>$F66*Outputs_Internal!K$62/12+N66*'MARA Prices'!$F$5</f>
        <v>0</v>
      </c>
      <c r="R66" s="63">
        <f>$F66*Outputs_Internal!L$62/12+N66*'MARA Prices'!$F$6</f>
        <v>0</v>
      </c>
      <c r="S66" s="63">
        <f>N66*'MARA Prices'!$F$4</f>
        <v>0</v>
      </c>
      <c r="T66" s="63">
        <f>$F66*Outputs_Internal!M$62/12</f>
        <v>0</v>
      </c>
      <c r="U66" s="63">
        <f>$F66*Outputs_Internal!N$62/12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$F67*Outputs_Internal!$D$62/12+N67</f>
        <v>0</v>
      </c>
      <c r="Q67" s="63">
        <f>$F67*Outputs_Internal!K$62/12+N67*'MARA Prices'!$F$5</f>
        <v>0</v>
      </c>
      <c r="R67" s="63">
        <f>$F67*Outputs_Internal!L$62/12+N67*'MARA Prices'!$F$6</f>
        <v>0</v>
      </c>
      <c r="S67" s="63">
        <f>N67*'MARA Prices'!$F$4</f>
        <v>0</v>
      </c>
      <c r="T67" s="63">
        <f>$F67*Outputs_Internal!M$62/12</f>
        <v>0</v>
      </c>
      <c r="U67" s="63">
        <f>$F67*Outputs_Internal!N$62/12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$F68*Outputs_Internal!$D$62/12+N68</f>
        <v>0</v>
      </c>
      <c r="Q68" s="63">
        <f>$F68*Outputs_Internal!K$62/12+N68*'MARA Prices'!$F$5</f>
        <v>0</v>
      </c>
      <c r="R68" s="63">
        <f>$F68*Outputs_Internal!L$62/12+N68*'MARA Prices'!$F$6</f>
        <v>0</v>
      </c>
      <c r="S68" s="63">
        <f>N68*'MARA Prices'!$F$4</f>
        <v>0</v>
      </c>
      <c r="T68" s="63">
        <f>$F68*Outputs_Internal!M$62/12</f>
        <v>0</v>
      </c>
      <c r="U68" s="63">
        <f>$F68*Outputs_Internal!N$62/12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$F69*Outputs_Internal!$D$62/12+N69</f>
        <v>0</v>
      </c>
      <c r="Q69" s="63">
        <f>$F69*Outputs_Internal!K$62/12+N69*'MARA Prices'!$F$5</f>
        <v>0</v>
      </c>
      <c r="R69" s="63">
        <f>$F69*Outputs_Internal!L$62/12+N69*'MARA Prices'!$F$6</f>
        <v>0</v>
      </c>
      <c r="S69" s="63">
        <f>N69*'MARA Prices'!$F$4</f>
        <v>0</v>
      </c>
      <c r="T69" s="63">
        <f>$F69*Outputs_Internal!M$62/12</f>
        <v>0</v>
      </c>
      <c r="U69" s="63">
        <f>$F69*Outputs_Internal!N$62/12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:AA100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$F70*Outputs_Internal!$D$62/12+N70</f>
        <v>0</v>
      </c>
      <c r="Q70" s="63">
        <f>$F70*Outputs_Internal!K$62/12+N70*'MARA Prices'!$F$5</f>
        <v>0</v>
      </c>
      <c r="R70" s="63">
        <f>$F70*Outputs_Internal!L$62/12+N70*'MARA Prices'!$F$6</f>
        <v>0</v>
      </c>
      <c r="S70" s="63">
        <f>N70*'MARA Prices'!$F$4</f>
        <v>0</v>
      </c>
      <c r="T70" s="63">
        <f>$F70*Outputs_Internal!M$62/12</f>
        <v>0</v>
      </c>
      <c r="U70" s="63">
        <f>$F70*Outputs_Internal!N$62/12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$F71*Outputs_Internal!$D$62/12+N71</f>
        <v>0</v>
      </c>
      <c r="Q71" s="63">
        <f>$F71*Outputs_Internal!K$62/12+N71*'MARA Prices'!$F$5</f>
        <v>0</v>
      </c>
      <c r="R71" s="63">
        <f>$F71*Outputs_Internal!L$62/12+N71*'MARA Prices'!$F$6</f>
        <v>0</v>
      </c>
      <c r="S71" s="63">
        <f>N71*'MARA Prices'!$F$4</f>
        <v>0</v>
      </c>
      <c r="T71" s="63">
        <f>$F71*Outputs_Internal!M$62/12</f>
        <v>0</v>
      </c>
      <c r="U71" s="63">
        <f>$F71*Outputs_Internal!N$62/12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$F72*Outputs_Internal!$D$62/12+N72</f>
        <v>0</v>
      </c>
      <c r="Q72" s="63">
        <f>$F72*Outputs_Internal!K$62/12+N72*'MARA Prices'!$F$5</f>
        <v>0</v>
      </c>
      <c r="R72" s="63">
        <f>$F72*Outputs_Internal!L$62/12+N72*'MARA Prices'!$F$6</f>
        <v>0</v>
      </c>
      <c r="S72" s="63">
        <f>N72*'MARA Prices'!$F$4</f>
        <v>0</v>
      </c>
      <c r="T72" s="63">
        <f>$F72*Outputs_Internal!M$62/12</f>
        <v>0</v>
      </c>
      <c r="U72" s="63">
        <f>$F72*Outputs_Internal!N$62/12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$F73*Outputs_Internal!$D$62/12+N73</f>
        <v>0</v>
      </c>
      <c r="Q73" s="63">
        <f>$F73*Outputs_Internal!K$62/12+N73*'MARA Prices'!$F$5</f>
        <v>0</v>
      </c>
      <c r="R73" s="63">
        <f>$F73*Outputs_Internal!L$62/12+N73*'MARA Prices'!$F$6</f>
        <v>0</v>
      </c>
      <c r="S73" s="63">
        <f>N73*'MARA Prices'!$F$4</f>
        <v>0</v>
      </c>
      <c r="T73" s="63">
        <f>$F73*Outputs_Internal!M$62/12</f>
        <v>0</v>
      </c>
      <c r="U73" s="63">
        <f>$F73*Outputs_Internal!N$62/12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$F74*Outputs_Internal!$D$62/12+N74</f>
        <v>0</v>
      </c>
      <c r="Q74" s="63">
        <f>$F74*Outputs_Internal!K$62/12+N74*'MARA Prices'!$F$5</f>
        <v>0</v>
      </c>
      <c r="R74" s="63">
        <f>$F74*Outputs_Internal!L$62/12+N74*'MARA Prices'!$F$6</f>
        <v>0</v>
      </c>
      <c r="S74" s="63">
        <f>N74*'MARA Prices'!$F$4</f>
        <v>0</v>
      </c>
      <c r="T74" s="63">
        <f>$F74*Outputs_Internal!M$62/12</f>
        <v>0</v>
      </c>
      <c r="U74" s="63">
        <f>$F74*Outputs_Internal!N$62/12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$F75*Outputs_Internal!$D$62/12+N75</f>
        <v>0</v>
      </c>
      <c r="Q75" s="63">
        <f>$F75*Outputs_Internal!K$62/12+N75*'MARA Prices'!$F$5</f>
        <v>0</v>
      </c>
      <c r="R75" s="63">
        <f>$F75*Outputs_Internal!L$62/12+N75*'MARA Prices'!$F$6</f>
        <v>0</v>
      </c>
      <c r="S75" s="63">
        <f>N75*'MARA Prices'!$F$4</f>
        <v>0</v>
      </c>
      <c r="T75" s="63">
        <f>$F75*Outputs_Internal!M$62/12</f>
        <v>0</v>
      </c>
      <c r="U75" s="63">
        <f>$F75*Outputs_Internal!N$62/12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$F76*Outputs_Internal!$D$62/12+N76</f>
        <v>0</v>
      </c>
      <c r="Q76" s="63">
        <f>$F76*Outputs_Internal!K$62/12+N76*'MARA Prices'!$F$5</f>
        <v>0</v>
      </c>
      <c r="R76" s="63">
        <f>$F76*Outputs_Internal!L$62/12+N76*'MARA Prices'!$F$6</f>
        <v>0</v>
      </c>
      <c r="S76" s="63">
        <f>N76*'MARA Prices'!$F$4</f>
        <v>0</v>
      </c>
      <c r="T76" s="63">
        <f>$F76*Outputs_Internal!M$62/12</f>
        <v>0</v>
      </c>
      <c r="U76" s="63">
        <f>$F76*Outputs_Internal!N$62/12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$F77*Outputs_Internal!$D$62/12+N77</f>
        <v>0</v>
      </c>
      <c r="Q77" s="63">
        <f>$F77*Outputs_Internal!K$62/12+N77*'MARA Prices'!$F$5</f>
        <v>0</v>
      </c>
      <c r="R77" s="63">
        <f>$F77*Outputs_Internal!L$62/12+N77*'MARA Prices'!$F$6</f>
        <v>0</v>
      </c>
      <c r="S77" s="63">
        <f>N77*'MARA Prices'!$F$4</f>
        <v>0</v>
      </c>
      <c r="T77" s="63">
        <f>$F77*Outputs_Internal!M$62/12</f>
        <v>0</v>
      </c>
      <c r="U77" s="63">
        <f>$F77*Outputs_Internal!N$62/12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$F78*Outputs_Internal!$D$62/12+N78</f>
        <v>0</v>
      </c>
      <c r="Q78" s="63">
        <f>$F78*Outputs_Internal!K$62/12+N78*'MARA Prices'!$F$5</f>
        <v>0</v>
      </c>
      <c r="R78" s="63">
        <f>$F78*Outputs_Internal!L$62/12+N78*'MARA Prices'!$F$6</f>
        <v>0</v>
      </c>
      <c r="S78" s="63">
        <f>N78*'MARA Prices'!$F$4</f>
        <v>0</v>
      </c>
      <c r="T78" s="63">
        <f>$F78*Outputs_Internal!M$62/12</f>
        <v>0</v>
      </c>
      <c r="U78" s="63">
        <f>$F78*Outputs_Internal!N$62/12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$F79*Outputs_Internal!$D$62/12+N79</f>
        <v>0</v>
      </c>
      <c r="Q79" s="63">
        <f>$F79*Outputs_Internal!K$62/12+N79*'MARA Prices'!$F$5</f>
        <v>0</v>
      </c>
      <c r="R79" s="63">
        <f>$F79*Outputs_Internal!L$62/12+N79*'MARA Prices'!$F$6</f>
        <v>0</v>
      </c>
      <c r="S79" s="63">
        <f>N79*'MARA Prices'!$F$4</f>
        <v>0</v>
      </c>
      <c r="T79" s="63">
        <f>$F79*Outputs_Internal!M$62/12</f>
        <v>0</v>
      </c>
      <c r="U79" s="63">
        <f>$F79*Outputs_Internal!N$62/12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$F80*Outputs_Internal!$D$62/12+N80</f>
        <v>0</v>
      </c>
      <c r="Q80" s="63">
        <f>$F80*Outputs_Internal!K$62/12+N80*'MARA Prices'!$F$5</f>
        <v>0</v>
      </c>
      <c r="R80" s="63">
        <f>$F80*Outputs_Internal!L$62/12+N80*'MARA Prices'!$F$6</f>
        <v>0</v>
      </c>
      <c r="S80" s="63">
        <f>N80*'MARA Prices'!$F$4</f>
        <v>0</v>
      </c>
      <c r="T80" s="63">
        <f>$F80*Outputs_Internal!M$62/12</f>
        <v>0</v>
      </c>
      <c r="U80" s="63">
        <f>$F80*Outputs_Internal!N$62/12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$F81*Outputs_Internal!$D$62/12+N81</f>
        <v>0</v>
      </c>
      <c r="Q81" s="63">
        <f>$F81*Outputs_Internal!K$62/12+N81*'MARA Prices'!$F$5</f>
        <v>0</v>
      </c>
      <c r="R81" s="63">
        <f>$F81*Outputs_Internal!L$62/12+N81*'MARA Prices'!$F$6</f>
        <v>0</v>
      </c>
      <c r="S81" s="63">
        <f>N81*'MARA Prices'!$F$4</f>
        <v>0</v>
      </c>
      <c r="T81" s="63">
        <f>$F81*Outputs_Internal!M$62/12</f>
        <v>0</v>
      </c>
      <c r="U81" s="63">
        <f>$F81*Outputs_Internal!N$62/12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$F82*Outputs_Internal!$D$62/12+N82</f>
        <v>0</v>
      </c>
      <c r="Q82" s="63">
        <f>$F82*Outputs_Internal!K$62/12+N82*'MARA Prices'!$F$5</f>
        <v>0</v>
      </c>
      <c r="R82" s="63">
        <f>$F82*Outputs_Internal!L$62/12+N82*'MARA Prices'!$F$6</f>
        <v>0</v>
      </c>
      <c r="S82" s="63">
        <f>N82*'MARA Prices'!$F$4</f>
        <v>0</v>
      </c>
      <c r="T82" s="63">
        <f>$F82*Outputs_Internal!M$62/12</f>
        <v>0</v>
      </c>
      <c r="U82" s="63">
        <f>$F82*Outputs_Internal!N$62/12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$F83*Outputs_Internal!$D$62/12+N83</f>
        <v>0</v>
      </c>
      <c r="Q83" s="63">
        <f>$F83*Outputs_Internal!K$62/12+N83*'MARA Prices'!$F$5</f>
        <v>0</v>
      </c>
      <c r="R83" s="63">
        <f>$F83*Outputs_Internal!L$62/12+N83*'MARA Prices'!$F$6</f>
        <v>0</v>
      </c>
      <c r="S83" s="63">
        <f>N83*'MARA Prices'!$F$4</f>
        <v>0</v>
      </c>
      <c r="T83" s="63">
        <f>$F83*Outputs_Internal!M$62/12</f>
        <v>0</v>
      </c>
      <c r="U83" s="63">
        <f>$F83*Outputs_Internal!N$62/12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$F84*Outputs_Internal!$D$62/12+N84</f>
        <v>0</v>
      </c>
      <c r="Q84" s="63">
        <f>$F84*Outputs_Internal!K$62/12+N84*'MARA Prices'!$F$5</f>
        <v>0</v>
      </c>
      <c r="R84" s="63">
        <f>$F84*Outputs_Internal!L$62/12+N84*'MARA Prices'!$F$6</f>
        <v>0</v>
      </c>
      <c r="S84" s="63">
        <f>N84*'MARA Prices'!$F$4</f>
        <v>0</v>
      </c>
      <c r="T84" s="63">
        <f>$F84*Outputs_Internal!M$62/12</f>
        <v>0</v>
      </c>
      <c r="U84" s="63">
        <f>$F84*Outputs_Internal!N$62/12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$F85*Outputs_Internal!$D$62/12+N85</f>
        <v>0</v>
      </c>
      <c r="Q85" s="63">
        <f>$F85*Outputs_Internal!K$62/12+N85*'MARA Prices'!$F$5</f>
        <v>0</v>
      </c>
      <c r="R85" s="63">
        <f>$F85*Outputs_Internal!L$62/12+N85*'MARA Prices'!$F$6</f>
        <v>0</v>
      </c>
      <c r="S85" s="63">
        <f>N85*'MARA Prices'!$F$4</f>
        <v>0</v>
      </c>
      <c r="T85" s="63">
        <f>$F85*Outputs_Internal!M$62/12</f>
        <v>0</v>
      </c>
      <c r="U85" s="63">
        <f>$F85*Outputs_Internal!N$62/12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$F86*Outputs_Internal!$D$62/12+N86</f>
        <v>0</v>
      </c>
      <c r="Q86" s="63">
        <f>$F86*Outputs_Internal!K$62/12+N86*'MARA Prices'!$F$5</f>
        <v>0</v>
      </c>
      <c r="R86" s="63">
        <f>$F86*Outputs_Internal!L$62/12+N86*'MARA Prices'!$F$6</f>
        <v>0</v>
      </c>
      <c r="S86" s="63">
        <f>N86*'MARA Prices'!$F$4</f>
        <v>0</v>
      </c>
      <c r="T86" s="63">
        <f>$F86*Outputs_Internal!M$62/12</f>
        <v>0</v>
      </c>
      <c r="U86" s="63">
        <f>$F86*Outputs_Internal!N$62/12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$F87*Outputs_Internal!$D$62/12+N87</f>
        <v>0</v>
      </c>
      <c r="Q87" s="63">
        <f>$F87*Outputs_Internal!K$62/12+N87*'MARA Prices'!$F$5</f>
        <v>0</v>
      </c>
      <c r="R87" s="63">
        <f>$F87*Outputs_Internal!L$62/12+N87*'MARA Prices'!$F$6</f>
        <v>0</v>
      </c>
      <c r="S87" s="63">
        <f>N87*'MARA Prices'!$F$4</f>
        <v>0</v>
      </c>
      <c r="T87" s="63">
        <f>$F87*Outputs_Internal!M$62/12</f>
        <v>0</v>
      </c>
      <c r="U87" s="63">
        <f>$F87*Outputs_Internal!N$62/12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$F88*Outputs_Internal!$D$62/12+N88</f>
        <v>0</v>
      </c>
      <c r="Q88" s="63">
        <f>$F88*Outputs_Internal!K$62/12+N88*'MARA Prices'!$F$5</f>
        <v>0</v>
      </c>
      <c r="R88" s="63">
        <f>$F88*Outputs_Internal!L$62/12+N88*'MARA Prices'!$F$6</f>
        <v>0</v>
      </c>
      <c r="S88" s="63">
        <f>N88*'MARA Prices'!$F$4</f>
        <v>0</v>
      </c>
      <c r="T88" s="63">
        <f>$F88*Outputs_Internal!M$62/12</f>
        <v>0</v>
      </c>
      <c r="U88" s="63">
        <f>$F88*Outputs_Internal!N$62/12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$F89*Outputs_Internal!$D$62/12+N89</f>
        <v>0</v>
      </c>
      <c r="Q89" s="63">
        <f>$F89*Outputs_Internal!K$62/12+N89*'MARA Prices'!$F$5</f>
        <v>0</v>
      </c>
      <c r="R89" s="63">
        <f>$F89*Outputs_Internal!L$62/12+N89*'MARA Prices'!$F$6</f>
        <v>0</v>
      </c>
      <c r="S89" s="63">
        <f>N89*'MARA Prices'!$F$4</f>
        <v>0</v>
      </c>
      <c r="T89" s="63">
        <f>$F89*Outputs_Internal!M$62/12</f>
        <v>0</v>
      </c>
      <c r="U89" s="63">
        <f>$F89*Outputs_Internal!N$62/12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$F90*Outputs_Internal!$D$62/12+N90</f>
        <v>0</v>
      </c>
      <c r="Q90" s="63">
        <f>$F90*Outputs_Internal!K$62/12+N90*'MARA Prices'!$F$5</f>
        <v>0</v>
      </c>
      <c r="R90" s="63">
        <f>$F90*Outputs_Internal!L$62/12+N90*'MARA Prices'!$F$6</f>
        <v>0</v>
      </c>
      <c r="S90" s="63">
        <f>N90*'MARA Prices'!$F$4</f>
        <v>0</v>
      </c>
      <c r="T90" s="63">
        <f>$F90*Outputs_Internal!M$62/12</f>
        <v>0</v>
      </c>
      <c r="U90" s="63">
        <f>$F90*Outputs_Internal!N$62/12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$F91*Outputs_Internal!$D$62/12+N91</f>
        <v>0</v>
      </c>
      <c r="Q91" s="63">
        <f>$F91*Outputs_Internal!K$62/12+N91*'MARA Prices'!$F$5</f>
        <v>0</v>
      </c>
      <c r="R91" s="63">
        <f>$F91*Outputs_Internal!L$62/12+N91*'MARA Prices'!$F$6</f>
        <v>0</v>
      </c>
      <c r="S91" s="63">
        <f>N91*'MARA Prices'!$F$4</f>
        <v>0</v>
      </c>
      <c r="T91" s="63">
        <f>$F91*Outputs_Internal!M$62/12</f>
        <v>0</v>
      </c>
      <c r="U91" s="63">
        <f>$F91*Outputs_Internal!N$62/12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$F92*Outputs_Internal!$D$62/12+N92</f>
        <v>0</v>
      </c>
      <c r="Q92" s="63">
        <f>$F92*Outputs_Internal!K$62/12+N92*'MARA Prices'!$F$5</f>
        <v>0</v>
      </c>
      <c r="R92" s="63">
        <f>$F92*Outputs_Internal!L$62/12+N92*'MARA Prices'!$F$6</f>
        <v>0</v>
      </c>
      <c r="S92" s="63">
        <f>N92*'MARA Prices'!$F$4</f>
        <v>0</v>
      </c>
      <c r="T92" s="63">
        <f>$F92*Outputs_Internal!M$62/12</f>
        <v>0</v>
      </c>
      <c r="U92" s="63">
        <f>$F92*Outputs_Internal!N$62/12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$F93*Outputs_Internal!$D$62/12+N93</f>
        <v>0</v>
      </c>
      <c r="Q93" s="63">
        <f>$F93*Outputs_Internal!K$62/12+N93*'MARA Prices'!$F$5</f>
        <v>0</v>
      </c>
      <c r="R93" s="63">
        <f>$F93*Outputs_Internal!L$62/12+N93*'MARA Prices'!$F$6</f>
        <v>0</v>
      </c>
      <c r="S93" s="63">
        <f>N93*'MARA Prices'!$F$4</f>
        <v>0</v>
      </c>
      <c r="T93" s="63">
        <f>$F93*Outputs_Internal!M$62/12</f>
        <v>0</v>
      </c>
      <c r="U93" s="63">
        <f>$F93*Outputs_Internal!N$62/12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$F94*Outputs_Internal!$D$62/12+N94</f>
        <v>0</v>
      </c>
      <c r="Q94" s="63">
        <f>$F94*Outputs_Internal!K$62/12+N94*'MARA Prices'!$F$5</f>
        <v>0</v>
      </c>
      <c r="R94" s="63">
        <f>$F94*Outputs_Internal!L$62/12+N94*'MARA Prices'!$F$6</f>
        <v>0</v>
      </c>
      <c r="S94" s="63">
        <f>N94*'MARA Prices'!$F$4</f>
        <v>0</v>
      </c>
      <c r="T94" s="63">
        <f>$F94*Outputs_Internal!M$62/12</f>
        <v>0</v>
      </c>
      <c r="U94" s="63">
        <f>$F94*Outputs_Internal!N$62/12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0)))*Inputs!D11</f>
        <v>0</v>
      </c>
      <c r="E4" s="1">
        <f>IF(AND(Inputs!E7="Y",Inputs!E6="Y"), 0, IF(Inputs!E6="Y", SUM(Prices!$C$3, IF(Inputs!E$8 ="Y", Prices!$C$4, 0)), IF(Inputs!E6="N", Prices!$D$3, 0)))*Inputs!E11</f>
        <v>5000</v>
      </c>
      <c r="F4" s="1">
        <f>IF(AND(Inputs!F7="Y",Inputs!F6="Y"), 0, IF(Inputs!F6="Y", SUM(Prices!$C$3, IF(Inputs!F$8 ="Y", Prices!$C$4, 0)), IF(Inputs!F6="N", Prices!$D$3, 0)))*Inputs!F11</f>
        <v>20000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3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35">
      <c r="B6" s="6" t="s">
        <v>86</v>
      </c>
      <c r="D6" s="5">
        <f>IF(Inputs!D$6="N",MIN(MAX(Inputs!D$10-$K6,0),$L6-$K6),0)</f>
        <v>0</v>
      </c>
      <c r="E6" s="5">
        <f>IF(Inputs!E$6="N",MIN(MAX(Inputs!E$10-$K6,0),$L6-$K6),0)</f>
        <v>0</v>
      </c>
      <c r="F6" s="5">
        <f>IF(Inputs!F$6="N",MIN(MAX(Inputs!F$10-$K6,0),$L6-$K6),0)</f>
        <v>25000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87</v>
      </c>
      <c r="D7" s="5">
        <f>IF(Inputs!D$6="N",MIN(MAX(Inputs!D$10-$K7,0),$L7-$K7),0)</f>
        <v>0</v>
      </c>
      <c r="E7" s="5">
        <f>IF(Inputs!E$6="N",MIN(MAX(Inputs!E$10-$K7,0),$L7-$K7),0)</f>
        <v>0</v>
      </c>
      <c r="F7" s="5">
        <f>IF(Inputs!F$6="N",MIN(MAX(Inputs!F$10-$K7,0),$L7-$K7),0)</f>
        <v>50000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88</v>
      </c>
      <c r="D8" s="5">
        <f>IF(Inputs!D$6="N",MIN(MAX(Inputs!D$10-$K8,0),$L8-$K8),0)</f>
        <v>0</v>
      </c>
      <c r="E8" s="5">
        <f>IF(Inputs!E$6="N",MIN(MAX(Inputs!E$10-$K8,0),$L8-$K8),0)</f>
        <v>0</v>
      </c>
      <c r="F8" s="5">
        <f>IF(Inputs!F$6="N",MIN(MAX(Inputs!F$10-$K8,0),$L8-$K8),0)</f>
        <v>150000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90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0.40444444444444444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225000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48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15000</v>
      </c>
      <c r="F14" s="16">
        <f>IF(Inputs!F6="Y", Prices!$C$6, IF(Inputs!F6="N", Prices!$D$6, 0))</f>
        <v>30000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20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1000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3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4000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35">
      <c r="C17" s="17" t="s">
        <v>21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2000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3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2000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3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6000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35">
      <c r="C20" s="17" t="s">
        <v>77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4000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35">
      <c r="C21" s="19" t="s">
        <v>11</v>
      </c>
      <c r="D21" s="20">
        <f xml:space="preserve"> IF(OR(Inputs!D19="Y",Inputs!D$24="Y",Inputs!D$25="Y"), Prices!$C16, 0)</f>
        <v>0</v>
      </c>
      <c r="E21" s="20">
        <f xml:space="preserve"> IF(OR(Inputs!E19="Y",Inputs!E$24="Y",Inputs!E$25="Y"), Prices!$C16, 0)</f>
        <v>10000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35">
      <c r="C22" s="19" t="s">
        <v>149</v>
      </c>
      <c r="D22" s="20">
        <f xml:space="preserve"> IF(OR(Inputs!D20="Y",Inputs!D$24="Y",Inputs!D$25="Y",Inputs!D$28="Y"), Prices!$C17, 0)</f>
        <v>0</v>
      </c>
      <c r="E22" s="20">
        <f xml:space="preserve"> IF(OR(Inputs!E20="Y",Inputs!E$24="Y",Inputs!E$25="Y",Inputs!E$28="Y"), Prices!$C17, 0)</f>
        <v>5000</v>
      </c>
      <c r="F22" s="20">
        <f xml:space="preserve"> IF(OR(Inputs!F20="Y",Inputs!F$24="Y",Inputs!F$25="Y",Inputs!F$28="Y"), Prices!$C17, 0)</f>
        <v>5000</v>
      </c>
      <c r="G22" s="20">
        <f xml:space="preserve"> IF(OR(Inputs!G20="Y",Inputs!G$24="Y",Inputs!G$25="Y",Inputs!G$28="Y"), Prices!$C17, 0)</f>
        <v>0</v>
      </c>
      <c r="H22" s="20">
        <f xml:space="preserve"> IF(OR(Inputs!H20="Y",Inputs!H$24="Y",Inputs!H$25="Y",Inputs!H$28="Y"), Prices!$C17, 0)</f>
        <v>0</v>
      </c>
    </row>
    <row r="23" spans="2:8" x14ac:dyDescent="0.35">
      <c r="C23" s="19" t="s">
        <v>22</v>
      </c>
      <c r="D23" s="20">
        <f>IF(Inputs!D$6="N",0, IF(OR(Inputs!D21="Y",Inputs!D$24="Y",Inputs!D$25="Y"), Prices!$C18, 0))</f>
        <v>0</v>
      </c>
      <c r="E23" s="20">
        <f>IF(Inputs!E$6="N",0, IF(OR(Inputs!E21="Y",Inputs!E$24="Y",Inputs!E$25="Y"), Prices!$C18, 0))</f>
        <v>5000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35">
      <c r="B25" s="6" t="s">
        <v>49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0</v>
      </c>
      <c r="F26" s="16">
        <f>IF(Inputs!F$6="Y", 0, IF(F$11 = "", "", PRODUCT(F$11, Prices!$E$6)))*F$10</f>
        <v>24570.000000000004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20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3640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4550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35">
      <c r="C29" s="17" t="s">
        <v>21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3640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3640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4550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35">
      <c r="C32" s="17" t="s">
        <v>77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4550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35">
      <c r="C34" s="19" t="s">
        <v>149</v>
      </c>
      <c r="D34" s="20">
        <f>IF(OR(Inputs!D$6="Y", D$11 = 0), 0, IF(OR(Inputs!D20="Y",Inputs!D$24="Y",Inputs!D$25="Y",Inputs!D$28="Y"),PRODUCT(D$11, Prices!$E17),0))*D$10</f>
        <v>0</v>
      </c>
      <c r="E34" s="20">
        <f>IF(OR(Inputs!E$6="Y", E$11 = 0), 0, IF(OR(Inputs!E20="Y",Inputs!E$24="Y",Inputs!E$25="Y",Inputs!E$28="Y"),PRODUCT(E$11, Prices!$E17),0))*E$10</f>
        <v>0</v>
      </c>
      <c r="F34" s="20">
        <f>IF(OR(Inputs!F$6="Y", F$11 = 0), 0, IF(OR(Inputs!F20="Y",Inputs!F$24="Y",Inputs!F$25="Y",Inputs!F$28="Y"),PRODUCT(F$11, Prices!$E17),0))*F$10</f>
        <v>6370.0000000000009</v>
      </c>
      <c r="G34" s="20">
        <f>IF(OR(Inputs!G$6="Y", G$11 = 0), 0, IF(OR(Inputs!G20="Y",Inputs!G$24="Y",Inputs!G$25="Y",Inputs!G$28="Y"),PRODUCT(G$11, Prices!$E17),0))*G$10</f>
        <v>0</v>
      </c>
      <c r="H34" s="20">
        <f>IF(OR(Inputs!H$6="Y", H$11 = 0), 0, IF(OR(Inputs!H20="Y",Inputs!H$24="Y",Inputs!H$25="Y",Inputs!H$28="Y"),PRODUCT(H$11, Prices!$E17),0))*H$10</f>
        <v>0</v>
      </c>
    </row>
    <row r="35" spans="2:8" x14ac:dyDescent="0.35">
      <c r="C35" s="28" t="s">
        <v>22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50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15000</v>
      </c>
      <c r="F38" s="16">
        <f>IF(Inputs!F6="Y", Prices!$C$6, IF(Inputs!F6="N", Prices!$D$6, 0))</f>
        <v>30000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20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3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35">
      <c r="C41" s="17" t="s">
        <v>21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3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3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35">
      <c r="C44" s="17" t="s">
        <v>77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3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35">
      <c r="C46" s="19" t="s">
        <v>149</v>
      </c>
      <c r="D46" s="20">
        <f>IF(AND(Inputs!D20="Y",Inputs!D$24="N",Inputs!D$25="N",Inputs!D$28="N"),Prices!$C17,0)</f>
        <v>0</v>
      </c>
      <c r="E46" s="20">
        <f>IF(AND(Inputs!E20="Y",Inputs!E$24="N",Inputs!E$25="N",Inputs!E$28="N"),Prices!$C17,0)</f>
        <v>0</v>
      </c>
      <c r="F46" s="20">
        <f>IF(AND(Inputs!F20="Y",Inputs!F$24="N",Inputs!F$25="N",Inputs!F$28="N"),Prices!$C17,0)</f>
        <v>0</v>
      </c>
      <c r="G46" s="20">
        <f>IF(AND(Inputs!G20="Y",Inputs!G$24="N",Inputs!G$25="N",Inputs!G$28="N"),Prices!$C17,0)</f>
        <v>0</v>
      </c>
      <c r="H46" s="20">
        <f>IF(AND(Inputs!H20="Y",Inputs!H$24="N",Inputs!H$25="N",Inputs!H$28="N"),Prices!$C17,0)</f>
        <v>0</v>
      </c>
    </row>
    <row r="47" spans="2:8" x14ac:dyDescent="0.35">
      <c r="C47" s="19" t="s">
        <v>22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35">
      <c r="B49" s="6" t="s">
        <v>51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0</v>
      </c>
      <c r="F50" s="16">
        <f>IF(Inputs!F$6="Y", 0, IF(F$11 = "", "", PRODUCT(F$11, Prices!$E$6)*F$10))</f>
        <v>24570.000000000004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20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35">
      <c r="C53" s="17" t="s">
        <v>21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35">
      <c r="C56" s="17" t="s">
        <v>77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35">
      <c r="C58" s="19" t="s">
        <v>149</v>
      </c>
      <c r="D58" s="20">
        <f>IF(OR(Inputs!D$6="Y", D$11 = 0), 0, IF(AND(Inputs!D20="Y",Inputs!D$24="N",Inputs!D$25="N",Inputs!D$28="N"),PRODUCT(D$11, Prices!$E17)*D$10,0))</f>
        <v>0</v>
      </c>
      <c r="E58" s="20">
        <f>IF(OR(Inputs!E$6="Y", E$11 = 0), 0, IF(AND(Inputs!E20="Y",Inputs!E$24="N",Inputs!E$25="N",Inputs!E$28="N"),PRODUCT(E$11, Prices!$E17)*E$10,0))</f>
        <v>0</v>
      </c>
      <c r="F58" s="20">
        <f>IF(OR(Inputs!F$6="Y", F$11 = 0), 0, IF(AND(Inputs!F20="Y",Inputs!F$24="N",Inputs!F$25="N",Inputs!F$28="N"),PRODUCT(F$11, Prices!$E17)*F$10,0))</f>
        <v>0</v>
      </c>
      <c r="G58" s="20">
        <f>IF(OR(Inputs!G$6="Y", G$11 = 0), 0, IF(AND(Inputs!G20="Y",Inputs!G$24="N",Inputs!G$25="N",Inputs!G$28="N"),PRODUCT(G$11, Prices!$E17)*G$10,0))</f>
        <v>0</v>
      </c>
      <c r="H58" s="20">
        <f>IF(OR(Inputs!H$6="Y", H$11 = 0), 0, IF(AND(Inputs!H20="Y",Inputs!H$24="N",Inputs!H$25="N",Inputs!H$28="N"),PRODUCT(H$11, Prices!$E17)*H$10,0))</f>
        <v>0</v>
      </c>
    </row>
    <row r="59" spans="2:8" x14ac:dyDescent="0.35">
      <c r="C59" s="28" t="s">
        <v>22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44</v>
      </c>
    </row>
    <row r="62" spans="2:8" x14ac:dyDescent="0.35">
      <c r="C62" s="17" t="s">
        <v>13</v>
      </c>
      <c r="D62" s="18">
        <f>IF(Inputs!D$23 = "Y", 0, IF(Inputs!D22="Y", Prices!$C20, 0))</f>
        <v>8500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35">
      <c r="C63" s="17" t="s">
        <v>14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33000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35">
      <c r="C64" s="19" t="s">
        <v>15</v>
      </c>
      <c r="D64" s="20">
        <f>IF(Inputs!D24="Y", Prices!$C22, 0)</f>
        <v>0</v>
      </c>
      <c r="E64" s="20">
        <f>IF(Inputs!E24="Y", Prices!$C22, 0)</f>
        <v>35000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35">
      <c r="C65" s="19" t="s">
        <v>129</v>
      </c>
      <c r="D65" s="20">
        <f>IF(Inputs!D25="Y", Prices!$C23, 0)</f>
        <v>0</v>
      </c>
      <c r="E65" s="20">
        <f>IF(Inputs!E25="Y", Prices!$C23, 0)</f>
        <v>35000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35">
      <c r="C66" s="19" t="s">
        <v>16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35">
      <c r="C67" s="19" t="s">
        <v>99</v>
      </c>
      <c r="D67" s="20">
        <f>IF(Inputs!D27="Y", Prices!$C25 * IF(Inputs!D26="Y",1-Prices!$L$20,1), IF(Inputs!D27="Monthly", Prices!$C25 * Prices!$L$29 * IF(Inputs!D26="Y",1-Prices!$L$20,1), 0))</f>
        <v>0</v>
      </c>
      <c r="E67" s="20">
        <f>IF(Inputs!E27="Y", Prices!$C25 * IF(Inputs!E26="Y",1-Prices!$L$20,1), IF(Inputs!E27="Monthly", Prices!$C25 * Prices!$L$29 * IF(Inputs!E26="Y",1-Prices!$L$20,1), 0))</f>
        <v>0</v>
      </c>
      <c r="F67" s="20">
        <f>IF(Inputs!F27="Y", Prices!$C25 * IF(Inputs!F26="Y",1-Prices!$L$20,1), IF(Inputs!F27="Monthly", Prices!$C25 * Prices!$L$29 * IF(Inputs!F26="Y",1-Prices!$L$20,1), 0))</f>
        <v>0</v>
      </c>
      <c r="G67" s="20">
        <f>IF(Inputs!G27="Y", Prices!$C25 * IF(Inputs!G26="Y",1-Prices!$L$20,1), IF(Inputs!G27="Monthly", Prices!$C25 * Prices!$L$29 * IF(Inputs!G26="Y",1-Prices!$L$20,1), 0))</f>
        <v>0</v>
      </c>
      <c r="H67" s="20">
        <f>IF(Inputs!H27="Y", Prices!$C25 * IF(Inputs!H26="Y",1-Prices!$L$20,1), IF(Inputs!H27="Monthly", Prices!$C25 * Prices!$L$29 * IF(Inputs!H26="Y",1-Prices!$L$20,1), 0))</f>
        <v>0</v>
      </c>
    </row>
    <row r="68" spans="2:15" x14ac:dyDescent="0.35">
      <c r="C68" s="19" t="s">
        <v>150</v>
      </c>
      <c r="D68" s="20">
        <f>IF(Inputs!D28="Y", Prices!$C26, 0)</f>
        <v>0</v>
      </c>
      <c r="E68" s="20">
        <f>IF(Inputs!E28="Y", Prices!$C26, 0)</f>
        <v>28000</v>
      </c>
      <c r="F68" s="20">
        <f>IF(Inputs!F28="Y", Prices!$C26, 0)</f>
        <v>28000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35">
      <c r="C69" s="19" t="s">
        <v>98</v>
      </c>
      <c r="D69" s="20">
        <f>IF(Inputs!D29="Y", Prices!$C27, 0)</f>
        <v>0</v>
      </c>
      <c r="E69" s="20">
        <f>IF(Inputs!E29="Y", Prices!$C27, 0)</f>
        <v>0</v>
      </c>
      <c r="F69" s="20">
        <f>IF(Inputs!F29="Y", Prices!$C27, 0)</f>
        <v>0</v>
      </c>
      <c r="G69" s="20">
        <f>IF(Inputs!G29="Y", Prices!$C27, 0)</f>
        <v>0</v>
      </c>
      <c r="H69" s="20">
        <f>IF(Inputs!H29="Y", Prices!$C27, 0)</f>
        <v>0</v>
      </c>
    </row>
    <row r="70" spans="2:15" x14ac:dyDescent="0.35">
      <c r="C70" s="81" t="s">
        <v>96</v>
      </c>
      <c r="D70" s="84">
        <f>IF(Inputs!D12="Y", Prices!$C28, IF(Inputs!D12="Monthly", Prices!C28 * Prices!$L$29, 0))</f>
        <v>0</v>
      </c>
      <c r="E70" s="84">
        <f>IF(Inputs!E12="Y", Prices!$C28, IF(Inputs!E12="Monthly", Prices!D28 * Prices!$L$29, 0))</f>
        <v>0</v>
      </c>
      <c r="F70" s="84">
        <f>IF(Inputs!F12="Y", Prices!$C28, IF(Inputs!F12="Monthly", Prices!E28 * Prices!$L$29, 0))</f>
        <v>9600</v>
      </c>
      <c r="G70" s="84">
        <f>IF(Inputs!G12="Y", Prices!$C28, IF(Inputs!G12="Monthly", Prices!F28 * Prices!$L$29, 0))</f>
        <v>0</v>
      </c>
      <c r="H70" s="84">
        <f>IF(Inputs!H12="Y", Prices!$C28, IF(Inputs!H12="Monthly", Prices!G28 * Prices!$L$29, 0))</f>
        <v>0</v>
      </c>
    </row>
    <row r="72" spans="2:15" x14ac:dyDescent="0.35">
      <c r="B72" s="6" t="s">
        <v>45</v>
      </c>
      <c r="J72" s="89" t="s">
        <v>104</v>
      </c>
    </row>
    <row r="73" spans="2:15" x14ac:dyDescent="0.35">
      <c r="C73" s="28" t="s">
        <v>13</v>
      </c>
      <c r="D73" s="29">
        <v>0</v>
      </c>
      <c r="E73" s="29">
        <v>0</v>
      </c>
      <c r="F73" s="29">
        <v>0</v>
      </c>
      <c r="G73" s="29">
        <v>0</v>
      </c>
      <c r="H73" s="29">
        <v>0</v>
      </c>
      <c r="J73" s="90">
        <v>1E-3</v>
      </c>
      <c r="K73" s="23">
        <f>D62+D73+$J73</f>
        <v>8500.0010000000002</v>
      </c>
      <c r="L73" s="23">
        <f t="shared" ref="L73:O73" si="2">E62+E73+$J73</f>
        <v>1E-3</v>
      </c>
      <c r="M73" s="23">
        <f t="shared" si="2"/>
        <v>1E-3</v>
      </c>
      <c r="N73" s="23">
        <f t="shared" si="2"/>
        <v>1E-3</v>
      </c>
      <c r="O73" s="23">
        <f t="shared" si="2"/>
        <v>1E-3</v>
      </c>
    </row>
    <row r="74" spans="2:15" x14ac:dyDescent="0.35">
      <c r="C74" s="17" t="s">
        <v>14</v>
      </c>
      <c r="D74" s="18">
        <f>IF(Inputs!D$6="Y", 0, IF(D$11 = "", 0, IF(Inputs!D23 = "Y", D$11*Prices!$E21, 0)))*D$10</f>
        <v>0</v>
      </c>
      <c r="E74" s="18">
        <f>IF(Inputs!E$6="Y", 0, IF(E$11 = "", 0, IF(Inputs!E23 = "Y", E$11*Prices!$E21, 0)))*E$10</f>
        <v>0</v>
      </c>
      <c r="F74" s="18">
        <f>IF(Inputs!F$6="Y", 0, IF(F$11 = "", 0, IF(Inputs!F23 = "Y", F$11*Prices!$E21, 0)))*F$10</f>
        <v>25480.000000000004</v>
      </c>
      <c r="G74" s="18">
        <f>IF(Inputs!G$6="Y", 0, IF(G$11 = "", 0, IF(Inputs!G23 = "Y", G$11*Prices!$E21, 0)))*G$10</f>
        <v>0</v>
      </c>
      <c r="H74" s="18">
        <f>IF(Inputs!H$6="Y", 0, IF(H$11 = "", 0, IF(Inputs!H23 = "Y", H$11*Prices!$E21, 0)))*H$10</f>
        <v>0</v>
      </c>
      <c r="J74" s="90">
        <f>J73+0.0001</f>
        <v>1.1000000000000001E-3</v>
      </c>
      <c r="K74" s="23">
        <f t="shared" ref="K74:O74" si="3">D63+D74+$J74</f>
        <v>1.1000000000000001E-3</v>
      </c>
      <c r="L74" s="23">
        <f t="shared" si="3"/>
        <v>1.1000000000000001E-3</v>
      </c>
      <c r="M74" s="23">
        <f t="shared" si="3"/>
        <v>58480.001100000001</v>
      </c>
      <c r="N74" s="23">
        <f t="shared" si="3"/>
        <v>1.1000000000000001E-3</v>
      </c>
      <c r="O74" s="23">
        <f t="shared" si="3"/>
        <v>1.1000000000000001E-3</v>
      </c>
    </row>
    <row r="75" spans="2:15" x14ac:dyDescent="0.35">
      <c r="C75" s="19" t="s">
        <v>15</v>
      </c>
      <c r="D75" s="20">
        <f>IF(Inputs!D$6="Y", 0, IF(D$11 = "", 0, IF(Inputs!D24 = "Y", D$11*Prices!$E22, 0)))*D$10</f>
        <v>0</v>
      </c>
      <c r="E75" s="20">
        <f>IF(Inputs!E$6="Y", 0, IF(E$11 = "", 0, IF(Inputs!E24 = "Y", E$11*Prices!$E22, 0)))*E$10</f>
        <v>0</v>
      </c>
      <c r="F75" s="20">
        <f>IF(Inputs!F$6="Y", 0, IF(F$11 = "", 0, IF(Inputs!F24 = "Y", F$11*Prices!$E22, 0)))*F$10</f>
        <v>0</v>
      </c>
      <c r="G75" s="20">
        <f>IF(Inputs!G$6="Y", 0, IF(G$11 = "", 0, IF(Inputs!G24 = "Y", G$11*Prices!$E22, 0)))*G$10</f>
        <v>0</v>
      </c>
      <c r="H75" s="20">
        <f>IF(Inputs!H$6="Y", 0, IF(H$11 = "", 0, IF(Inputs!H24 = "Y", H$11*Prices!$E22, 0)))*H$10</f>
        <v>0</v>
      </c>
      <c r="J75" s="90">
        <f t="shared" ref="J75:J81" si="4">J74+0.0001</f>
        <v>1.2000000000000001E-3</v>
      </c>
      <c r="K75" s="23">
        <f t="shared" ref="K75:O75" si="5">D64+D75+$J75</f>
        <v>1.2000000000000001E-3</v>
      </c>
      <c r="L75" s="23">
        <f t="shared" si="5"/>
        <v>35000.001199999999</v>
      </c>
      <c r="M75" s="23">
        <f t="shared" si="5"/>
        <v>1.2000000000000001E-3</v>
      </c>
      <c r="N75" s="23">
        <f t="shared" si="5"/>
        <v>1.2000000000000001E-3</v>
      </c>
      <c r="O75" s="23">
        <f t="shared" si="5"/>
        <v>1.2000000000000001E-3</v>
      </c>
    </row>
    <row r="76" spans="2:15" x14ac:dyDescent="0.35">
      <c r="C76" s="19" t="s">
        <v>129</v>
      </c>
      <c r="D76" s="20">
        <f>IF(Inputs!D$6="Y", 0, IF(D$11 = "", 0, IF(Inputs!D25 = "Y", D$11*Prices!$E23, 0)))*D$10</f>
        <v>0</v>
      </c>
      <c r="E76" s="20">
        <f>IF(Inputs!E$6="Y", 0, IF(E$11 = "", 0, IF(Inputs!E25 = "Y", E$11*Prices!$E23, 0)))*E$10</f>
        <v>0</v>
      </c>
      <c r="F76" s="20">
        <f>IF(Inputs!F$6="Y", 0, IF(F$11 = "", 0, IF(Inputs!F25 = "Y", F$11*Prices!$E23, 0)))*F$10</f>
        <v>0</v>
      </c>
      <c r="G76" s="20">
        <f>IF(Inputs!G$6="Y", 0, IF(G$11 = "", 0, IF(Inputs!G25 = "Y", G$11*Prices!$E23, 0)))*G$10</f>
        <v>0</v>
      </c>
      <c r="H76" s="20">
        <f>IF(Inputs!H$6="Y", 0, IF(H$11 = "", 0, IF(Inputs!H25 = "Y", H$11*Prices!$E23, 0)))*H$10</f>
        <v>0</v>
      </c>
      <c r="J76" s="90">
        <f t="shared" si="4"/>
        <v>1.3000000000000002E-3</v>
      </c>
      <c r="K76" s="23">
        <f>D65+D76+$J76</f>
        <v>1.3000000000000002E-3</v>
      </c>
      <c r="L76" s="23">
        <f>E65+E76+$J76</f>
        <v>35000.001300000004</v>
      </c>
      <c r="M76" s="23">
        <f>F65+F76+$J76</f>
        <v>1.3000000000000002E-3</v>
      </c>
      <c r="N76" s="23">
        <f>G65+G76+$J76</f>
        <v>1.3000000000000002E-3</v>
      </c>
      <c r="O76" s="23">
        <f>H65+H76+$J76</f>
        <v>1.3000000000000002E-3</v>
      </c>
    </row>
    <row r="77" spans="2:15" x14ac:dyDescent="0.35">
      <c r="C77" s="19" t="s">
        <v>16</v>
      </c>
      <c r="D77" s="20">
        <f>IF(Inputs!D$6="Y", 0, IF(D$11 = "", 0, IF(Inputs!D26 = "Y", D$11*Prices!$E24, 0)))*D$10</f>
        <v>0</v>
      </c>
      <c r="E77" s="20">
        <f>IF(Inputs!E$6="Y", 0, IF(E$11 = "", 0, IF(Inputs!E26 = "Y", E$11*Prices!$E24, 0)))*E$10</f>
        <v>0</v>
      </c>
      <c r="F77" s="20">
        <f>IF(Inputs!F$6="Y", 0, IF(F$11 = "", 0, IF(Inputs!F26 = "Y", F$11*Prices!$E24, 0)))*F$10</f>
        <v>0</v>
      </c>
      <c r="G77" s="20">
        <f>IF(Inputs!G$6="Y", 0, IF(G$11 = "", 0, IF(Inputs!G26 = "Y", G$11*Prices!$E24, 0)))*G$10</f>
        <v>0</v>
      </c>
      <c r="H77" s="20">
        <f>IF(Inputs!H$6="Y", 0, IF(H$11 = "", 0, IF(Inputs!H26 = "Y", H$11*Prices!$E24, 0)))*H$10</f>
        <v>0</v>
      </c>
      <c r="J77" s="90">
        <f t="shared" si="4"/>
        <v>1.4000000000000002E-3</v>
      </c>
      <c r="K77" s="23">
        <f>D66+D77+$J77</f>
        <v>1.4000000000000002E-3</v>
      </c>
      <c r="L77" s="23">
        <f>E66+E77+$J77</f>
        <v>1.4000000000000002E-3</v>
      </c>
      <c r="M77" s="23">
        <f>F66+F77+$J77</f>
        <v>1.4000000000000002E-3</v>
      </c>
      <c r="N77" s="23">
        <f>G66+G77+$J77</f>
        <v>1.4000000000000002E-3</v>
      </c>
      <c r="O77" s="23">
        <f>H66+H77+$J77</f>
        <v>1.4000000000000002E-3</v>
      </c>
    </row>
    <row r="78" spans="2:15" x14ac:dyDescent="0.35">
      <c r="C78" s="19" t="s">
        <v>99</v>
      </c>
      <c r="D78" s="20">
        <f>IF(Inputs!D$6="Y", 0, IF(D$11 = "", 0, IF(Inputs!D27 = "Y", D$11*Prices!$E25 * IF(Inputs!D26="Y",1-Prices!$L$20,1),IF(Inputs!D27="Monthly", D$11*Prices!$E25 * Prices!$L$29 * IF(Inputs!D26="Y",1-Prices!$L$20,1), 0))))*D$10</f>
        <v>0</v>
      </c>
      <c r="E78" s="20">
        <f>IF(Inputs!E$6="Y", 0, IF(E$11 = "", 0, IF(Inputs!E27 = "Y", E$11*Prices!$E25 * IF(Inputs!E26="Y",1-Prices!$L$20,1),IF(Inputs!E27="Monthly", E$11*Prices!$E25 * Prices!$L$29 * IF(Inputs!E26="Y",1-Prices!$L$20,1), 0))))*E$10</f>
        <v>0</v>
      </c>
      <c r="F78" s="20">
        <f>IF(Inputs!F$6="Y", 0, IF(F$11 = "", 0, IF(Inputs!F27 = "Y", F$11*Prices!$E25 * IF(Inputs!F26="Y",1-Prices!$L$20,1),IF(Inputs!F27="Monthly", F$11*Prices!$E25 * Prices!$L$29 * IF(Inputs!F26="Y",1-Prices!$L$20,1), 0))))*F$10</f>
        <v>0</v>
      </c>
      <c r="G78" s="20">
        <f>IF(Inputs!G$6="Y", 0, IF(G$11 = "", 0, IF(Inputs!G27 = "Y", G$11*Prices!$E25 * IF(Inputs!G26="Y",1-Prices!$L$20,1),IF(Inputs!G27="Monthly", G$11*Prices!$E25 * Prices!$L$29 * IF(Inputs!G26="Y",1-Prices!$L$20,1), 0))))*G$10</f>
        <v>0</v>
      </c>
      <c r="H78" s="20">
        <f>IF(Inputs!H$6="Y", 0, IF(H$11 = "", 0, IF(Inputs!H27 = "Y", H$11*Prices!$E25 * IF(Inputs!H26="Y",1-Prices!$L$20,1),IF(Inputs!H27="Monthly", H$11*Prices!$E25 * Prices!$L$29 * IF(Inputs!H26="Y",1-Prices!$L$20,1), 0))))*H$10</f>
        <v>0</v>
      </c>
      <c r="J78" s="90">
        <f t="shared" si="4"/>
        <v>1.5000000000000002E-3</v>
      </c>
      <c r="K78" s="23">
        <f>D67+D78+$J78</f>
        <v>1.5000000000000002E-3</v>
      </c>
      <c r="L78" s="23">
        <f>E67+E78+$J78</f>
        <v>1.5000000000000002E-3</v>
      </c>
      <c r="M78" s="23">
        <f>F67+F78+$J78</f>
        <v>1.5000000000000002E-3</v>
      </c>
      <c r="N78" s="23">
        <f>G67+G78+$J78</f>
        <v>1.5000000000000002E-3</v>
      </c>
      <c r="O78" s="23">
        <f>H67+H78+$J78</f>
        <v>1.5000000000000002E-3</v>
      </c>
    </row>
    <row r="79" spans="2:15" x14ac:dyDescent="0.35">
      <c r="C79" s="19" t="s">
        <v>150</v>
      </c>
      <c r="D79" s="20">
        <f>IF(Inputs!D$6="Y", 0, IF(D$11 = "", 0, IF(Inputs!D28 = "Y", D$11*Prices!$E26, 0)))*D$10</f>
        <v>0</v>
      </c>
      <c r="E79" s="20">
        <f>IF(Inputs!E$6="Y", 0, IF(E$11 = "", 0, IF(Inputs!E28 = "Y", E$11*Prices!$E26, 0)))*E$10</f>
        <v>0</v>
      </c>
      <c r="F79" s="20">
        <f>IF(Inputs!F$6="Y", 0, IF(F$11 = "", 0, IF(Inputs!F28 = "Y", F$11*Prices!$E26, 0)))*F$10</f>
        <v>16380</v>
      </c>
      <c r="G79" s="20">
        <f>IF(Inputs!G$6="Y", 0, IF(G$11 = "", 0, IF(Inputs!G28 = "Y", G$11*Prices!$E26, 0)))*G$10</f>
        <v>0</v>
      </c>
      <c r="H79" s="20">
        <f>IF(Inputs!H$6="Y", 0, IF(H$11 = "", 0, IF(Inputs!H28 = "Y", H$11*Prices!$E26, 0)))*H$10</f>
        <v>0</v>
      </c>
      <c r="J79" s="90">
        <f t="shared" si="4"/>
        <v>1.6000000000000003E-3</v>
      </c>
      <c r="K79" s="23">
        <f>D68+D79+$J79</f>
        <v>1.6000000000000003E-3</v>
      </c>
      <c r="L79" s="23">
        <f>E68+E79+$J79</f>
        <v>28000.0016</v>
      </c>
      <c r="M79" s="23">
        <f>F68+F79+$J79</f>
        <v>44380.001600000003</v>
      </c>
      <c r="N79" s="23">
        <f>G68+G79+$J79</f>
        <v>1.6000000000000003E-3</v>
      </c>
      <c r="O79" s="23">
        <f>H68+H79+$J79</f>
        <v>1.6000000000000003E-3</v>
      </c>
    </row>
    <row r="80" spans="2:15" x14ac:dyDescent="0.35">
      <c r="C80" s="19" t="s">
        <v>98</v>
      </c>
      <c r="D80" s="20">
        <f>IF(Inputs!D$6="Y", 0, IF(D$11 = "", 0, IF(Inputs!D29 = "Y", D$11*Prices!$E27, 0)))*D$10</f>
        <v>0</v>
      </c>
      <c r="E80" s="20">
        <f>IF(Inputs!E$6="Y", 0, IF(E$11 = "", 0, IF(Inputs!E29 = "Y", E$11*Prices!$E27, 0)))*E$10</f>
        <v>0</v>
      </c>
      <c r="F80" s="20">
        <f>IF(Inputs!F$6="Y", 0, IF(F$11 = "", 0, IF(Inputs!F29 = "Y", F$11*Prices!$E27, 0)))*F$10</f>
        <v>0</v>
      </c>
      <c r="G80" s="20">
        <f>IF(Inputs!G$6="Y", 0, IF(G$11 = "", 0, IF(Inputs!G29 = "Y", G$11*Prices!$E27, 0)))*G$10</f>
        <v>0</v>
      </c>
      <c r="H80" s="20">
        <f>IF(Inputs!H$6="Y", 0, IF(H$11 = "", 0, IF(Inputs!H29 = "Y", H$11*Prices!$E27, 0)))*H$10</f>
        <v>0</v>
      </c>
      <c r="J80" s="90">
        <f t="shared" si="4"/>
        <v>1.7000000000000003E-3</v>
      </c>
      <c r="K80" s="23">
        <f>D69+D80+$J80</f>
        <v>1.7000000000000003E-3</v>
      </c>
      <c r="L80" s="23">
        <f>E69+E80+$J80</f>
        <v>1.7000000000000003E-3</v>
      </c>
      <c r="M80" s="23">
        <f>F69+F80+$J80</f>
        <v>1.7000000000000003E-3</v>
      </c>
      <c r="N80" s="23">
        <f>G69+G80+$J80</f>
        <v>1.7000000000000003E-3</v>
      </c>
      <c r="O80" s="23">
        <f>H69+H80+$J80</f>
        <v>1.7000000000000003E-3</v>
      </c>
    </row>
    <row r="81" spans="2:15" x14ac:dyDescent="0.35">
      <c r="C81" s="81" t="s">
        <v>96</v>
      </c>
      <c r="D81" s="84">
        <f>IF(Inputs!D$6="Y", 0, IF(D$11 = "", 0, IF(Inputs!D12 = "Y", D$11*Prices!$E28, IF(Inputs!D12="Monthly", D$11*Prices!$E28*Prices!$L$29,0))))*D$10</f>
        <v>0</v>
      </c>
      <c r="E81" s="84">
        <f>IF(Inputs!E$6="Y", 0, IF(E$11 = "", 0, IF(Inputs!E12 = "Y", E$11*Prices!$E28, IF(Inputs!E12="Monthly", E$11*Prices!$E28*Prices!$L$29,0))))*E$10</f>
        <v>0</v>
      </c>
      <c r="F81" s="84">
        <f>IF(Inputs!F$6="Y", 0, IF(F$11 = "", 0, IF(Inputs!F12 = "Y", F$11*Prices!$E28, IF(Inputs!F12="Monthly", F$11*Prices!$E28*Prices!$L$29,0))))*F$10</f>
        <v>38220</v>
      </c>
      <c r="G81" s="84">
        <f>IF(Inputs!G$6="Y", 0, IF(G$11 = "", 0, IF(Inputs!G12 = "Y", G$11*Prices!$E28, IF(Inputs!G12="Monthly", G$11*Prices!$E28*Prices!$L$29,0))))*G$10</f>
        <v>0</v>
      </c>
      <c r="H81" s="84">
        <f>IF(Inputs!H$6="Y", 0, IF(H$11 = "", 0, IF(Inputs!H12 = "Y", H$11*Prices!$E28, IF(Inputs!H12="Monthly", H$11*Prices!$E28*Prices!$L$29,0))))*H$10</f>
        <v>0</v>
      </c>
      <c r="J81" s="90">
        <f t="shared" si="4"/>
        <v>1.8000000000000004E-3</v>
      </c>
      <c r="K81" s="23">
        <f>D70+D81+$J81</f>
        <v>1.8000000000000004E-3</v>
      </c>
      <c r="L81" s="23">
        <f>E70+E81+$J81</f>
        <v>1.8000000000000004E-3</v>
      </c>
      <c r="M81" s="23">
        <f>F70+F81+$J81</f>
        <v>47820.001799999998</v>
      </c>
      <c r="N81" s="23">
        <f>G70+G81+$J81</f>
        <v>1.8000000000000004E-3</v>
      </c>
      <c r="O81" s="23">
        <f>H70+H81+$J81</f>
        <v>1.8000000000000004E-3</v>
      </c>
    </row>
    <row r="82" spans="2:15" x14ac:dyDescent="0.35">
      <c r="D82" s="1"/>
      <c r="E82" s="1"/>
      <c r="F82" s="1"/>
      <c r="G82" s="1"/>
      <c r="H82" s="1"/>
    </row>
    <row r="83" spans="2:15" x14ac:dyDescent="0.35">
      <c r="B83" s="6" t="s">
        <v>46</v>
      </c>
    </row>
    <row r="84" spans="2:15" x14ac:dyDescent="0.35">
      <c r="C84" s="17" t="s">
        <v>13</v>
      </c>
      <c r="D84" s="18">
        <f>D62</f>
        <v>8500</v>
      </c>
      <c r="E84" s="18">
        <f t="shared" ref="E84:H84" si="6">E62</f>
        <v>0</v>
      </c>
      <c r="F84" s="18">
        <f t="shared" si="6"/>
        <v>0</v>
      </c>
      <c r="G84" s="18">
        <f t="shared" si="6"/>
        <v>0</v>
      </c>
      <c r="H84" s="18">
        <f t="shared" si="6"/>
        <v>0</v>
      </c>
      <c r="K84" s="21">
        <f>IF(COUNTIF(K$73:K$81,"")&gt;2,"",IFERROR(RANK(K73,K$73:K$81),8))</f>
        <v>1</v>
      </c>
      <c r="L84" s="21">
        <f t="shared" ref="L84:O84" si="7">IF(COUNTIF(L$73:L$81,"")&gt;2,"",IFERROR(RANK(L73,L$73:L$81),8))</f>
        <v>9</v>
      </c>
      <c r="M84" s="21">
        <f t="shared" si="7"/>
        <v>9</v>
      </c>
      <c r="N84" s="21">
        <f t="shared" si="7"/>
        <v>9</v>
      </c>
      <c r="O84" s="21">
        <f t="shared" si="7"/>
        <v>9</v>
      </c>
    </row>
    <row r="85" spans="2:15" x14ac:dyDescent="0.35">
      <c r="C85" s="17" t="s">
        <v>14</v>
      </c>
      <c r="D85" s="18">
        <f>IF(D63=0,0,D63-SUM(D15:D20))</f>
        <v>0</v>
      </c>
      <c r="E85" s="18">
        <f>IF(E63=0,0,E63-SUM(E15:E20))</f>
        <v>0</v>
      </c>
      <c r="F85" s="18">
        <f>IF(F63=0,0,F63-SUM(F15:F20))</f>
        <v>14000</v>
      </c>
      <c r="G85" s="18">
        <f>IF(G63=0,0,G63-SUM(G15:G20))</f>
        <v>0</v>
      </c>
      <c r="H85" s="18">
        <f>IF(H63=0,0,H63-SUM(H15:H20))</f>
        <v>0</v>
      </c>
      <c r="K85" s="21">
        <f t="shared" ref="K85:O85" si="8">IF(COUNTIF(K$73:K$81,"")&gt;2,"",IFERROR(RANK(K74,K$73:K$81),8))</f>
        <v>9</v>
      </c>
      <c r="L85" s="21">
        <f t="shared" si="8"/>
        <v>8</v>
      </c>
      <c r="M85" s="21">
        <f t="shared" si="8"/>
        <v>1</v>
      </c>
      <c r="N85" s="21">
        <f t="shared" si="8"/>
        <v>8</v>
      </c>
      <c r="O85" s="21">
        <f t="shared" si="8"/>
        <v>8</v>
      </c>
    </row>
    <row r="86" spans="2:15" x14ac:dyDescent="0.35">
      <c r="C86" s="19" t="s">
        <v>15</v>
      </c>
      <c r="D86" s="20">
        <f>IF(D64=0,0,D64-SUM(D21:D23))</f>
        <v>0</v>
      </c>
      <c r="E86" s="20">
        <f>IF(E64=0,0,E64-SUM(E21:E23))</f>
        <v>15000</v>
      </c>
      <c r="F86" s="20">
        <f>IF(F64=0,0,F64-SUM(F21:F23))</f>
        <v>0</v>
      </c>
      <c r="G86" s="20">
        <f>IF(G64=0,0,G64-SUM(G21:G23))</f>
        <v>0</v>
      </c>
      <c r="H86" s="20">
        <f>IF(H64=0,0,H64-SUM(H21:H23))</f>
        <v>0</v>
      </c>
      <c r="K86" s="21">
        <f t="shared" ref="K86:O86" si="9">IF(COUNTIF(K$73:K$81,"")&gt;2,"",IFERROR(RANK(K75,K$73:K$81),8))</f>
        <v>8</v>
      </c>
      <c r="L86" s="21">
        <f t="shared" si="9"/>
        <v>2</v>
      </c>
      <c r="M86" s="21">
        <f t="shared" si="9"/>
        <v>8</v>
      </c>
      <c r="N86" s="21">
        <f t="shared" si="9"/>
        <v>7</v>
      </c>
      <c r="O86" s="21">
        <f t="shared" si="9"/>
        <v>7</v>
      </c>
    </row>
    <row r="87" spans="2:15" x14ac:dyDescent="0.35">
      <c r="C87" s="19" t="s">
        <v>129</v>
      </c>
      <c r="D87" s="20">
        <f>IF(D65=0,0,D65-IF(Inputs!D24="Y", 0, SUM(D21:D23)))</f>
        <v>0</v>
      </c>
      <c r="E87" s="20">
        <f>IF(E65=0,0,E65-IF(Inputs!E24="Y", 0, SUM(E21:E23)))</f>
        <v>35000</v>
      </c>
      <c r="F87" s="20">
        <f>IF(F65=0,0,F65-IF(Inputs!F24="Y", 0, SUM(F21:F23)))</f>
        <v>0</v>
      </c>
      <c r="G87" s="20">
        <f>IF(G65=0,0,G65-IF(Inputs!G24="Y", 0, SUM(G21:G23)))</f>
        <v>0</v>
      </c>
      <c r="H87" s="20">
        <f>IF(H65=0,0,H65-IF(Inputs!H24="Y", 0, SUM(H21:H23)))</f>
        <v>0</v>
      </c>
      <c r="K87" s="21">
        <f t="shared" ref="K87:O87" si="10">IF(COUNTIF(K$73:K$81,"")&gt;2,"",IFERROR(RANK(K76,K$73:K$81),8))</f>
        <v>7</v>
      </c>
      <c r="L87" s="21">
        <f t="shared" si="10"/>
        <v>1</v>
      </c>
      <c r="M87" s="21">
        <f t="shared" si="10"/>
        <v>7</v>
      </c>
      <c r="N87" s="21">
        <f t="shared" si="10"/>
        <v>6</v>
      </c>
      <c r="O87" s="21">
        <f t="shared" si="10"/>
        <v>6</v>
      </c>
    </row>
    <row r="88" spans="2:15" x14ac:dyDescent="0.35">
      <c r="C88" s="19" t="s">
        <v>16</v>
      </c>
      <c r="D88" s="20">
        <f>D66</f>
        <v>0</v>
      </c>
      <c r="E88" s="20">
        <f>E66</f>
        <v>0</v>
      </c>
      <c r="F88" s="20">
        <f>F66</f>
        <v>0</v>
      </c>
      <c r="G88" s="20">
        <f>G66</f>
        <v>0</v>
      </c>
      <c r="H88" s="20">
        <f>H66</f>
        <v>0</v>
      </c>
      <c r="K88" s="21">
        <f t="shared" ref="K88:O88" si="11">IF(COUNTIF(K$73:K$81,"")&gt;2,"",IFERROR(RANK(K77,K$73:K$81),8))</f>
        <v>6</v>
      </c>
      <c r="L88" s="21">
        <f t="shared" si="11"/>
        <v>7</v>
      </c>
      <c r="M88" s="21">
        <f t="shared" si="11"/>
        <v>6</v>
      </c>
      <c r="N88" s="21">
        <f t="shared" si="11"/>
        <v>5</v>
      </c>
      <c r="O88" s="21">
        <f t="shared" si="11"/>
        <v>5</v>
      </c>
    </row>
    <row r="89" spans="2:15" x14ac:dyDescent="0.35">
      <c r="C89" s="19" t="s">
        <v>99</v>
      </c>
      <c r="D89" s="20">
        <f>D67</f>
        <v>0</v>
      </c>
      <c r="E89" s="20">
        <f t="shared" ref="E89:H89" si="12">E67</f>
        <v>0</v>
      </c>
      <c r="F89" s="20">
        <f t="shared" si="12"/>
        <v>0</v>
      </c>
      <c r="G89" s="20">
        <f t="shared" si="12"/>
        <v>0</v>
      </c>
      <c r="H89" s="20">
        <f t="shared" si="12"/>
        <v>0</v>
      </c>
      <c r="K89" s="21">
        <f t="shared" ref="K89:O89" si="13">IF(COUNTIF(K$73:K$81,"")&gt;2,"",IFERROR(RANK(K78,K$73:K$81),8))</f>
        <v>5</v>
      </c>
      <c r="L89" s="21">
        <f t="shared" si="13"/>
        <v>6</v>
      </c>
      <c r="M89" s="21">
        <f t="shared" si="13"/>
        <v>5</v>
      </c>
      <c r="N89" s="21">
        <f t="shared" si="13"/>
        <v>4</v>
      </c>
      <c r="O89" s="21">
        <f t="shared" si="13"/>
        <v>4</v>
      </c>
    </row>
    <row r="90" spans="2:15" x14ac:dyDescent="0.35">
      <c r="C90" s="19" t="s">
        <v>150</v>
      </c>
      <c r="D90" s="20">
        <f>IF(D68=0,0,D68-IF(OR(Inputs!D24="Y",Inputs!D25="Y"), 0, D22))</f>
        <v>0</v>
      </c>
      <c r="E90" s="20">
        <f>IF(E68=0,0,E68-IF(OR(Inputs!E24="Y",Inputs!E25="Y"), 0, E22))</f>
        <v>28000</v>
      </c>
      <c r="F90" s="20">
        <f>IF(F68=0,0,F68-IF(OR(Inputs!F24="Y",Inputs!F25="Y"), 0, F22))</f>
        <v>23000</v>
      </c>
      <c r="G90" s="20">
        <f>IF(G68=0,0,G68-IF(OR(Inputs!G24="Y",Inputs!G25="Y"), 0, G22))</f>
        <v>0</v>
      </c>
      <c r="H90" s="20">
        <f>IF(H68=0,0,H68-IF(OR(Inputs!H24="Y",Inputs!H25="Y"), 0, H22))</f>
        <v>0</v>
      </c>
      <c r="K90" s="21">
        <f t="shared" ref="K90:O90" si="14">IF(COUNTIF(K$73:K$81,"")&gt;2,"",IFERROR(RANK(K79,K$73:K$81),8))</f>
        <v>4</v>
      </c>
      <c r="L90" s="21">
        <f t="shared" si="14"/>
        <v>3</v>
      </c>
      <c r="M90" s="21">
        <f t="shared" si="14"/>
        <v>3</v>
      </c>
      <c r="N90" s="21">
        <f t="shared" si="14"/>
        <v>3</v>
      </c>
      <c r="O90" s="21">
        <f t="shared" si="14"/>
        <v>3</v>
      </c>
    </row>
    <row r="91" spans="2:15" x14ac:dyDescent="0.35">
      <c r="C91" s="19" t="s">
        <v>98</v>
      </c>
      <c r="D91" s="20">
        <f t="shared" ref="D91:H91" si="15">D69</f>
        <v>0</v>
      </c>
      <c r="E91" s="20">
        <f t="shared" si="15"/>
        <v>0</v>
      </c>
      <c r="F91" s="20">
        <f t="shared" si="15"/>
        <v>0</v>
      </c>
      <c r="G91" s="20">
        <f t="shared" si="15"/>
        <v>0</v>
      </c>
      <c r="H91" s="20">
        <f t="shared" si="15"/>
        <v>0</v>
      </c>
      <c r="K91" s="21">
        <f t="shared" ref="K91:O91" si="16">IF(COUNTIF(K$73:K$81,"")&gt;2,"",IFERROR(RANK(K80,K$73:K$81),8))</f>
        <v>3</v>
      </c>
      <c r="L91" s="21">
        <f t="shared" si="16"/>
        <v>5</v>
      </c>
      <c r="M91" s="21">
        <f t="shared" si="16"/>
        <v>4</v>
      </c>
      <c r="N91" s="21">
        <f t="shared" si="16"/>
        <v>2</v>
      </c>
      <c r="O91" s="21">
        <f t="shared" si="16"/>
        <v>2</v>
      </c>
    </row>
    <row r="92" spans="2:15" x14ac:dyDescent="0.35">
      <c r="C92" s="81" t="s">
        <v>96</v>
      </c>
      <c r="D92" s="84">
        <f t="shared" ref="D92:H92" si="17">D70</f>
        <v>0</v>
      </c>
      <c r="E92" s="84">
        <f t="shared" si="17"/>
        <v>0</v>
      </c>
      <c r="F92" s="84">
        <f t="shared" si="17"/>
        <v>9600</v>
      </c>
      <c r="G92" s="84">
        <f t="shared" si="17"/>
        <v>0</v>
      </c>
      <c r="H92" s="84">
        <f t="shared" si="17"/>
        <v>0</v>
      </c>
      <c r="K92" s="21">
        <f t="shared" ref="K92:O92" si="18">IF(COUNTIF(K$73:K$81,"")&gt;2,"",IFERROR(RANK(K81,K$73:K$81),8))</f>
        <v>2</v>
      </c>
      <c r="L92" s="21">
        <f t="shared" si="18"/>
        <v>4</v>
      </c>
      <c r="M92" s="21">
        <f t="shared" si="18"/>
        <v>2</v>
      </c>
      <c r="N92" s="21">
        <f t="shared" si="18"/>
        <v>1</v>
      </c>
      <c r="O92" s="21">
        <f t="shared" si="18"/>
        <v>1</v>
      </c>
    </row>
    <row r="94" spans="2:15" x14ac:dyDescent="0.35">
      <c r="B94" s="6" t="s">
        <v>47</v>
      </c>
    </row>
    <row r="95" spans="2:15" x14ac:dyDescent="0.35">
      <c r="C95" s="28" t="s">
        <v>13</v>
      </c>
      <c r="D95" s="29">
        <v>0</v>
      </c>
      <c r="E95" s="29">
        <v>0</v>
      </c>
      <c r="F95" s="29">
        <v>0</v>
      </c>
      <c r="G95" s="29">
        <v>0</v>
      </c>
      <c r="H95" s="29">
        <v>0</v>
      </c>
    </row>
    <row r="96" spans="2:15" x14ac:dyDescent="0.35">
      <c r="C96" s="17" t="s">
        <v>14</v>
      </c>
      <c r="D96" s="18">
        <f>IF(D74=0,0,D74-SUM(D27:D32))</f>
        <v>0</v>
      </c>
      <c r="E96" s="18">
        <f>IF(E74=0,0,E74-SUM(E27:E32))</f>
        <v>0</v>
      </c>
      <c r="F96" s="18">
        <f>IF(F74=0,0,F74-SUM(F27:F32))</f>
        <v>910.00000000000364</v>
      </c>
      <c r="G96" s="18">
        <f>IF(G74=0,0,G74-SUM(G27:G32))</f>
        <v>0</v>
      </c>
      <c r="H96" s="18">
        <f>IF(H74=0,0,H74-SUM(H27:H32))</f>
        <v>0</v>
      </c>
    </row>
    <row r="97" spans="1:8" x14ac:dyDescent="0.35">
      <c r="C97" s="19" t="s">
        <v>15</v>
      </c>
      <c r="D97" s="20">
        <f>IF(D75=0,0,D75-SUM(D33:D34))</f>
        <v>0</v>
      </c>
      <c r="E97" s="20">
        <f>IF(E75=0,0,E75-SUM(E33:E34))</f>
        <v>0</v>
      </c>
      <c r="F97" s="20">
        <f>IF(F75=0,0,F75-SUM(F33:F34))</f>
        <v>0</v>
      </c>
      <c r="G97" s="20">
        <f>IF(G75=0,0,G75-SUM(G33:G34))</f>
        <v>0</v>
      </c>
      <c r="H97" s="20">
        <f>IF(H75=0,0,H75-SUM(H33:H34))</f>
        <v>0</v>
      </c>
    </row>
    <row r="98" spans="1:8" x14ac:dyDescent="0.35">
      <c r="C98" s="19" t="s">
        <v>129</v>
      </c>
      <c r="D98" s="20">
        <f>IF(D76=0,0,D76-IF(Inputs!D24="Y", 0,SUM(D33:D34)))</f>
        <v>0</v>
      </c>
      <c r="E98" s="20">
        <f>IF(E76=0,0,E76-IF(Inputs!E24="Y", 0,SUM(E33:E34)))</f>
        <v>0</v>
      </c>
      <c r="F98" s="20">
        <f>IF(F76=0,0,F76-IF(Inputs!F24="Y", 0,SUM(F33:F34)))</f>
        <v>0</v>
      </c>
      <c r="G98" s="20">
        <f>IF(G76=0,0,G76-IF(Inputs!G24="Y", 0,SUM(G33:G34)))</f>
        <v>0</v>
      </c>
      <c r="H98" s="20">
        <f>IF(H76=0,0,H76-IF(Inputs!H24="Y", 0,SUM(H33:H34)))</f>
        <v>0</v>
      </c>
    </row>
    <row r="99" spans="1:8" x14ac:dyDescent="0.35">
      <c r="C99" s="19" t="s">
        <v>16</v>
      </c>
      <c r="D99" s="20">
        <f>D77</f>
        <v>0</v>
      </c>
      <c r="E99" s="20">
        <f>E77</f>
        <v>0</v>
      </c>
      <c r="F99" s="20">
        <f>F77</f>
        <v>0</v>
      </c>
      <c r="G99" s="20">
        <f>G77</f>
        <v>0</v>
      </c>
      <c r="H99" s="20">
        <f>H77</f>
        <v>0</v>
      </c>
    </row>
    <row r="100" spans="1:8" x14ac:dyDescent="0.35">
      <c r="C100" s="19" t="s">
        <v>99</v>
      </c>
      <c r="D100" s="20">
        <f t="shared" ref="D100:H100" si="19">D78</f>
        <v>0</v>
      </c>
      <c r="E100" s="20">
        <f t="shared" si="19"/>
        <v>0</v>
      </c>
      <c r="F100" s="20">
        <f t="shared" si="19"/>
        <v>0</v>
      </c>
      <c r="G100" s="20">
        <f t="shared" si="19"/>
        <v>0</v>
      </c>
      <c r="H100" s="20">
        <f t="shared" si="19"/>
        <v>0</v>
      </c>
    </row>
    <row r="101" spans="1:8" x14ac:dyDescent="0.35">
      <c r="C101" s="19" t="s">
        <v>150</v>
      </c>
      <c r="D101" s="20">
        <f>IF(D79=0,0,D79-IF(OR(Inputs!D24="Y",Inputs!D25="Y"), 0, D34))</f>
        <v>0</v>
      </c>
      <c r="E101" s="20">
        <f>IF(E79=0,0,E79-IF(OR(Inputs!E24="Y",Inputs!E25="Y"), 0, E34))</f>
        <v>0</v>
      </c>
      <c r="F101" s="20">
        <f>IF(F79=0,0,F79-IF(OR(Inputs!F24="Y",Inputs!F25="Y"), 0, F34))</f>
        <v>10010</v>
      </c>
      <c r="G101" s="20">
        <f>IF(G79=0,0,G79-IF(OR(Inputs!G24="Y",Inputs!G25="Y"), 0, G34))</f>
        <v>0</v>
      </c>
      <c r="H101" s="20">
        <f>IF(H79=0,0,H79-IF(OR(Inputs!H24="Y",Inputs!H25="Y"), 0, H34))</f>
        <v>0</v>
      </c>
    </row>
    <row r="102" spans="1:8" x14ac:dyDescent="0.35">
      <c r="C102" s="19" t="s">
        <v>98</v>
      </c>
      <c r="D102" s="20">
        <f t="shared" ref="D102:H102" si="20">D80</f>
        <v>0</v>
      </c>
      <c r="E102" s="20">
        <f t="shared" si="20"/>
        <v>0</v>
      </c>
      <c r="F102" s="20">
        <f t="shared" si="20"/>
        <v>0</v>
      </c>
      <c r="G102" s="20">
        <f t="shared" si="20"/>
        <v>0</v>
      </c>
      <c r="H102" s="20">
        <f t="shared" si="20"/>
        <v>0</v>
      </c>
    </row>
    <row r="103" spans="1:8" x14ac:dyDescent="0.35">
      <c r="C103" s="81" t="s">
        <v>96</v>
      </c>
      <c r="D103" s="84">
        <f t="shared" ref="D103:H103" si="21">D81</f>
        <v>0</v>
      </c>
      <c r="E103" s="84">
        <f t="shared" si="21"/>
        <v>0</v>
      </c>
      <c r="F103" s="84">
        <f t="shared" si="21"/>
        <v>38220</v>
      </c>
      <c r="G103" s="84">
        <f t="shared" si="21"/>
        <v>0</v>
      </c>
      <c r="H103" s="84">
        <f t="shared" si="21"/>
        <v>0</v>
      </c>
    </row>
    <row r="105" spans="1:8" x14ac:dyDescent="0.35">
      <c r="B105" s="6" t="s">
        <v>29</v>
      </c>
    </row>
    <row r="106" spans="1:8" x14ac:dyDescent="0.35">
      <c r="A106" s="88">
        <v>2</v>
      </c>
      <c r="C106" t="s">
        <v>25</v>
      </c>
      <c r="D106" s="1">
        <f>_xlfn.IFNA(SUM(INDEX(D$62:D$70, MATCH($A106, K$84:K$92, 0)), INDEX(D$73:D$81, MATCH($A106, K$84:K$92, 0)))*Prices!$L$5*-1, 0)</f>
        <v>0</v>
      </c>
      <c r="E106" s="1">
        <f>_xlfn.IFNA(SUM(INDEX(E$62:E$70, MATCH($A106, L$84:L$92, 0)), INDEX(E$73:E$81, MATCH($A106, L$84:L$92, 0)))*Prices!$L$5*-1, 0)</f>
        <v>-10500</v>
      </c>
      <c r="F106" s="1">
        <f>_xlfn.IFNA(SUM(INDEX(F$62:F$70, MATCH($A106, M$84:M$92, 0)), INDEX(F$73:F$81, MATCH($A106, M$84:M$92, 0)))*Prices!$L$5*-1, 0)</f>
        <v>-14346</v>
      </c>
      <c r="G106" s="1">
        <f>_xlfn.IFNA(SUM(INDEX(G$62:G$70, MATCH($A106, N$84:N$92, 0)), INDEX(G$73:G$81, MATCH($A106, N$84:N$92, 0)))*Prices!$L$5*-1, 0)</f>
        <v>0</v>
      </c>
      <c r="H106" s="1">
        <f>_xlfn.IFNA(SUM(INDEX(H$62:H$70, MATCH($A106, O$84:O$92, 0)), INDEX(H$73:H$81, MATCH($A106, O$84:O$92, 0)))*Prices!$L$5*-1, 0)</f>
        <v>0</v>
      </c>
    </row>
    <row r="107" spans="1:8" x14ac:dyDescent="0.35">
      <c r="A107" s="88">
        <v>3</v>
      </c>
      <c r="C107" t="s">
        <v>26</v>
      </c>
      <c r="D107" s="1">
        <f>_xlfn.IFNA(SUM(INDEX(D$62:D$70, MATCH($A107, K$84:K$92, 0)), INDEX(D$73:D$81, MATCH($A107, K$84:K$92, 0)))*Prices!$L$6*-1, 0)</f>
        <v>0</v>
      </c>
      <c r="E107" s="1">
        <f>_xlfn.IFNA(SUM(INDEX(E$62:E$70, MATCH($A107, L$84:L$92, 0)), INDEX(E$73:E$81, MATCH($A107, L$84:L$92, 0)))*Prices!$L$6*-1, 0)</f>
        <v>-12600</v>
      </c>
      <c r="F107" s="1">
        <f>_xlfn.IFNA(SUM(INDEX(F$62:F$70, MATCH($A107, M$84:M$92, 0)), INDEX(F$73:F$81, MATCH($A107, M$84:M$92, 0)))*Prices!$L$6*-1, 0)</f>
        <v>-19971</v>
      </c>
      <c r="G107" s="1">
        <f>_xlfn.IFNA(SUM(INDEX(G$62:G$70, MATCH($A107, N$84:N$92, 0)), INDEX(G$73:G$81, MATCH($A107, N$84:N$92, 0)))*Prices!$L$6*-1, 0)</f>
        <v>0</v>
      </c>
      <c r="H107" s="1">
        <f>_xlfn.IFNA(SUM(INDEX(H$62:H$70, MATCH($A107, O$84:O$92, 0)), INDEX(H$73:H$81, MATCH($A107, O$84:O$92, 0)))*Prices!$L$6*-1, 0)</f>
        <v>0</v>
      </c>
    </row>
    <row r="108" spans="1:8" x14ac:dyDescent="0.35">
      <c r="A108" s="88">
        <v>4</v>
      </c>
      <c r="C108" t="s">
        <v>100</v>
      </c>
      <c r="D108" s="1">
        <f>_xlfn.IFNA(SUM(INDEX(D$62:D$70, MATCH($A108, K$84:K$92, 0)), INDEX(D$73:D$81, MATCH($A108, K$84:K$92, 0)))*Prices!$L$6*-1, 0)</f>
        <v>0</v>
      </c>
      <c r="E108" s="1">
        <f>_xlfn.IFNA(SUM(INDEX(E$62:E$70, MATCH($A108, L$84:L$92, 0)), INDEX(E$73:E$81, MATCH($A108, L$84:L$92, 0)))*Prices!$L$6*-1, 0)</f>
        <v>0</v>
      </c>
      <c r="F108" s="1">
        <f>_xlfn.IFNA(SUM(INDEX(F$62:F$70, MATCH($A108, M$84:M$92, 0)), INDEX(F$73:F$81, MATCH($A108, M$84:M$92, 0)))*Prices!$L$6*-1, 0)</f>
        <v>0</v>
      </c>
      <c r="G108" s="1">
        <f>_xlfn.IFNA(SUM(INDEX(G$62:G$70, MATCH($A108, N$84:N$92, 0)), INDEX(G$73:G$81, MATCH($A108, N$84:N$92, 0)))*Prices!$L$6*-1, 0)</f>
        <v>0</v>
      </c>
      <c r="H108" s="1">
        <f>_xlfn.IFNA(SUM(INDEX(H$62:H$70, MATCH($A108, O$84:O$92, 0)), INDEX(H$73:H$81, MATCH($A108, O$84:O$92, 0)))*Prices!$L$6*-1, 0)</f>
        <v>0</v>
      </c>
    </row>
    <row r="109" spans="1:8" x14ac:dyDescent="0.35">
      <c r="A109" s="88">
        <v>5</v>
      </c>
      <c r="C109" t="s">
        <v>101</v>
      </c>
      <c r="D109" s="1">
        <f>_xlfn.IFNA(SUM(INDEX(D$62:D$70, MATCH($A109, K$84:K$92, 0)), INDEX(D$73:D$81, MATCH($A109, K$84:K$92, 0)))*Prices!$L$6*-1, 0)</f>
        <v>0</v>
      </c>
      <c r="E109" s="1">
        <f>_xlfn.IFNA(SUM(INDEX(E$62:E$70, MATCH($A109, L$84:L$92, 0)), INDEX(E$73:E$81, MATCH($A109, L$84:L$92, 0)))*Prices!$L$6*-1, 0)</f>
        <v>0</v>
      </c>
      <c r="F109" s="1">
        <f>_xlfn.IFNA(SUM(INDEX(F$62:F$70, MATCH($A109, M$84:M$92, 0)), INDEX(F$73:F$81, MATCH($A109, M$84:M$92, 0)))*Prices!$L$6*-1, 0)</f>
        <v>0</v>
      </c>
      <c r="G109" s="1">
        <f>_xlfn.IFNA(SUM(INDEX(G$62:G$70, MATCH($A109, N$84:N$92, 0)), INDEX(G$73:G$81, MATCH($A109, N$84:N$92, 0)))*Prices!$L$6*-1, 0)</f>
        <v>0</v>
      </c>
      <c r="H109" s="1">
        <f>_xlfn.IFNA(SUM(INDEX(H$62:H$70, MATCH($A109, O$84:O$92, 0)), INDEX(H$73:H$81, MATCH($A109, O$84:O$92, 0)))*Prices!$L$6*-1, 0)</f>
        <v>0</v>
      </c>
    </row>
    <row r="110" spans="1:8" x14ac:dyDescent="0.35">
      <c r="A110" s="88">
        <v>6</v>
      </c>
      <c r="C110" t="s">
        <v>102</v>
      </c>
      <c r="D110" s="1">
        <f>_xlfn.IFNA(SUM(INDEX(D$62:D$70, MATCH($A110, K$84:K$92, 0)), INDEX(D$73:D$81, MATCH($A110, K$84:K$92, 0)))*Prices!$L$6*-1, 0)</f>
        <v>0</v>
      </c>
      <c r="E110" s="1">
        <f>_xlfn.IFNA(SUM(INDEX(E$62:E$70, MATCH($A110, L$84:L$92, 0)), INDEX(E$73:E$81, MATCH($A110, L$84:L$92, 0)))*Prices!$L$6*-1, 0)</f>
        <v>0</v>
      </c>
      <c r="F110" s="1">
        <f>_xlfn.IFNA(SUM(INDEX(F$62:F$70, MATCH($A110, M$84:M$92, 0)), INDEX(F$73:F$81, MATCH($A110, M$84:M$92, 0)))*Prices!$L$6*-1, 0)</f>
        <v>0</v>
      </c>
      <c r="G110" s="1">
        <f>_xlfn.IFNA(SUM(INDEX(G$62:G$70, MATCH($A110, N$84:N$92, 0)), INDEX(G$73:G$81, MATCH($A110, N$84:N$92, 0)))*Prices!$L$6*-1, 0)</f>
        <v>0</v>
      </c>
      <c r="H110" s="1">
        <f>_xlfn.IFNA(SUM(INDEX(H$62:H$70, MATCH($A110, O$84:O$92, 0)), INDEX(H$73:H$81, MATCH($A110, O$84:O$92, 0)))*Prices!$L$6*-1, 0)</f>
        <v>0</v>
      </c>
    </row>
    <row r="111" spans="1:8" x14ac:dyDescent="0.35">
      <c r="A111" s="88">
        <v>7</v>
      </c>
      <c r="C111" t="s">
        <v>130</v>
      </c>
      <c r="D111" s="1">
        <f>_xlfn.IFNA(SUM(INDEX(D$62:D$70, MATCH($A111, K$84:K$92, 0)), INDEX(D$73:D$81, MATCH($A111, K$84:K$92, 0)))*Prices!$L$6*-1, 0)</f>
        <v>0</v>
      </c>
      <c r="E111" s="1">
        <f>_xlfn.IFNA(SUM(INDEX(E$62:E$70, MATCH($A111, L$84:L$92, 0)), INDEX(E$73:E$81, MATCH($A111, L$84:L$92, 0)))*Prices!$L$6*-1, 0)</f>
        <v>0</v>
      </c>
      <c r="F111" s="1">
        <f>_xlfn.IFNA(SUM(INDEX(F$62:F$70, MATCH($A111, M$84:M$92, 0)), INDEX(F$73:F$81, MATCH($A111, M$84:M$92, 0)))*Prices!$L$6*-1, 0)</f>
        <v>0</v>
      </c>
      <c r="G111" s="1">
        <f>_xlfn.IFNA(SUM(INDEX(G$62:G$70, MATCH($A111, N$84:N$92, 0)), INDEX(G$73:G$81, MATCH($A111, N$84:N$92, 0)))*Prices!$L$6*-1, 0)</f>
        <v>0</v>
      </c>
      <c r="H111" s="1">
        <f>_xlfn.IFNA(SUM(INDEX(H$62:H$70, MATCH($A111, O$84:O$92, 0)), INDEX(H$73:H$81, MATCH($A111, O$84:O$92, 0)))*Prices!$L$6*-1, 0)</f>
        <v>0</v>
      </c>
    </row>
    <row r="112" spans="1:8" x14ac:dyDescent="0.35">
      <c r="A112" s="88">
        <v>8</v>
      </c>
      <c r="C112" t="s">
        <v>151</v>
      </c>
      <c r="D112" s="1">
        <f>_xlfn.IFNA(SUM(INDEX(D$62:D$70, MATCH($A112, K$84:K$92, 0)), INDEX(D$73:D$81, MATCH($A112, K$84:K$92, 0)))*Prices!$L$6*-1, 0)</f>
        <v>0</v>
      </c>
      <c r="E112" s="1">
        <f>_xlfn.IFNA(SUM(INDEX(E$62:E$70, MATCH($A112, L$84:L$92, 0)), INDEX(E$73:E$81, MATCH($A112, L$84:L$92, 0)))*Prices!$L$6*-1, 0)</f>
        <v>0</v>
      </c>
      <c r="F112" s="1">
        <f>_xlfn.IFNA(SUM(INDEX(F$62:F$70, MATCH($A112, M$84:M$92, 0)), INDEX(F$73:F$81, MATCH($A112, M$84:M$92, 0)))*Prices!$L$6*-1, 0)</f>
        <v>0</v>
      </c>
      <c r="G112" s="1">
        <f>_xlfn.IFNA(SUM(INDEX(G$62:G$70, MATCH($A112, N$84:N$92, 0)), INDEX(G$73:G$81, MATCH($A112, N$84:N$92, 0)))*Prices!$L$6*-1, 0)</f>
        <v>0</v>
      </c>
      <c r="H112" s="1">
        <f>_xlfn.IFNA(SUM(INDEX(H$62:H$70, MATCH($A112, O$84:O$92, 0)), INDEX(H$73:H$81, MATCH($A112, O$84:O$92, 0)))*Prices!$L$6*-1, 0)</f>
        <v>0</v>
      </c>
    </row>
    <row r="114" spans="2:8" x14ac:dyDescent="0.35">
      <c r="B114" s="6" t="s">
        <v>112</v>
      </c>
      <c r="D114" s="7">
        <f>SUM(D38:D47, D50:D59, D62:D70, D73:D81, D106:D112)</f>
        <v>23500</v>
      </c>
      <c r="E114" s="7">
        <f t="shared" ref="E114:H114" si="22">SUM(E38:E47, E50:E59, E62:E70, E73:E81, E106:E112)</f>
        <v>89900</v>
      </c>
      <c r="F114" s="7">
        <f t="shared" si="22"/>
        <v>170933</v>
      </c>
      <c r="G114" s="7">
        <f t="shared" si="22"/>
        <v>0</v>
      </c>
      <c r="H114" s="7">
        <f t="shared" si="22"/>
        <v>0</v>
      </c>
    </row>
    <row r="115" spans="2:8" x14ac:dyDescent="0.35">
      <c r="D115" s="1"/>
    </row>
    <row r="116" spans="2:8" x14ac:dyDescent="0.35">
      <c r="B116" s="6" t="s">
        <v>42</v>
      </c>
      <c r="D116" s="1">
        <f>IF(D126=1, 0, IF(D126=2, $E$129, IF(D126=3, $E$130, IF(D126=4, $E$131, IF(D126=5, $E$132, "")))))</f>
        <v>-11750</v>
      </c>
      <c r="E116" s="1">
        <f t="shared" ref="E116:H116" si="23">IF(E126=1, 0, IF(E126=2, $E$129, IF(E126=3, $E$130, IF(E126=4, $E$131, IF(E126=5, $E$132, "")))))</f>
        <v>-40455</v>
      </c>
      <c r="F116" s="1">
        <f t="shared" si="23"/>
        <v>0</v>
      </c>
      <c r="G116" s="1">
        <f t="shared" si="23"/>
        <v>0</v>
      </c>
      <c r="H116" s="1">
        <f t="shared" si="23"/>
        <v>0</v>
      </c>
    </row>
    <row r="117" spans="2:8" x14ac:dyDescent="0.35">
      <c r="D117" s="1"/>
      <c r="E117" s="1"/>
      <c r="F117" s="1"/>
      <c r="G117" s="1"/>
      <c r="H117" s="1"/>
    </row>
    <row r="118" spans="2:8" x14ac:dyDescent="0.35">
      <c r="B118" s="6" t="s">
        <v>82</v>
      </c>
      <c r="D118" s="1">
        <f>IF(Inputs!$D$7 = "Y", Prices!$L$18, 0)*-1</f>
        <v>-3525</v>
      </c>
      <c r="E118" s="1">
        <v>0</v>
      </c>
      <c r="F118" s="1">
        <v>0</v>
      </c>
      <c r="G118" s="1">
        <v>0</v>
      </c>
      <c r="H118" s="1">
        <v>0</v>
      </c>
    </row>
    <row r="120" spans="2:8" x14ac:dyDescent="0.35">
      <c r="B120" s="6" t="s">
        <v>113</v>
      </c>
      <c r="D120" s="7">
        <f>SUM(D114, D116,D118)</f>
        <v>8225</v>
      </c>
      <c r="E120" s="7">
        <f t="shared" ref="E120:H120" si="24">SUM(E114, E116,E118)</f>
        <v>49445</v>
      </c>
      <c r="F120" s="7">
        <f t="shared" si="24"/>
        <v>170933</v>
      </c>
      <c r="G120" s="7">
        <f t="shared" si="24"/>
        <v>0</v>
      </c>
      <c r="H120" s="7">
        <f t="shared" si="24"/>
        <v>0</v>
      </c>
    </row>
    <row r="123" spans="2:8" s="21" customFormat="1" x14ac:dyDescent="0.35">
      <c r="B123" s="27"/>
      <c r="C123" s="21" t="s">
        <v>114</v>
      </c>
      <c r="D123" s="21">
        <f>IFERROR(_xlfn.RANK.EQ(D114,$D$114:$H$114),5)</f>
        <v>3</v>
      </c>
      <c r="E123" s="21">
        <f t="shared" ref="E123:H123" si="25">IFERROR(_xlfn.RANK.EQ(E114,$D$114:$H$114),5)</f>
        <v>2</v>
      </c>
      <c r="F123" s="21">
        <f t="shared" si="25"/>
        <v>1</v>
      </c>
      <c r="G123" s="21">
        <f t="shared" si="25"/>
        <v>4</v>
      </c>
      <c r="H123" s="21">
        <f t="shared" si="25"/>
        <v>4</v>
      </c>
    </row>
    <row r="124" spans="2:8" s="21" customFormat="1" x14ac:dyDescent="0.35">
      <c r="B124" s="27"/>
      <c r="D124" s="21">
        <v>0.1</v>
      </c>
      <c r="E124" s="21">
        <v>0.2</v>
      </c>
      <c r="F124" s="21">
        <v>0.3</v>
      </c>
      <c r="G124" s="21">
        <v>0.4</v>
      </c>
      <c r="H124" s="21">
        <v>0.5</v>
      </c>
    </row>
    <row r="125" spans="2:8" s="21" customFormat="1" x14ac:dyDescent="0.35">
      <c r="B125" s="27"/>
      <c r="D125" s="21">
        <f>SUM(D123:D124)</f>
        <v>3.1</v>
      </c>
      <c r="E125" s="21">
        <f t="shared" ref="E125:H125" si="26">SUM(E123:E124)</f>
        <v>2.2000000000000002</v>
      </c>
      <c r="F125" s="21">
        <f t="shared" si="26"/>
        <v>1.3</v>
      </c>
      <c r="G125" s="21">
        <f t="shared" si="26"/>
        <v>4.4000000000000004</v>
      </c>
      <c r="H125" s="21">
        <f t="shared" si="26"/>
        <v>4.5</v>
      </c>
    </row>
    <row r="126" spans="2:8" s="21" customFormat="1" x14ac:dyDescent="0.35">
      <c r="B126" s="27"/>
      <c r="D126" s="21">
        <f>_xlfn.RANK.EQ(D125, $D$125:$H$125, 5)</f>
        <v>3</v>
      </c>
      <c r="E126" s="21">
        <f t="shared" ref="E126:H126" si="27">_xlfn.RANK.EQ(E125, $D$125:$H$125, 5)</f>
        <v>2</v>
      </c>
      <c r="F126" s="21">
        <f t="shared" si="27"/>
        <v>1</v>
      </c>
      <c r="G126" s="21">
        <f t="shared" si="27"/>
        <v>4</v>
      </c>
      <c r="H126" s="21">
        <f t="shared" si="27"/>
        <v>5</v>
      </c>
    </row>
    <row r="127" spans="2:8" s="21" customFormat="1" x14ac:dyDescent="0.35">
      <c r="B127" s="27"/>
    </row>
    <row r="128" spans="2:8" s="21" customFormat="1" x14ac:dyDescent="0.35">
      <c r="B128" s="27"/>
      <c r="C128" s="21" t="s">
        <v>115</v>
      </c>
    </row>
    <row r="129" spans="2:6" s="21" customFormat="1" x14ac:dyDescent="0.35">
      <c r="B129" s="27"/>
      <c r="D129" s="21" t="s">
        <v>116</v>
      </c>
      <c r="E129" s="98">
        <f>INDEX($D$114:$H$114, 1, MATCH(2, $D$126:$H$126, 0))*Prices!$L$10*-1</f>
        <v>-40455</v>
      </c>
    </row>
    <row r="130" spans="2:6" s="21" customFormat="1" x14ac:dyDescent="0.35">
      <c r="B130" s="27"/>
      <c r="D130" s="21" t="s">
        <v>117</v>
      </c>
      <c r="E130" s="23">
        <f>INDEX($D$114:$H$114, 1, MATCH(3, $D$126:$H$126, 0))*Prices!$L$11*-1</f>
        <v>-11750</v>
      </c>
    </row>
    <row r="131" spans="2:6" s="21" customFormat="1" x14ac:dyDescent="0.35">
      <c r="B131" s="27"/>
      <c r="D131" s="21" t="s">
        <v>118</v>
      </c>
      <c r="E131" s="23">
        <f>INDEX($D$114:$H$114, 1, MATCH(4, $D$126:$H$126, 0))*Prices!$L$11*-1</f>
        <v>0</v>
      </c>
    </row>
    <row r="132" spans="2:6" s="21" customFormat="1" x14ac:dyDescent="0.35">
      <c r="B132" s="27"/>
      <c r="D132" s="21" t="s">
        <v>119</v>
      </c>
      <c r="E132" s="23">
        <f>INDEX($D$114:$H$114, 1, MATCH(5, $D$126:$H$126, 0))*Prices!$L$11*-1</f>
        <v>0</v>
      </c>
    </row>
    <row r="136" spans="2:6" x14ac:dyDescent="0.35">
      <c r="F13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9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17</v>
      </c>
    </row>
    <row r="3" spans="2:12" x14ac:dyDescent="0.3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3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3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35">
      <c r="B6" s="15" t="s">
        <v>19</v>
      </c>
      <c r="C6" s="42">
        <f>$L$27*15000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26</v>
      </c>
      <c r="L6" s="3">
        <v>0.45</v>
      </c>
    </row>
    <row r="8" spans="2:12" x14ac:dyDescent="0.35">
      <c r="C8" s="43"/>
      <c r="D8" s="39"/>
      <c r="K8" s="6" t="s">
        <v>121</v>
      </c>
    </row>
    <row r="9" spans="2:12" x14ac:dyDescent="0.3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35">
      <c r="B10" s="17" t="s">
        <v>20</v>
      </c>
      <c r="C10" s="44">
        <f>$L$27*1000</f>
        <v>1000</v>
      </c>
      <c r="E10" s="40">
        <f>$L$27*0.04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116</v>
      </c>
      <c r="L10" s="3">
        <v>0.45</v>
      </c>
    </row>
    <row r="11" spans="2:12" x14ac:dyDescent="0.35">
      <c r="B11" s="17" t="s">
        <v>8</v>
      </c>
      <c r="C11" s="44">
        <f>$L$27*4000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117</v>
      </c>
      <c r="L11" s="3">
        <v>0.5</v>
      </c>
    </row>
    <row r="12" spans="2:12" x14ac:dyDescent="0.35">
      <c r="B12" s="17" t="s">
        <v>21</v>
      </c>
      <c r="C12" s="44">
        <f>$L$27*2000</f>
        <v>2000</v>
      </c>
      <c r="E12" s="40">
        <f>$L$27*0.04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$L$27*2000</f>
        <v>2000</v>
      </c>
      <c r="E13" s="40">
        <f>$L$27*0.04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$L$27*6000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59</v>
      </c>
      <c r="L14" s="57">
        <v>1.2500000000000001E-2</v>
      </c>
    </row>
    <row r="15" spans="2:12" x14ac:dyDescent="0.35">
      <c r="B15" s="17" t="s">
        <v>77</v>
      </c>
      <c r="C15" s="44">
        <f>$L$27*4000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60</v>
      </c>
      <c r="L15" s="54">
        <v>43466</v>
      </c>
    </row>
    <row r="16" spans="2:12" x14ac:dyDescent="0.35">
      <c r="B16" s="19" t="s">
        <v>11</v>
      </c>
      <c r="C16" s="45">
        <f>$L$27*10000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149</v>
      </c>
      <c r="C17" s="45">
        <f>$L$27*5000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22</v>
      </c>
      <c r="C18" s="45">
        <f>$L$27*5000</f>
        <v>5000</v>
      </c>
      <c r="E18" s="41">
        <f>$L$27*0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81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13</v>
      </c>
      <c r="C20" s="44">
        <f>$L$27*8500</f>
        <v>8500</v>
      </c>
      <c r="E20" s="40">
        <f>$L$27*0</f>
        <v>0</v>
      </c>
      <c r="F20" s="40">
        <f t="shared" ref="F20:H26" si="2">$E20*F$4</f>
        <v>0</v>
      </c>
      <c r="G20" s="40">
        <f t="shared" si="2"/>
        <v>0</v>
      </c>
      <c r="H20" s="40">
        <f t="shared" si="2"/>
        <v>0</v>
      </c>
      <c r="K20" s="6" t="s">
        <v>103</v>
      </c>
      <c r="L20" s="3">
        <v>0.3</v>
      </c>
    </row>
    <row r="21" spans="2:12" x14ac:dyDescent="0.35">
      <c r="B21" s="17" t="s">
        <v>14</v>
      </c>
      <c r="C21" s="44">
        <f>$L$27*33000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15</v>
      </c>
      <c r="C22" s="45">
        <f>$L$27*35000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129</v>
      </c>
      <c r="C23" s="45">
        <f>$L$27*35000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16</v>
      </c>
      <c r="C24" s="45">
        <f>$L$27*28000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125</v>
      </c>
      <c r="L24" s="96">
        <f>18000/15000</f>
        <v>1.2</v>
      </c>
    </row>
    <row r="25" spans="2:12" x14ac:dyDescent="0.35">
      <c r="B25" s="19" t="s">
        <v>99</v>
      </c>
      <c r="C25" s="45">
        <v>33600</v>
      </c>
      <c r="E25" s="41">
        <v>0.25</v>
      </c>
      <c r="F25" s="41">
        <f t="shared" ref="F25:H28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150</v>
      </c>
      <c r="C26" s="45">
        <f>$L$27*28000</f>
        <v>28000</v>
      </c>
      <c r="E26" s="41">
        <f>IF(Inputs!$C$3="Monthly",0.25,0.18)</f>
        <v>0.18</v>
      </c>
      <c r="F26" s="41">
        <f t="shared" si="2"/>
        <v>0.108</v>
      </c>
      <c r="G26" s="41">
        <f t="shared" si="2"/>
        <v>4.3199999999999995E-2</v>
      </c>
      <c r="H26" s="41">
        <f t="shared" si="2"/>
        <v>3.5999999999999997E-2</v>
      </c>
    </row>
    <row r="27" spans="2:12" x14ac:dyDescent="0.35">
      <c r="B27" s="19" t="s">
        <v>98</v>
      </c>
      <c r="C27" s="45">
        <f>$L$27*20000</f>
        <v>20000</v>
      </c>
      <c r="E27" s="41">
        <f>$L$27*0.14</f>
        <v>0.14000000000000001</v>
      </c>
      <c r="F27" s="41">
        <f t="shared" si="3"/>
        <v>8.4000000000000005E-2</v>
      </c>
      <c r="G27" s="41">
        <f t="shared" si="3"/>
        <v>3.3600000000000005E-2</v>
      </c>
      <c r="H27" s="41">
        <f t="shared" si="3"/>
        <v>2.8000000000000004E-2</v>
      </c>
      <c r="K27" s="6" t="s">
        <v>126</v>
      </c>
      <c r="L27" s="97">
        <f>IF(Inputs!$C$3="Monthly",Prices!$L$24,1)</f>
        <v>1</v>
      </c>
    </row>
    <row r="28" spans="2:12" x14ac:dyDescent="0.35">
      <c r="B28" s="81" t="s">
        <v>96</v>
      </c>
      <c r="C28" s="82">
        <f>$L$27*9600</f>
        <v>9600</v>
      </c>
      <c r="E28" s="83">
        <f>IF(Inputs!$C$3="Monthly",0.6,0.42)</f>
        <v>0.42</v>
      </c>
      <c r="F28" s="83">
        <f t="shared" si="3"/>
        <v>0.252</v>
      </c>
      <c r="G28" s="83">
        <f t="shared" si="3"/>
        <v>0.10079999999999999</v>
      </c>
      <c r="H28" s="83">
        <f t="shared" si="3"/>
        <v>8.4000000000000005E-2</v>
      </c>
    </row>
    <row r="29" spans="2:12" x14ac:dyDescent="0.35">
      <c r="K29" t="s">
        <v>133</v>
      </c>
      <c r="L29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8" x14ac:dyDescent="0.3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3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IF(Inputs!D$10 &gt; $B2, $A3-$A2, MAX(0, Inputs!D$10-$A2))</f>
        <v>25000</v>
      </c>
      <c r="I2" s="5">
        <f>IF(Inputs!E$10 &gt; $B2, $A3-$A2, MAX(0, Inputs!E$10-$A2))</f>
        <v>50000</v>
      </c>
      <c r="J2" s="5">
        <f>IF(Inputs!F$10 &gt; $B2, $A3-$A2, MAX(0, Inputs!F$10-$A2))</f>
        <v>50000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0</v>
      </c>
      <c r="J3" s="5">
        <f>IF(Inputs!F$10 &gt; $B3, $A4-$A3, MAX(0, Inputs!F$10-$A3))</f>
        <v>50000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0</v>
      </c>
      <c r="J4" s="5">
        <f>IF(Inputs!F$10 &gt; $B4, $A5-$A4, MAX(0, Inputs!F$10-$A4))</f>
        <v>150000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35">
      <c r="H10" s="106">
        <f t="shared" ref="H10:H16" si="0">H2*$C2</f>
        <v>5000</v>
      </c>
      <c r="I10" s="106">
        <f t="shared" ref="I10:L10" si="1">I2*$C2</f>
        <v>10000</v>
      </c>
      <c r="J10" s="106">
        <f t="shared" si="1"/>
        <v>10000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0</v>
      </c>
      <c r="J11" s="106">
        <f t="shared" si="2"/>
        <v>8500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0</v>
      </c>
      <c r="J12" s="106">
        <f t="shared" si="3"/>
        <v>21000.000000000004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35">
      <c r="E20" s="2"/>
      <c r="F20" s="103"/>
      <c r="G20" t="s">
        <v>63</v>
      </c>
      <c r="H20" s="106">
        <f>IF(Inputs!D$9 = "Y", SUM(H10:H16), 0)</f>
        <v>0</v>
      </c>
      <c r="I20" s="106">
        <f>IF(Inputs!E$9 = "Y", SUM(I10:I16), 0)</f>
        <v>0</v>
      </c>
      <c r="J20" s="106">
        <f>IF(Inputs!F$9 = "Y", SUM(J10:J16), 0)</f>
        <v>39500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3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3291.6666666666665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2019-03-01T02:19:12Z</dcterms:modified>
</cp:coreProperties>
</file>