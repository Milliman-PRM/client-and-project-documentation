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1111SLP - St Lukes PA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6" i="1" l="1"/>
  <c r="G86" i="1"/>
  <c r="F86" i="1"/>
  <c r="E86" i="1"/>
  <c r="H92" i="1" l="1"/>
  <c r="G92" i="1"/>
  <c r="F92" i="1"/>
  <c r="E92" i="1"/>
  <c r="D92" i="1"/>
  <c r="H26" i="7" l="1"/>
  <c r="G26" i="7"/>
  <c r="I26" i="7" s="1"/>
  <c r="F26" i="7" l="1"/>
  <c r="W94" i="8" l="1"/>
  <c r="V94" i="8"/>
  <c r="W93" i="8"/>
  <c r="V93" i="8"/>
  <c r="W91" i="8"/>
  <c r="V91" i="8"/>
  <c r="W90" i="8"/>
  <c r="V90" i="8"/>
  <c r="W88" i="8"/>
  <c r="V88" i="8"/>
  <c r="W87" i="8"/>
  <c r="V87" i="8"/>
  <c r="W85" i="8"/>
  <c r="V85" i="8"/>
  <c r="W84" i="8"/>
  <c r="V84" i="8"/>
  <c r="W82" i="8"/>
  <c r="V82" i="8"/>
  <c r="W81" i="8"/>
  <c r="V81" i="8"/>
  <c r="W79" i="8"/>
  <c r="V79" i="8"/>
  <c r="W78" i="8"/>
  <c r="V78" i="8"/>
  <c r="W76" i="8"/>
  <c r="V76" i="8"/>
  <c r="W75" i="8"/>
  <c r="V75" i="8"/>
  <c r="W73" i="8"/>
  <c r="V73" i="8"/>
  <c r="W72" i="8"/>
  <c r="V72" i="8"/>
  <c r="W70" i="8"/>
  <c r="V70" i="8"/>
  <c r="W69" i="8"/>
  <c r="V69" i="8"/>
  <c r="W67" i="8"/>
  <c r="V67" i="8"/>
  <c r="W66" i="8"/>
  <c r="V66" i="8"/>
  <c r="W64" i="8"/>
  <c r="V64" i="8"/>
  <c r="W63" i="8"/>
  <c r="V63" i="8"/>
  <c r="W61" i="8"/>
  <c r="V61" i="8"/>
  <c r="W60" i="8"/>
  <c r="V60" i="8"/>
  <c r="W58" i="8"/>
  <c r="V58" i="8"/>
  <c r="W57" i="8"/>
  <c r="V57" i="8"/>
  <c r="W55" i="8"/>
  <c r="V55" i="8"/>
  <c r="W54" i="8"/>
  <c r="V54" i="8"/>
  <c r="W52" i="8"/>
  <c r="V52" i="8"/>
  <c r="W51" i="8"/>
  <c r="V51" i="8"/>
  <c r="W49" i="8"/>
  <c r="V49" i="8"/>
  <c r="W48" i="8"/>
  <c r="V48" i="8"/>
  <c r="W46" i="8"/>
  <c r="V46" i="8"/>
  <c r="W45" i="8"/>
  <c r="V45" i="8"/>
  <c r="W43" i="8"/>
  <c r="V43" i="8"/>
  <c r="W42" i="8"/>
  <c r="V42" i="8"/>
  <c r="W40" i="8"/>
  <c r="V40" i="8"/>
  <c r="W39" i="8"/>
  <c r="V39" i="8"/>
  <c r="W37" i="8"/>
  <c r="V37" i="8"/>
  <c r="W36" i="8"/>
  <c r="V36" i="8"/>
  <c r="W34" i="8"/>
  <c r="V34" i="8"/>
  <c r="W33" i="8"/>
  <c r="V33" i="8"/>
  <c r="W31" i="8"/>
  <c r="V31" i="8"/>
  <c r="W30" i="8"/>
  <c r="V30" i="8"/>
  <c r="W28" i="8"/>
  <c r="V28" i="8"/>
  <c r="W27" i="8"/>
  <c r="V27" i="8"/>
  <c r="W25" i="8"/>
  <c r="V25" i="8"/>
  <c r="W24" i="8"/>
  <c r="V24" i="8"/>
  <c r="W22" i="8"/>
  <c r="V22" i="8"/>
  <c r="W21" i="8"/>
  <c r="V21" i="8"/>
  <c r="W19" i="8"/>
  <c r="V19" i="8"/>
  <c r="W18" i="8"/>
  <c r="V18" i="8"/>
  <c r="W16" i="8"/>
  <c r="V16" i="8"/>
  <c r="W15" i="8"/>
  <c r="V15" i="8"/>
  <c r="W13" i="8"/>
  <c r="V13" i="8"/>
  <c r="W12" i="8"/>
  <c r="V12" i="8"/>
  <c r="W10" i="8"/>
  <c r="V10" i="8"/>
  <c r="W9" i="8"/>
  <c r="V9" i="8"/>
  <c r="W7" i="8"/>
  <c r="V7" i="8"/>
  <c r="W6" i="8"/>
  <c r="V6" i="8"/>
  <c r="I63" i="7"/>
  <c r="N63" i="7" s="1"/>
  <c r="H63" i="7"/>
  <c r="M63" i="7" s="1"/>
  <c r="G63" i="7"/>
  <c r="L63" i="7" s="1"/>
  <c r="F63" i="7"/>
  <c r="K63" i="7" s="1"/>
  <c r="I62" i="7"/>
  <c r="N62" i="7" s="1"/>
  <c r="H62" i="7"/>
  <c r="M62" i="7" s="1"/>
  <c r="G62" i="7"/>
  <c r="L62" i="7" s="1"/>
  <c r="F62" i="7"/>
  <c r="K62" i="7" s="1"/>
  <c r="I60" i="7"/>
  <c r="H60" i="7"/>
  <c r="G60" i="7"/>
  <c r="F60" i="7"/>
  <c r="H45" i="7"/>
  <c r="H44" i="7"/>
  <c r="H43" i="7"/>
  <c r="H42" i="7"/>
  <c r="H39" i="7"/>
  <c r="H38" i="7"/>
  <c r="H37" i="7"/>
  <c r="H36" i="7"/>
  <c r="I33" i="7"/>
  <c r="H33" i="7"/>
  <c r="I32" i="7"/>
  <c r="N32" i="7" s="1"/>
  <c r="H32" i="7"/>
  <c r="I31" i="7"/>
  <c r="H31" i="7"/>
  <c r="I30" i="7"/>
  <c r="H30" i="7"/>
  <c r="I29" i="7"/>
  <c r="H29" i="7"/>
  <c r="I28" i="7"/>
  <c r="H28" i="7"/>
  <c r="I27" i="7"/>
  <c r="H27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5" i="7"/>
  <c r="N44" i="7"/>
  <c r="N42" i="7"/>
  <c r="N39" i="7"/>
  <c r="N38" i="7"/>
  <c r="N33" i="7"/>
  <c r="N31" i="7"/>
  <c r="N23" i="7"/>
  <c r="N18" i="7"/>
  <c r="N17" i="7"/>
  <c r="N16" i="7"/>
  <c r="N8" i="7"/>
  <c r="D9" i="1" l="1"/>
  <c r="K3" i="8" l="1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D5" i="8" l="1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D7" i="8"/>
  <c r="D18" i="7"/>
  <c r="L18" i="7" s="1"/>
  <c r="D14" i="7"/>
  <c r="N14" i="7" s="1"/>
  <c r="D11" i="7"/>
  <c r="N11" i="7" s="1"/>
  <c r="D15" i="7"/>
  <c r="N15" i="7" s="1"/>
  <c r="D10" i="7"/>
  <c r="N10" i="7" s="1"/>
  <c r="D12" i="7"/>
  <c r="N12" i="7" s="1"/>
  <c r="D16" i="7"/>
  <c r="D13" i="7"/>
  <c r="N13" i="7" s="1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J7" i="8" l="1"/>
  <c r="K7" i="8"/>
  <c r="I7" i="8"/>
  <c r="H7" i="8"/>
  <c r="E7" i="8"/>
  <c r="F6" i="8"/>
  <c r="D8" i="8"/>
  <c r="H75" i="1"/>
  <c r="G74" i="1"/>
  <c r="H74" i="1"/>
  <c r="G75" i="1"/>
  <c r="F75" i="1"/>
  <c r="D75" i="1"/>
  <c r="E74" i="1"/>
  <c r="E75" i="1"/>
  <c r="E20" i="5"/>
  <c r="F20" i="5"/>
  <c r="G20" i="5"/>
  <c r="K8" i="8" l="1"/>
  <c r="J8" i="8"/>
  <c r="I8" i="8"/>
  <c r="H8" i="8"/>
  <c r="E8" i="8"/>
  <c r="F7" i="8"/>
  <c r="D37" i="7"/>
  <c r="N37" i="7" s="1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K60" i="7" l="1"/>
  <c r="L60" i="7"/>
  <c r="M60" i="7"/>
  <c r="N60" i="7"/>
  <c r="E9" i="8"/>
  <c r="F8" i="8"/>
  <c r="D4" i="7"/>
  <c r="H9" i="8"/>
  <c r="K5" i="7"/>
  <c r="I9" i="8" s="1"/>
  <c r="L5" i="7"/>
  <c r="M5" i="7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N9" i="7" s="1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K36" i="7" l="1"/>
  <c r="N36" i="7"/>
  <c r="H6" i="8"/>
  <c r="N4" i="7"/>
  <c r="K10" i="8"/>
  <c r="I10" i="8"/>
  <c r="H10" i="8"/>
  <c r="J10" i="8"/>
  <c r="E10" i="8"/>
  <c r="F9" i="8"/>
  <c r="K4" i="7"/>
  <c r="I6" i="8" s="1"/>
  <c r="K8" i="7"/>
  <c r="L8" i="7"/>
  <c r="D39" i="7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N28" i="7" s="1"/>
  <c r="D29" i="7"/>
  <c r="N29" i="7" s="1"/>
  <c r="D31" i="7"/>
  <c r="D30" i="7"/>
  <c r="N30" i="7" s="1"/>
  <c r="D32" i="7"/>
  <c r="D25" i="7"/>
  <c r="N25" i="7" s="1"/>
  <c r="D26" i="7"/>
  <c r="N26" i="7" s="1"/>
  <c r="D27" i="7"/>
  <c r="N27" i="7" s="1"/>
  <c r="D23" i="7"/>
  <c r="K23" i="7" s="1"/>
  <c r="H80" i="1"/>
  <c r="E81" i="1"/>
  <c r="D62" i="7"/>
  <c r="E80" i="1"/>
  <c r="D61" i="7"/>
  <c r="D63" i="7"/>
  <c r="D80" i="1"/>
  <c r="D82" i="1"/>
  <c r="D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D86" i="1" l="1"/>
  <c r="J11" i="8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D44" i="7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D85" i="1"/>
  <c r="D88" i="1" s="1"/>
  <c r="M18" i="7"/>
  <c r="K18" i="7"/>
  <c r="E85" i="1"/>
  <c r="F85" i="1"/>
  <c r="G85" i="1"/>
  <c r="H85" i="1"/>
  <c r="K43" i="7" l="1"/>
  <c r="N43" i="7"/>
  <c r="I61" i="7" s="1"/>
  <c r="N61" i="7" s="1"/>
  <c r="J12" i="8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H61" i="7" s="1"/>
  <c r="M61" i="7" s="1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G61" i="7" s="1"/>
  <c r="L61" i="7" s="1"/>
  <c r="K37" i="7"/>
  <c r="F61" i="7" s="1"/>
  <c r="K61" i="7" s="1"/>
  <c r="F48" i="7" s="1"/>
  <c r="M12" i="7"/>
  <c r="K15" i="7"/>
  <c r="M8" i="7"/>
  <c r="G26" i="5"/>
  <c r="F26" i="5"/>
  <c r="H26" i="5"/>
  <c r="E26" i="5"/>
  <c r="D26" i="5"/>
  <c r="I48" i="7" l="1"/>
  <c r="G48" i="7"/>
  <c r="H48" i="7"/>
  <c r="K13" i="8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K48" i="7" l="1"/>
  <c r="F50" i="7" s="1"/>
  <c r="L48" i="7"/>
  <c r="M48" i="7"/>
  <c r="N48" i="7"/>
  <c r="K14" i="8"/>
  <c r="I14" i="8"/>
  <c r="J14" i="8"/>
  <c r="H14" i="8"/>
  <c r="E14" i="8"/>
  <c r="F13" i="8"/>
  <c r="F51" i="8"/>
  <c r="D15" i="8"/>
  <c r="E99" i="1"/>
  <c r="H99" i="1"/>
  <c r="G99" i="1"/>
  <c r="H49" i="7" l="1"/>
  <c r="H50" i="7"/>
  <c r="F49" i="7"/>
  <c r="G50" i="7"/>
  <c r="G49" i="7"/>
  <c r="J15" i="8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I50" i="7" l="1"/>
  <c r="I49" i="7"/>
  <c r="J16" i="8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F90" i="1"/>
  <c r="F27" i="5" s="1"/>
  <c r="D27" i="5"/>
  <c r="G90" i="1"/>
  <c r="H27" i="5"/>
  <c r="H94" i="1"/>
  <c r="H28" i="5" s="1"/>
  <c r="H30" i="5" s="1"/>
  <c r="H35" i="5" l="1"/>
  <c r="K18" i="8"/>
  <c r="I18" i="8"/>
  <c r="H18" i="8"/>
  <c r="J18" i="8"/>
  <c r="E18" i="8"/>
  <c r="F17" i="8"/>
  <c r="F55" i="8"/>
  <c r="D19" i="8"/>
  <c r="E94" i="1"/>
  <c r="E28" i="5" s="1"/>
  <c r="E30" i="5" s="1"/>
  <c r="E35" i="5" s="1"/>
  <c r="F94" i="1"/>
  <c r="F28" i="5" s="1"/>
  <c r="F30" i="5" s="1"/>
  <c r="F35" i="5" s="1"/>
  <c r="D94" i="1"/>
  <c r="D28" i="5" s="1"/>
  <c r="D30" i="5" s="1"/>
  <c r="D35" i="5" s="1"/>
  <c r="G27" i="5"/>
  <c r="D49" i="7" s="1"/>
  <c r="G94" i="1"/>
  <c r="G28" i="5" s="1"/>
  <c r="G30" i="5" s="1"/>
  <c r="L49" i="7" l="1"/>
  <c r="M49" i="7"/>
  <c r="K49" i="7"/>
  <c r="N49" i="7"/>
  <c r="J19" i="8"/>
  <c r="I19" i="8"/>
  <c r="H19" i="8"/>
  <c r="K19" i="8"/>
  <c r="E19" i="8"/>
  <c r="F18" i="8"/>
  <c r="D50" i="7"/>
  <c r="N50" i="7" s="1"/>
  <c r="F56" i="8"/>
  <c r="D20" i="8"/>
  <c r="G35" i="5"/>
  <c r="C40" i="5" s="1"/>
  <c r="N52" i="7" l="1"/>
  <c r="Q94" i="8" s="1"/>
  <c r="J20" i="8"/>
  <c r="K20" i="8"/>
  <c r="H20" i="8"/>
  <c r="I20" i="8"/>
  <c r="D21" i="8"/>
  <c r="E20" i="8"/>
  <c r="F19" i="8"/>
  <c r="L50" i="7"/>
  <c r="L52" i="7" s="1"/>
  <c r="M50" i="7"/>
  <c r="M52" i="7" s="1"/>
  <c r="K50" i="7"/>
  <c r="K52" i="7" s="1"/>
  <c r="D52" i="7"/>
  <c r="M89" i="8" s="1"/>
  <c r="F57" i="8"/>
  <c r="Q5" i="8" l="1"/>
  <c r="Q51" i="8"/>
  <c r="Q83" i="8"/>
  <c r="Q11" i="8"/>
  <c r="Q7" i="8"/>
  <c r="Q87" i="8"/>
  <c r="Q17" i="8"/>
  <c r="Q79" i="8"/>
  <c r="Q57" i="8"/>
  <c r="Q89" i="8"/>
  <c r="Q10" i="8"/>
  <c r="Q12" i="8"/>
  <c r="Q9" i="8"/>
  <c r="Q55" i="8"/>
  <c r="Q91" i="8"/>
  <c r="Q15" i="8"/>
  <c r="Q49" i="8"/>
  <c r="Q81" i="8"/>
  <c r="Q93" i="8"/>
  <c r="Q18" i="8"/>
  <c r="Q13" i="8"/>
  <c r="Q3" i="8"/>
  <c r="Q19" i="8"/>
  <c r="Q53" i="8"/>
  <c r="Q85" i="8"/>
  <c r="Q4" i="8"/>
  <c r="Q6" i="8"/>
  <c r="Q14" i="8"/>
  <c r="Q8" i="8"/>
  <c r="Q16" i="8"/>
  <c r="Q56" i="8"/>
  <c r="Q48" i="8"/>
  <c r="Q50" i="8"/>
  <c r="Q52" i="8"/>
  <c r="Q54" i="8"/>
  <c r="Q78" i="8"/>
  <c r="Q80" i="8"/>
  <c r="Q82" i="8"/>
  <c r="Q84" i="8"/>
  <c r="Q88" i="8"/>
  <c r="Q90" i="8"/>
  <c r="Q92" i="8"/>
  <c r="Q86" i="8"/>
  <c r="P10" i="8"/>
  <c r="P6" i="8"/>
  <c r="P93" i="8"/>
  <c r="P89" i="8"/>
  <c r="P85" i="8"/>
  <c r="P81" i="8"/>
  <c r="P57" i="8"/>
  <c r="P53" i="8"/>
  <c r="P49" i="8"/>
  <c r="P94" i="8"/>
  <c r="P92" i="8"/>
  <c r="P90" i="8"/>
  <c r="P88" i="8"/>
  <c r="P86" i="8"/>
  <c r="P84" i="8"/>
  <c r="P82" i="8"/>
  <c r="P80" i="8"/>
  <c r="P78" i="8"/>
  <c r="P56" i="8"/>
  <c r="P54" i="8"/>
  <c r="P52" i="8"/>
  <c r="P50" i="8"/>
  <c r="P48" i="8"/>
  <c r="P18" i="8"/>
  <c r="P16" i="8"/>
  <c r="P14" i="8"/>
  <c r="P12" i="8"/>
  <c r="P8" i="8"/>
  <c r="P4" i="8"/>
  <c r="P91" i="8"/>
  <c r="P87" i="8"/>
  <c r="P83" i="8"/>
  <c r="P79" i="8"/>
  <c r="P55" i="8"/>
  <c r="P51" i="8"/>
  <c r="P17" i="8"/>
  <c r="P9" i="8"/>
  <c r="P7" i="8"/>
  <c r="P5" i="8"/>
  <c r="P11" i="8"/>
  <c r="P15" i="8"/>
  <c r="P13" i="8"/>
  <c r="P19" i="8"/>
  <c r="P3" i="8"/>
  <c r="N17" i="8"/>
  <c r="D53" i="7"/>
  <c r="E21" i="8"/>
  <c r="F20" i="8"/>
  <c r="Q20" i="8" s="1"/>
  <c r="K21" i="8"/>
  <c r="I21" i="8"/>
  <c r="J21" i="8"/>
  <c r="H21" i="8"/>
  <c r="M51" i="8"/>
  <c r="M11" i="8"/>
  <c r="M18" i="8"/>
  <c r="N85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8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82" i="8"/>
  <c r="O8" i="8"/>
  <c r="O13" i="8"/>
  <c r="O3" i="8"/>
  <c r="O86" i="8"/>
  <c r="O85" i="8"/>
  <c r="O4" i="8"/>
  <c r="O78" i="8"/>
  <c r="O49" i="8"/>
  <c r="O18" i="8"/>
  <c r="O11" i="8"/>
  <c r="N9" i="8"/>
  <c r="N94" i="8"/>
  <c r="N51" i="8"/>
  <c r="N4" i="8"/>
  <c r="N8" i="8"/>
  <c r="N55" i="8"/>
  <c r="N87" i="8"/>
  <c r="N89" i="8"/>
  <c r="N80" i="8"/>
  <c r="N19" i="8"/>
  <c r="N13" i="8"/>
  <c r="N54" i="8"/>
  <c r="N83" i="8"/>
  <c r="N92" i="8"/>
  <c r="N50" i="8"/>
  <c r="N79" i="8"/>
  <c r="N12" i="8"/>
  <c r="N78" i="8"/>
  <c r="N15" i="8"/>
  <c r="N52" i="8"/>
  <c r="N86" i="8"/>
  <c r="N49" i="8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14" i="8"/>
  <c r="N93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56" i="8"/>
  <c r="M90" i="8"/>
  <c r="M13" i="8"/>
  <c r="M81" i="8"/>
  <c r="M85" i="8"/>
  <c r="M53" i="8"/>
  <c r="M57" i="8"/>
  <c r="O57" i="8"/>
  <c r="F58" i="8"/>
  <c r="P58" i="8" s="1"/>
  <c r="D22" i="8"/>
  <c r="Q58" i="8" l="1"/>
  <c r="O20" i="8"/>
  <c r="N20" i="8"/>
  <c r="P20" i="8"/>
  <c r="K22" i="8"/>
  <c r="I22" i="8"/>
  <c r="J22" i="8"/>
  <c r="H22" i="8"/>
  <c r="E22" i="8"/>
  <c r="F21" i="8"/>
  <c r="S5" i="8"/>
  <c r="T8" i="8"/>
  <c r="T14" i="8"/>
  <c r="T5" i="8"/>
  <c r="U20" i="8"/>
  <c r="U5" i="8"/>
  <c r="U11" i="8"/>
  <c r="U8" i="8"/>
  <c r="T20" i="8"/>
  <c r="U17" i="8"/>
  <c r="U14" i="8"/>
  <c r="T11" i="8"/>
  <c r="T17" i="8"/>
  <c r="S20" i="8"/>
  <c r="S11" i="8"/>
  <c r="S8" i="8"/>
  <c r="S14" i="8"/>
  <c r="S17" i="8"/>
  <c r="N58" i="8"/>
  <c r="M58" i="8"/>
  <c r="O58" i="8"/>
  <c r="F59" i="8"/>
  <c r="D23" i="8"/>
  <c r="Q21" i="8" l="1"/>
  <c r="P21" i="8"/>
  <c r="P59" i="8"/>
  <c r="Q59" i="8"/>
  <c r="E23" i="8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P22" i="8" l="1"/>
  <c r="Q22" i="8"/>
  <c r="Q60" i="8"/>
  <c r="P60" i="8"/>
  <c r="M22" i="8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Q61" i="8" l="1"/>
  <c r="P61" i="8"/>
  <c r="P23" i="8"/>
  <c r="Q23" i="8"/>
  <c r="N23" i="8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P62" i="8" l="1"/>
  <c r="Q62" i="8"/>
  <c r="Q24" i="8"/>
  <c r="P24" i="8"/>
  <c r="N24" i="8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Q63" i="8" l="1"/>
  <c r="P63" i="8"/>
  <c r="Q25" i="8"/>
  <c r="P25" i="8"/>
  <c r="N25" i="8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Q64" i="8" l="1"/>
  <c r="P64" i="8"/>
  <c r="P26" i="8"/>
  <c r="Q26" i="8"/>
  <c r="J28" i="8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Q65" i="8" l="1"/>
  <c r="P65" i="8"/>
  <c r="Q27" i="8"/>
  <c r="P27" i="8"/>
  <c r="M27" i="8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Q66" i="8" l="1"/>
  <c r="P66" i="8"/>
  <c r="Q28" i="8"/>
  <c r="P28" i="8"/>
  <c r="O28" i="8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Q67" i="8" l="1"/>
  <c r="P67" i="8"/>
  <c r="P29" i="8"/>
  <c r="Q29" i="8"/>
  <c r="O29" i="8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P68" i="8" l="1"/>
  <c r="Q68" i="8"/>
  <c r="Q30" i="8"/>
  <c r="P30" i="8"/>
  <c r="M30" i="8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P69" i="8" l="1"/>
  <c r="Q69" i="8"/>
  <c r="P31" i="8"/>
  <c r="Q31" i="8"/>
  <c r="O31" i="8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Q70" i="8" l="1"/>
  <c r="P70" i="8"/>
  <c r="Q32" i="8"/>
  <c r="P32" i="8"/>
  <c r="M32" i="8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P71" i="8" l="1"/>
  <c r="Q71" i="8"/>
  <c r="Q33" i="8"/>
  <c r="P33" i="8"/>
  <c r="O33" i="8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Q72" i="8" l="1"/>
  <c r="P72" i="8"/>
  <c r="Q34" i="8"/>
  <c r="P34" i="8"/>
  <c r="N34" i="8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Q73" i="8" l="1"/>
  <c r="P73" i="8"/>
  <c r="P35" i="8"/>
  <c r="Q35" i="8"/>
  <c r="N35" i="8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Q74" i="8" l="1"/>
  <c r="P74" i="8"/>
  <c r="P36" i="8"/>
  <c r="Q36" i="8"/>
  <c r="N36" i="8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Q75" i="8" l="1"/>
  <c r="P75" i="8"/>
  <c r="Q37" i="8"/>
  <c r="P37" i="8"/>
  <c r="N37" i="8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Q76" i="8" l="1"/>
  <c r="P76" i="8"/>
  <c r="Q38" i="8"/>
  <c r="P38" i="8"/>
  <c r="O38" i="8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Q77" i="8" l="1"/>
  <c r="P77" i="8"/>
  <c r="Q39" i="8"/>
  <c r="P39" i="8"/>
  <c r="O39" i="8"/>
  <c r="M39" i="8"/>
  <c r="N39" i="8"/>
  <c r="K41" i="8"/>
  <c r="I41" i="8"/>
  <c r="J41" i="8"/>
  <c r="H41" i="8"/>
  <c r="E41" i="8"/>
  <c r="F40" i="8"/>
  <c r="M77" i="8"/>
  <c r="O77" i="8"/>
  <c r="N77" i="8"/>
  <c r="D42" i="8"/>
  <c r="Q40" i="8" l="1"/>
  <c r="P40" i="8"/>
  <c r="M40" i="8"/>
  <c r="O40" i="8"/>
  <c r="N40" i="8"/>
  <c r="K42" i="8"/>
  <c r="I42" i="8"/>
  <c r="H42" i="8"/>
  <c r="J42" i="8"/>
  <c r="E42" i="8"/>
  <c r="F41" i="8"/>
  <c r="D43" i="8"/>
  <c r="P41" i="8" l="1"/>
  <c r="Q41" i="8"/>
  <c r="N41" i="8"/>
  <c r="T41" i="8" s="1"/>
  <c r="M41" i="8"/>
  <c r="S41" i="8" s="1"/>
  <c r="O41" i="8"/>
  <c r="U41" i="8" s="1"/>
  <c r="J43" i="8"/>
  <c r="I43" i="8"/>
  <c r="H43" i="8"/>
  <c r="K43" i="8"/>
  <c r="F42" i="8"/>
  <c r="E43" i="8"/>
  <c r="D44" i="8"/>
  <c r="E44" i="8" l="1"/>
  <c r="F43" i="8"/>
  <c r="Q42" i="8"/>
  <c r="P42" i="8"/>
  <c r="J44" i="8"/>
  <c r="H44" i="8"/>
  <c r="K44" i="8"/>
  <c r="I44" i="8"/>
  <c r="O42" i="8"/>
  <c r="N42" i="8"/>
  <c r="M42" i="8"/>
  <c r="D45" i="8"/>
  <c r="M43" i="8" l="1"/>
  <c r="Q43" i="8"/>
  <c r="O43" i="8"/>
  <c r="N43" i="8"/>
  <c r="P43" i="8"/>
  <c r="E45" i="8"/>
  <c r="F44" i="8"/>
  <c r="K45" i="8"/>
  <c r="I45" i="8"/>
  <c r="J45" i="8"/>
  <c r="H45" i="8"/>
  <c r="D46" i="8"/>
  <c r="P44" i="8" l="1"/>
  <c r="Q44" i="8"/>
  <c r="M44" i="8"/>
  <c r="S44" i="8" s="1"/>
  <c r="O44" i="8"/>
  <c r="U44" i="8" s="1"/>
  <c r="N44" i="8"/>
  <c r="T44" i="8" s="1"/>
  <c r="E46" i="8"/>
  <c r="F45" i="8"/>
  <c r="K46" i="8"/>
  <c r="I46" i="8"/>
  <c r="J46" i="8"/>
  <c r="H46" i="8"/>
  <c r="D47" i="8"/>
  <c r="O45" i="8" l="1"/>
  <c r="N45" i="8"/>
  <c r="Q45" i="8"/>
  <c r="P45" i="8"/>
  <c r="M45" i="8"/>
  <c r="E47" i="8"/>
  <c r="F46" i="8"/>
  <c r="J47" i="8"/>
  <c r="H47" i="8"/>
  <c r="I47" i="8"/>
  <c r="K47" i="8"/>
  <c r="D48" i="8"/>
  <c r="N46" i="8" l="1"/>
  <c r="O46" i="8"/>
  <c r="Q46" i="8"/>
  <c r="M46" i="8"/>
  <c r="P46" i="8"/>
  <c r="E48" i="8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7" i="8"/>
  <c r="J48" i="8"/>
  <c r="H48" i="8"/>
  <c r="I48" i="8"/>
  <c r="K48" i="8"/>
  <c r="D49" i="8"/>
  <c r="M47" i="8" l="1"/>
  <c r="S47" i="8" s="1"/>
  <c r="N47" i="8"/>
  <c r="T47" i="8" s="1"/>
  <c r="Q47" i="8"/>
  <c r="P47" i="8"/>
  <c r="O47" i="8"/>
  <c r="U47" i="8" s="1"/>
  <c r="F1" i="8"/>
  <c r="K49" i="8"/>
  <c r="I49" i="8"/>
  <c r="J49" i="8"/>
  <c r="H49" i="8"/>
  <c r="D50" i="8"/>
  <c r="K50" i="8" l="1"/>
  <c r="I50" i="8"/>
  <c r="T50" i="8" s="1"/>
  <c r="J50" i="8"/>
  <c r="U50" i="8" s="1"/>
  <c r="H50" i="8"/>
  <c r="S50" i="8" s="1"/>
  <c r="D51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U56" i="8" s="1"/>
  <c r="H56" i="8"/>
  <c r="S56" i="8" s="1"/>
  <c r="K56" i="8"/>
  <c r="I56" i="8"/>
  <c r="T56" i="8" s="1"/>
  <c r="D57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S59" i="8" s="1"/>
  <c r="K59" i="8"/>
  <c r="D60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S62" i="8" s="1"/>
  <c r="J62" i="8"/>
  <c r="U62" i="8" s="1"/>
  <c r="D63" i="8"/>
  <c r="T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H68" i="8"/>
  <c r="K68" i="8"/>
  <c r="I68" i="8"/>
  <c r="T68" i="8" s="1"/>
  <c r="D69" i="8"/>
  <c r="S68" i="8"/>
  <c r="U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T71" i="8" s="1"/>
  <c r="K71" i="8"/>
  <c r="H71" i="8"/>
  <c r="S71" i="8" s="1"/>
  <c r="D72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S74" i="8" s="1"/>
  <c r="J74" i="8"/>
  <c r="U74" i="8" s="1"/>
  <c r="D75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U80" i="8" s="1"/>
  <c r="H80" i="8"/>
  <c r="S80" i="8" s="1"/>
  <c r="K80" i="8"/>
  <c r="I80" i="8"/>
  <c r="T80" i="8" s="1"/>
  <c r="D81" i="8"/>
  <c r="K81" i="8" l="1"/>
  <c r="I81" i="8"/>
  <c r="J81" i="8"/>
  <c r="H81" i="8"/>
  <c r="D82" i="8"/>
  <c r="K82" i="8" l="1"/>
  <c r="I82" i="8"/>
  <c r="H82" i="8"/>
  <c r="J82" i="8"/>
  <c r="D83" i="8"/>
  <c r="J83" i="8" l="1"/>
  <c r="U83" i="8" s="1"/>
  <c r="I83" i="8"/>
  <c r="K83" i="8"/>
  <c r="H83" i="8"/>
  <c r="S83" i="8" s="1"/>
  <c r="D84" i="8"/>
  <c r="T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S86" i="8" s="1"/>
  <c r="J86" i="8"/>
  <c r="U86" i="8" s="1"/>
  <c r="D87" i="8"/>
  <c r="T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U89" i="8" s="1"/>
  <c r="H89" i="8"/>
  <c r="S89" i="8" s="1"/>
  <c r="D90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U92" i="8" s="1"/>
  <c r="L55" i="7" s="1"/>
  <c r="H92" i="8"/>
  <c r="K92" i="8"/>
  <c r="I92" i="8"/>
  <c r="T92" i="8" s="1"/>
  <c r="K55" i="7" s="1"/>
  <c r="D93" i="8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W83" i="8" l="1"/>
  <c r="W53" i="8"/>
  <c r="W35" i="8"/>
  <c r="W29" i="8"/>
  <c r="W11" i="8"/>
  <c r="W44" i="8"/>
  <c r="W38" i="8"/>
  <c r="W20" i="8"/>
  <c r="W14" i="8"/>
  <c r="W26" i="8"/>
  <c r="W59" i="8" l="1"/>
  <c r="W32" i="8"/>
  <c r="W5" i="8"/>
  <c r="W77" i="8"/>
  <c r="W62" i="8"/>
  <c r="W92" i="8"/>
  <c r="W8" i="8"/>
  <c r="W68" i="8"/>
  <c r="W86" i="8"/>
  <c r="W23" i="8"/>
  <c r="W47" i="8"/>
  <c r="W71" i="8"/>
  <c r="W50" i="8"/>
  <c r="W80" i="8"/>
  <c r="W56" i="8"/>
  <c r="W74" i="8"/>
  <c r="W17" i="8"/>
  <c r="W41" i="8"/>
  <c r="W65" i="8"/>
  <c r="W89" i="8"/>
  <c r="V92" i="8"/>
  <c r="V74" i="8"/>
  <c r="V68" i="8"/>
  <c r="V26" i="8"/>
  <c r="V77" i="8"/>
  <c r="V83" i="8"/>
  <c r="V47" i="8"/>
  <c r="V29" i="8"/>
  <c r="V23" i="8"/>
  <c r="V11" i="8"/>
  <c r="V41" i="8" l="1"/>
  <c r="V20" i="8"/>
  <c r="N55" i="7"/>
  <c r="N56" i="7" s="1"/>
  <c r="V59" i="8"/>
  <c r="V89" i="8"/>
  <c r="V65" i="8"/>
  <c r="V14" i="8"/>
  <c r="V38" i="8"/>
  <c r="V62" i="8"/>
  <c r="V86" i="8"/>
  <c r="V5" i="8"/>
  <c r="V50" i="8"/>
  <c r="V71" i="8"/>
  <c r="V44" i="8"/>
  <c r="V17" i="8"/>
  <c r="V35" i="8"/>
  <c r="V53" i="8"/>
  <c r="V8" i="8"/>
  <c r="V32" i="8"/>
  <c r="V56" i="8"/>
  <c r="V80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<sst xmlns="http://schemas.openxmlformats.org/spreadsheetml/2006/main" count="285" uniqueCount="108">
  <si>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</si>
  <si>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</si>
  <si>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</si>
  <si>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</si>
  <si>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</si>
  <si>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</si>
  <si>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</si>
  <si>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</si>
  <si>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</si>
  <si>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</si>
  <si>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</si>
  <si>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</si>
  <si>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</si>
  <si>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</si>
  <si>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</si>
  <si>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</si>
  <si>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</si>
  <si>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</si>
  <si>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</si>
  <si>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</si>
  <si>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</si>
  <si>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</si>
  <si>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</si>
  <si>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</si>
  <si>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</si>
  <si>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</si>
  <si>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</si>
  <si>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</si>
  <si>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</si>
  <si>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</si>
  <si>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</si>
  <si>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</si>
  <si>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</si>
  <si>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</si>
  <si>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</si>
  <si>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</si>
  <si>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</si>
  <si>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</si>
  <si>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</si>
  <si>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</si>
  <si>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</si>
  <si>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</si>
  <si>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</si>
  <si>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</si>
  <si>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</si>
  <si>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</si>
  <si>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</si>
  <si>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</si>
  <si>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</si>
  <si>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</si>
  <si>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</si>
  <si>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</si>
  <si>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</si>
  <si>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</si>
  <si>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</si>
  <si>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</si>
  <si>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</si>
  <si>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</si>
  <si>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</si>
  <si>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</si>
  <si>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</si>
  <si>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</si>
  <si>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</si>
  <si>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</si>
  <si>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</si>
  <si>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</si>
  <si>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</si>
  <si>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</si>
  <si>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</si>
  <si>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</si>
  <si>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</si>
  <si>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</si>
  <si>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</si>
  <si>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</si>
  <si>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</si>
  <si>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</si>
  <si>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</si>
  <si>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</si>
  <si>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</si>
  <si>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</si>
  <si>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</si>
  <si>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</si>
  <si>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</si>
  <si>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</si>
  <si>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</si>
  <si>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</si>
  <si>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</si>
  <si>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</si>
  <si>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</si>
  <si>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</si>
  <si>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</si>
  <si>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</si>
  <si>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</si>
  <si>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</si>
  <si>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</si>
  <si>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</si>
  <si>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</si>
  <si>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</si>
  <si>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</si>
  <si>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</si>
  <si>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</si>
  <si>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</si>
  <si>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</si>
  <si>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</si>
  <si>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</si>
  <si>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</si>
  <si>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</si>
  <si>
    <t>Collaborative Member Prior to 2017-07-01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</si>
</sst>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8" sqref="D8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81</v>
      </c>
      <c r="C1" s="74">
        <v>43191</v>
      </c>
    </row>
    <row r="2" spans="2:12" x14ac:dyDescent="0.25">
      <c r="B2" s="70" t="s">
        <v>95</v>
      </c>
      <c r="C2" s="75">
        <v>36</v>
      </c>
    </row>
    <row r="3" spans="2:12" x14ac:dyDescent="0.25">
      <c r="B3" s="71"/>
      <c r="C3" s="76"/>
      <c r="D3" s="13" t="s">
        <v>20</v>
      </c>
      <c r="E3" s="13" t="s">
        <v>21</v>
      </c>
      <c r="F3" s="13" t="s">
        <v>22</v>
      </c>
      <c r="G3" s="13" t="s">
        <v>23</v>
      </c>
      <c r="H3" s="14" t="s">
        <v>24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107</v>
      </c>
      <c r="D5" s="56" t="s">
        <v>43</v>
      </c>
      <c r="E5" s="56"/>
      <c r="F5" s="56"/>
      <c r="G5" s="56"/>
      <c r="H5" s="56"/>
      <c r="L5" t="s">
        <v>43</v>
      </c>
    </row>
    <row r="6" spans="2:12" ht="18" customHeight="1" x14ac:dyDescent="0.25">
      <c r="B6" s="72" t="s">
        <v>7</v>
      </c>
      <c r="D6" s="56" t="s">
        <v>43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8</v>
      </c>
      <c r="D8" s="56" t="s">
        <v>4</v>
      </c>
      <c r="E8" s="56"/>
      <c r="F8" s="56"/>
      <c r="G8" s="56"/>
      <c r="H8" s="56"/>
    </row>
    <row r="9" spans="2:12" ht="18" customHeight="1" x14ac:dyDescent="0.25">
      <c r="B9" s="72" t="s">
        <v>9</v>
      </c>
      <c r="D9" s="56" t="s">
        <v>43</v>
      </c>
      <c r="E9" s="56"/>
      <c r="F9" s="56"/>
      <c r="G9" s="56"/>
      <c r="H9" s="56"/>
    </row>
    <row r="10" spans="2:12" ht="18" customHeight="1" x14ac:dyDescent="0.25">
      <c r="B10" s="72" t="s">
        <v>10</v>
      </c>
      <c r="D10" s="56" t="s">
        <v>43</v>
      </c>
      <c r="E10" s="56"/>
      <c r="F10" s="56"/>
      <c r="G10" s="56"/>
      <c r="H10" s="56"/>
    </row>
    <row r="11" spans="2:12" ht="18" customHeight="1" x14ac:dyDescent="0.25">
      <c r="B11" s="72" t="s">
        <v>32</v>
      </c>
      <c r="D11" s="56" t="s">
        <v>43</v>
      </c>
      <c r="E11" s="56"/>
      <c r="F11" s="56"/>
      <c r="G11" s="56"/>
      <c r="H11" s="56"/>
    </row>
    <row r="12" spans="2:12" ht="18" customHeight="1" x14ac:dyDescent="0.25">
      <c r="B12" s="72" t="s">
        <v>11</v>
      </c>
      <c r="D12" s="56" t="s">
        <v>43</v>
      </c>
      <c r="E12" s="56"/>
      <c r="F12" s="56"/>
      <c r="G12" s="56"/>
      <c r="H12" s="56"/>
    </row>
    <row r="13" spans="2:12" ht="18" customHeight="1" x14ac:dyDescent="0.25">
      <c r="B13" s="72" t="s">
        <v>12</v>
      </c>
      <c r="D13" s="56" t="s">
        <v>43</v>
      </c>
      <c r="E13" s="56"/>
      <c r="F13" s="56"/>
      <c r="G13" s="56"/>
      <c r="H13" s="56"/>
    </row>
    <row r="14" spans="2:12" ht="18" customHeight="1" x14ac:dyDescent="0.25">
      <c r="B14" s="72" t="s">
        <v>104</v>
      </c>
      <c r="D14" s="56" t="s">
        <v>43</v>
      </c>
      <c r="E14" s="56"/>
      <c r="F14" s="56"/>
      <c r="G14" s="56"/>
      <c r="H14" s="56"/>
    </row>
    <row r="15" spans="2:12" ht="18" customHeight="1" x14ac:dyDescent="0.25">
      <c r="B15" s="72" t="s">
        <v>13</v>
      </c>
      <c r="D15" s="56" t="s">
        <v>43</v>
      </c>
      <c r="E15" s="56"/>
      <c r="F15" s="56"/>
      <c r="G15" s="56"/>
      <c r="H15" s="56"/>
    </row>
    <row r="16" spans="2:12" ht="18" customHeight="1" x14ac:dyDescent="0.25">
      <c r="B16" s="72" t="s">
        <v>14</v>
      </c>
      <c r="D16" s="56" t="s">
        <v>43</v>
      </c>
      <c r="E16" s="56"/>
      <c r="F16" s="56"/>
      <c r="G16" s="56"/>
      <c r="H16" s="56"/>
    </row>
    <row r="17" spans="2:8" ht="18" customHeight="1" x14ac:dyDescent="0.25">
      <c r="B17" s="72" t="s">
        <v>15</v>
      </c>
      <c r="D17" s="56" t="s">
        <v>43</v>
      </c>
      <c r="E17" s="56"/>
      <c r="F17" s="56"/>
      <c r="G17" s="56"/>
      <c r="H17" s="56"/>
    </row>
    <row r="18" spans="2:8" ht="18" customHeight="1" x14ac:dyDescent="0.25">
      <c r="B18" s="72" t="s">
        <v>16</v>
      </c>
      <c r="D18" s="56" t="s">
        <v>43</v>
      </c>
      <c r="E18" s="56"/>
      <c r="F18" s="56"/>
      <c r="G18" s="56"/>
      <c r="H18" s="56"/>
    </row>
    <row r="19" spans="2:8" ht="18" customHeight="1" x14ac:dyDescent="0.25">
      <c r="B19" s="72" t="s">
        <v>17</v>
      </c>
      <c r="D19" s="56" t="s">
        <v>4</v>
      </c>
      <c r="E19" s="56"/>
      <c r="F19" s="56"/>
      <c r="G19" s="56"/>
      <c r="H19" s="56"/>
    </row>
    <row r="20" spans="2:8" ht="18" customHeight="1" x14ac:dyDescent="0.25">
      <c r="B20" s="72" t="s">
        <v>18</v>
      </c>
      <c r="D20" s="56" t="s">
        <v>43</v>
      </c>
      <c r="E20" s="56"/>
      <c r="F20" s="56"/>
      <c r="G20" s="56"/>
      <c r="H20" s="56"/>
    </row>
    <row r="21" spans="2:8" ht="18" customHeight="1" x14ac:dyDescent="0.25">
      <c r="B21" s="73" t="s">
        <v>19</v>
      </c>
      <c r="C21" s="69"/>
      <c r="D21" s="57" t="s">
        <v>43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8" sqref="D28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56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6750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31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10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32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11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12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13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14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33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57</v>
      </c>
    </row>
    <row r="20" spans="2:21" x14ac:dyDescent="0.25">
      <c r="C20" t="s">
        <v>16</v>
      </c>
      <c r="D20" s="1">
        <f>SUM(Calcs!D61, Calcs!D67)</f>
        <v>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17</v>
      </c>
      <c r="D21" s="1">
        <f>SUM(Calcs!D62, Calcs!D68)</f>
        <v>33000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18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19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58</v>
      </c>
    </row>
    <row r="26" spans="2:21" x14ac:dyDescent="0.25">
      <c r="C26" t="s">
        <v>59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52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102</v>
      </c>
      <c r="D28" s="1">
        <f>Calcs!D92</f>
        <v>0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60</v>
      </c>
      <c r="D30" s="7">
        <f>SUM(D7:D17, D20:D23, D26:D28)</f>
        <v>54750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97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96</v>
      </c>
      <c r="D35" s="7">
        <f>(D30/12*Inputs!$C$2+D4)*$C$33</f>
        <v>169250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93</v>
      </c>
    </row>
    <row r="39" spans="2:21" x14ac:dyDescent="0.25">
      <c r="C39" s="7">
        <f>SUM(Outputs_Timeline!S:S)</f>
        <v>169250</v>
      </c>
    </row>
    <row r="40" spans="2:21" x14ac:dyDescent="0.25">
      <c r="C40" s="53">
        <f>SUM(D35:H35)</f>
        <v>169250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21" activePane="bottomRight" state="frozen"/>
      <selection pane="topRight" activeCell="D1" sqref="D1"/>
      <selection pane="bottomLeft" activeCell="A3" sqref="A3"/>
      <selection pane="bottomRight" activeCell="F50" sqref="F50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80</v>
      </c>
      <c r="G1" s="51"/>
      <c r="H1" s="51"/>
      <c r="I1" s="51"/>
    </row>
    <row r="2" spans="2:14" x14ac:dyDescent="0.25">
      <c r="D2" s="9" t="s">
        <v>65</v>
      </c>
      <c r="F2" s="9" t="s">
        <v>61</v>
      </c>
      <c r="G2" s="9" t="s">
        <v>62</v>
      </c>
      <c r="H2" s="9" t="s">
        <v>105</v>
      </c>
      <c r="I2" s="9" t="s">
        <v>106</v>
      </c>
      <c r="J2" s="9"/>
      <c r="K2" s="9" t="s">
        <v>61</v>
      </c>
      <c r="L2" s="9" t="s">
        <v>62</v>
      </c>
      <c r="M2" s="9" t="s">
        <v>105</v>
      </c>
      <c r="N2" s="9" t="s">
        <v>106</v>
      </c>
    </row>
    <row r="3" spans="2:14" x14ac:dyDescent="0.25">
      <c r="B3" s="6" t="s">
        <v>0</v>
      </c>
    </row>
    <row r="4" spans="2:14" x14ac:dyDescent="0.25">
      <c r="C4" t="s">
        <v>98</v>
      </c>
      <c r="D4" s="1">
        <f>SUMIF(Inputs!$D$4:$H$4, "Y", Outputs_External!D4:'Outputs_External'!H4)</f>
        <v>5000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99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75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2">H8*$D8</f>
        <v>0</v>
      </c>
      <c r="N8" s="16">
        <f t="shared" si="2"/>
        <v>0</v>
      </c>
    </row>
    <row r="9" spans="2:14" x14ac:dyDescent="0.25">
      <c r="C9" s="15" t="s">
        <v>3</v>
      </c>
      <c r="D9" s="16">
        <f>SUM(Calcs!D10:H10)</f>
        <v>6750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1350</v>
      </c>
      <c r="L9" s="16">
        <f t="shared" ref="L9:L17" si="4">G9*$D9</f>
        <v>5400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31</v>
      </c>
      <c r="D10" s="18">
        <f>SUM(Calcs!D11:H11)</f>
        <v>1000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100</v>
      </c>
      <c r="L10" s="18">
        <f t="shared" si="4"/>
        <v>900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10</v>
      </c>
      <c r="D11" s="18">
        <f>SUM(Calcs!D12:H12)</f>
        <v>4000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3"/>
        <v>1800</v>
      </c>
      <c r="L11" s="18">
        <f t="shared" si="4"/>
        <v>1800</v>
      </c>
      <c r="M11" s="18">
        <f t="shared" si="2"/>
        <v>0</v>
      </c>
      <c r="N11" s="18">
        <f t="shared" si="2"/>
        <v>400</v>
      </c>
    </row>
    <row r="12" spans="2:14" x14ac:dyDescent="0.25">
      <c r="C12" s="17" t="s">
        <v>32</v>
      </c>
      <c r="D12" s="18">
        <f>SUM(Calcs!D13:H13)</f>
        <v>2000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1800</v>
      </c>
      <c r="L12" s="18">
        <f t="shared" si="4"/>
        <v>200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11</v>
      </c>
      <c r="D13" s="18">
        <f>SUM(Calcs!D14:H14)</f>
        <v>2000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200</v>
      </c>
      <c r="L13" s="18">
        <f t="shared" si="4"/>
        <v>1800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12</v>
      </c>
      <c r="D14" s="18">
        <f>SUM(Calcs!D15:H15)</f>
        <v>6000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600</v>
      </c>
      <c r="L14" s="18">
        <f t="shared" si="4"/>
        <v>600</v>
      </c>
      <c r="M14" s="18">
        <f t="shared" si="2"/>
        <v>4800</v>
      </c>
      <c r="N14" s="18">
        <f t="shared" si="2"/>
        <v>0</v>
      </c>
    </row>
    <row r="15" spans="2:14" x14ac:dyDescent="0.25">
      <c r="C15" s="17" t="s">
        <v>104</v>
      </c>
      <c r="D15" s="18">
        <f>SUM(Calcs!D16:H16)</f>
        <v>4000</v>
      </c>
      <c r="F15" s="78">
        <v>0.6</v>
      </c>
      <c r="G15" s="78">
        <v>0.4</v>
      </c>
      <c r="H15" s="37">
        <f t="shared" si="1"/>
        <v>0</v>
      </c>
      <c r="I15" s="37">
        <v>0</v>
      </c>
      <c r="K15" s="18">
        <f t="shared" si="3"/>
        <v>2400</v>
      </c>
      <c r="L15" s="18">
        <f t="shared" si="4"/>
        <v>1600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13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14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33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77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76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 t="shared" ref="M23:N33" si="7">H23*$D23</f>
        <v>0</v>
      </c>
      <c r="N23" s="16">
        <f t="shared" si="7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IF(H9=0, 0,(1-G24)*H9/SUM(F9,H9))</f>
        <v>0</v>
      </c>
      <c r="I24" s="36">
        <f t="shared" ref="I24:I33" si="10">IF(I9=0, 0,(1-G24)*I9/SUM(F9,I9))</f>
        <v>0</v>
      </c>
      <c r="K24" s="29">
        <f t="shared" ref="K24:K33" si="11">F24*$D24</f>
        <v>0</v>
      </c>
      <c r="L24" s="29">
        <f t="shared" si="6"/>
        <v>0</v>
      </c>
      <c r="M24" s="29">
        <f t="shared" si="7"/>
        <v>0</v>
      </c>
      <c r="N24" s="29">
        <f t="shared" si="7"/>
        <v>0</v>
      </c>
    </row>
    <row r="25" spans="2:14" x14ac:dyDescent="0.25">
      <c r="C25" s="17" t="s">
        <v>31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I25" s="37">
        <f t="shared" si="10"/>
        <v>0</v>
      </c>
      <c r="K25" s="18">
        <f t="shared" si="11"/>
        <v>0</v>
      </c>
      <c r="L25" s="18">
        <f t="shared" si="6"/>
        <v>0</v>
      </c>
      <c r="M25" s="18">
        <f t="shared" si="7"/>
        <v>0</v>
      </c>
      <c r="N25" s="18">
        <f t="shared" si="7"/>
        <v>0</v>
      </c>
    </row>
    <row r="26" spans="2:14" x14ac:dyDescent="0.25">
      <c r="C26" s="17" t="s">
        <v>10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10"/>
        <v>8.1818181818181804E-2</v>
      </c>
      <c r="K26" s="18">
        <f t="shared" si="11"/>
        <v>0</v>
      </c>
      <c r="L26" s="18">
        <f t="shared" si="6"/>
        <v>0</v>
      </c>
      <c r="M26" s="18">
        <f t="shared" si="7"/>
        <v>0</v>
      </c>
      <c r="N26" s="18">
        <f t="shared" si="7"/>
        <v>0</v>
      </c>
    </row>
    <row r="27" spans="2:14" x14ac:dyDescent="0.25">
      <c r="C27" s="17" t="s">
        <v>32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I27" s="37">
        <f t="shared" si="10"/>
        <v>0</v>
      </c>
      <c r="K27" s="18">
        <f t="shared" si="11"/>
        <v>0</v>
      </c>
      <c r="L27" s="18">
        <f t="shared" si="6"/>
        <v>0</v>
      </c>
      <c r="M27" s="18">
        <f t="shared" si="7"/>
        <v>0</v>
      </c>
      <c r="N27" s="18">
        <f t="shared" si="7"/>
        <v>0</v>
      </c>
    </row>
    <row r="28" spans="2:14" x14ac:dyDescent="0.25">
      <c r="C28" s="17" t="s">
        <v>11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I28" s="37">
        <f t="shared" si="10"/>
        <v>0</v>
      </c>
      <c r="K28" s="18">
        <f t="shared" si="11"/>
        <v>0</v>
      </c>
      <c r="L28" s="18">
        <f t="shared" si="6"/>
        <v>0</v>
      </c>
      <c r="M28" s="18">
        <f t="shared" si="7"/>
        <v>0</v>
      </c>
      <c r="N28" s="18">
        <f t="shared" si="7"/>
        <v>0</v>
      </c>
    </row>
    <row r="29" spans="2:14" x14ac:dyDescent="0.25">
      <c r="C29" s="17" t="s">
        <v>12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 t="shared" si="9"/>
        <v>0.71111111111111125</v>
      </c>
      <c r="I29" s="37">
        <f t="shared" si="10"/>
        <v>0</v>
      </c>
      <c r="K29" s="18">
        <f t="shared" si="11"/>
        <v>0</v>
      </c>
      <c r="L29" s="18">
        <f t="shared" si="6"/>
        <v>0</v>
      </c>
      <c r="M29" s="18">
        <f t="shared" si="7"/>
        <v>0</v>
      </c>
      <c r="N29" s="18">
        <f t="shared" si="7"/>
        <v>0</v>
      </c>
    </row>
    <row r="30" spans="2:14" x14ac:dyDescent="0.25">
      <c r="C30" s="17" t="s">
        <v>104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I30" s="37">
        <f t="shared" si="10"/>
        <v>0</v>
      </c>
      <c r="K30" s="18">
        <f t="shared" si="11"/>
        <v>0</v>
      </c>
      <c r="L30" s="18">
        <f t="shared" si="6"/>
        <v>0</v>
      </c>
      <c r="M30" s="18">
        <f t="shared" si="7"/>
        <v>0</v>
      </c>
      <c r="N30" s="18">
        <f t="shared" si="7"/>
        <v>0</v>
      </c>
    </row>
    <row r="31" spans="2:14" x14ac:dyDescent="0.25">
      <c r="C31" s="19" t="s">
        <v>13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I31" s="38">
        <f t="shared" si="10"/>
        <v>0</v>
      </c>
      <c r="K31" s="20">
        <f t="shared" si="11"/>
        <v>0</v>
      </c>
      <c r="L31" s="20">
        <f t="shared" si="6"/>
        <v>0</v>
      </c>
      <c r="M31" s="20">
        <f t="shared" si="7"/>
        <v>0</v>
      </c>
      <c r="N31" s="20">
        <f t="shared" si="7"/>
        <v>0</v>
      </c>
    </row>
    <row r="32" spans="2:14" x14ac:dyDescent="0.25">
      <c r="C32" s="19" t="s">
        <v>14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I32" s="38">
        <f t="shared" si="10"/>
        <v>0</v>
      </c>
      <c r="K32" s="20">
        <f t="shared" si="11"/>
        <v>0</v>
      </c>
      <c r="L32" s="20">
        <f t="shared" si="6"/>
        <v>0</v>
      </c>
      <c r="M32" s="20">
        <f t="shared" si="7"/>
        <v>0</v>
      </c>
      <c r="N32" s="20">
        <f t="shared" si="7"/>
        <v>0</v>
      </c>
    </row>
    <row r="33" spans="2:14" x14ac:dyDescent="0.25">
      <c r="C33" s="28" t="s">
        <v>33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I33" s="36">
        <f t="shared" si="10"/>
        <v>0</v>
      </c>
      <c r="K33" s="29">
        <f t="shared" si="11"/>
        <v>0</v>
      </c>
      <c r="L33" s="29">
        <f t="shared" si="6"/>
        <v>0</v>
      </c>
      <c r="M33" s="29">
        <f t="shared" si="7"/>
        <v>0</v>
      </c>
      <c r="N33" s="29">
        <f t="shared" si="7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68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16</v>
      </c>
      <c r="D36" s="18">
        <f>SUM(Calcs!D73:H73)</f>
        <v>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17</v>
      </c>
      <c r="D37" s="18">
        <f>SUM(Calcs!D74:H74)</f>
        <v>14000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12600</v>
      </c>
      <c r="L37" s="18">
        <f t="shared" si="12"/>
        <v>1400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18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19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78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16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 t="shared" ref="M42:N45" si="15">H42*$D42</f>
        <v>0</v>
      </c>
      <c r="N42" s="29">
        <f t="shared" si="15"/>
        <v>0</v>
      </c>
    </row>
    <row r="43" spans="2:14" x14ac:dyDescent="0.25">
      <c r="C43" s="17" t="s">
        <v>17</v>
      </c>
      <c r="D43" s="18">
        <f>SUM(Calcs!D80:H80)</f>
        <v>0</v>
      </c>
      <c r="F43" s="30">
        <f>IFERROR((1-G43)*F37/SUM(F37,H37),0)</f>
        <v>0.8</v>
      </c>
      <c r="G43" s="30">
        <f t="shared" ref="G43:G45" si="16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si="15"/>
        <v>0</v>
      </c>
      <c r="N43" s="18">
        <f t="shared" si="15"/>
        <v>0</v>
      </c>
    </row>
    <row r="44" spans="2:14" x14ac:dyDescent="0.25">
      <c r="C44" s="19" t="s">
        <v>18</v>
      </c>
      <c r="D44" s="20">
        <f>SUM(Calcs!D81:H81)</f>
        <v>0</v>
      </c>
      <c r="F44" s="31">
        <f>IFERROR((1-G44)*F38/SUM(F38,H38),0)</f>
        <v>0</v>
      </c>
      <c r="G44" s="31">
        <f t="shared" si="16"/>
        <v>1</v>
      </c>
      <c r="H44" s="31">
        <f>IFERROR((1-G44)*H38/SUM(F38,H38),0)</f>
        <v>0</v>
      </c>
      <c r="I44" s="31">
        <v>0</v>
      </c>
      <c r="K44" s="20">
        <f t="shared" ref="K44:K45" si="17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19</v>
      </c>
      <c r="D45" s="20">
        <f>SUM(Calcs!D82:H82)</f>
        <v>0</v>
      </c>
      <c r="F45" s="31">
        <f>IFERROR((1-G45)*F39/SUM(F39,H39),0)</f>
        <v>0</v>
      </c>
      <c r="G45" s="31">
        <f t="shared" si="16"/>
        <v>1</v>
      </c>
      <c r="H45" s="31">
        <f>IFERROR((1-G45)*H39/SUM(F39,H39),0)</f>
        <v>0</v>
      </c>
      <c r="I45" s="31">
        <v>0</v>
      </c>
      <c r="K45" s="20">
        <f t="shared" si="17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58</v>
      </c>
      <c r="K47" s="9"/>
      <c r="L47" s="9"/>
      <c r="M47" s="9"/>
    </row>
    <row r="48" spans="2:14" x14ac:dyDescent="0.25">
      <c r="C48" t="s">
        <v>59</v>
      </c>
      <c r="D48" s="1">
        <f>SUM(Outputs_External!D26:'Outputs_External'!H26)</f>
        <v>0</v>
      </c>
      <c r="F48" s="8">
        <f>IFERROR(SUM(K59:K62)/SUM($K$59:$M$62), 0)</f>
        <v>0.59922896413007032</v>
      </c>
      <c r="G48" s="8">
        <f>IFERROR(SUM(L59:L62)/SUM($K$59:$M$62), 0)</f>
        <v>0.2550564308861325</v>
      </c>
      <c r="H48" s="8">
        <f>IFERROR(SUM(M59:M62)/SUM($K$59:$M$62), 0)</f>
        <v>0.14571460498379707</v>
      </c>
      <c r="I48" s="8">
        <f>IFERROR(SUM(N59:N62)/SUM($K$59:$M$62), 0)</f>
        <v>1.2142883748649755E-2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52</v>
      </c>
      <c r="D49" s="1">
        <f>SUM(Outputs_External!D27:'Outputs_External'!H27)</f>
        <v>0</v>
      </c>
      <c r="F49" s="3">
        <f>IFERROR(SUM(K8:K48)/SUM($K8:$N48), 0)</f>
        <v>0.49041095890410957</v>
      </c>
      <c r="G49" s="3">
        <f>IFERROR(SUM(L8:L48)/SUM($K8:$N48), 0)</f>
        <v>0.41461187214611872</v>
      </c>
      <c r="H49" s="3">
        <f>IFERROR(SUM(M8:M48)/SUM($K8:$N48), 0)</f>
        <v>8.7671232876712329E-2</v>
      </c>
      <c r="I49" s="3">
        <f>1-F49-G49-H49</f>
        <v>7.305936073059377E-3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102</v>
      </c>
      <c r="D50" s="1">
        <f>SUM(Outputs_External!D28:H28)</f>
        <v>0</v>
      </c>
      <c r="F50" s="3">
        <f>IFERROR(SUM(K8:K48)/SUM($K$8:$N48), 0)</f>
        <v>0.49041095890410957</v>
      </c>
      <c r="G50" s="3">
        <f>IFERROR(SUM(L8:L48)/SUM($K$8:$N48), 0)</f>
        <v>0.41461187214611872</v>
      </c>
      <c r="H50" s="3">
        <f>IFERROR(SUM(M8:M48)/SUM($K$8:$N48), 0)</f>
        <v>8.7671232876712329E-2</v>
      </c>
      <c r="I50" s="3">
        <f>1-F50-G50-H50</f>
        <v>7.305936073059377E-3</v>
      </c>
      <c r="K50" s="80">
        <f>F50*$D$50</f>
        <v>0</v>
      </c>
      <c r="L50" s="80">
        <f>G50*$D$50</f>
        <v>0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60</v>
      </c>
      <c r="D52" s="1">
        <f>SUM(Outputs_External!D30:'Outputs_External'!H30)</f>
        <v>54750</v>
      </c>
      <c r="K52" s="12">
        <f>SUM(K48:K50, K36:K39, K8:K18,K23:K33,K42:K45)</f>
        <v>26850</v>
      </c>
      <c r="L52" s="12">
        <f>SUM(L48:L50, L36:L39, L8:L18,L23:L33,L42:L45)</f>
        <v>22700</v>
      </c>
      <c r="M52" s="12">
        <f>SUM(M48:M50, M36:M39, M8:M18,M23:M33,M42:M45)</f>
        <v>4800</v>
      </c>
      <c r="N52" s="12">
        <f>SUM(N48:N50, N36:N39, N8:N18,N23:N33,N42:N45)</f>
        <v>400</v>
      </c>
    </row>
    <row r="53" spans="2:14" x14ac:dyDescent="0.25">
      <c r="C53" s="21" t="s">
        <v>79</v>
      </c>
      <c r="D53" s="23">
        <f>SUM(K52:N52)</f>
        <v>54750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93</v>
      </c>
      <c r="D55" s="1">
        <f>SUM(Outputs_Timeline!S:S)</f>
        <v>169250</v>
      </c>
      <c r="K55" s="12">
        <f>SUM(Outputs_Timeline!T:T)</f>
        <v>83050</v>
      </c>
      <c r="L55" s="12">
        <f>SUM(Outputs_Timeline!U:U)</f>
        <v>70600</v>
      </c>
      <c r="M55" s="12">
        <f>SUM(Outputs_Timeline!V:V)</f>
        <v>14400</v>
      </c>
      <c r="N55" s="12">
        <f>SUM(Outputs_Timeline!W:W)</f>
        <v>1200</v>
      </c>
    </row>
    <row r="56" spans="2:14" x14ac:dyDescent="0.25">
      <c r="D56" s="1"/>
      <c r="K56" s="54">
        <f>IFERROR(K55/$D$55, 0)</f>
        <v>0.49069423929098965</v>
      </c>
      <c r="L56" s="54">
        <f>IFERROR(L55/$D$55, 0)</f>
        <v>0.41713441654357458</v>
      </c>
      <c r="M56" s="54">
        <f>IFERROR(M55/$D$55, 0)</f>
        <v>8.5081240768094535E-2</v>
      </c>
      <c r="N56" s="54">
        <f>IFERROR(N55/$D$55, 0)</f>
        <v>7.0901033973412115E-3</v>
      </c>
    </row>
    <row r="58" spans="2:14" x14ac:dyDescent="0.25">
      <c r="K58" s="9"/>
      <c r="L58" s="9"/>
      <c r="M58" s="9"/>
    </row>
    <row r="59" spans="2:14" x14ac:dyDescent="0.25">
      <c r="B59" s="27" t="s">
        <v>74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16</v>
      </c>
      <c r="D60" s="23">
        <f>SUM(Calcs!D61:H61)+SUM(Calcs!D67:H67)</f>
        <v>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 t="shared" ref="K60:N63" si="18">F60*$D60</f>
        <v>0</v>
      </c>
      <c r="L60" s="25">
        <f t="shared" si="18"/>
        <v>0</v>
      </c>
      <c r="M60" s="25">
        <f t="shared" si="18"/>
        <v>0</v>
      </c>
      <c r="N60" s="25">
        <f t="shared" si="18"/>
        <v>0</v>
      </c>
    </row>
    <row r="61" spans="2:14" x14ac:dyDescent="0.25">
      <c r="B61" s="27"/>
      <c r="C61" s="21" t="s">
        <v>17</v>
      </c>
      <c r="D61" s="23">
        <f>SUM(Calcs!D62:H62)+SUM(Calcs!D68:H68)</f>
        <v>33000</v>
      </c>
      <c r="E61" s="21"/>
      <c r="F61" s="24">
        <f>IFERROR(SUM(K$37,K$10:K$15,K$43,K$25:K$30)/SUM($K$37:$M$37,$K$10:$M$15,$K$43:$M$43,$K$25:$M$30),0)</f>
        <v>0.59815950920245398</v>
      </c>
      <c r="G61" s="24">
        <f t="shared" ref="G61" si="19">IFERROR(SUM(L$37,L$10:L$15,L$43,L$25:L$30)/SUM($K$37:$M$37,$K$10:$M$15,$K$43:$M$43,$K$25:$M$30),0)</f>
        <v>0.254601226993865</v>
      </c>
      <c r="H61" s="24">
        <f>IFERROR(SUM(M$37,M$10:M$15,M$43,M$25:M$30)/SUM($K$37:$N$37,$K$10:$N$15,$K$43:$N$43,$K$25:$N$30),0)</f>
        <v>0.14545454545454545</v>
      </c>
      <c r="I61" s="24">
        <f>IFERROR(SUM(N$37,N$10:N$15,N$43,N$25:N$30)/SUM($K$37:$N$37,$K$10:$N$15,$K$43:$N$43,$K$25:$N$30),0)</f>
        <v>1.2121212121212121E-2</v>
      </c>
      <c r="J61" s="21"/>
      <c r="K61" s="25">
        <f t="shared" si="18"/>
        <v>19739.26380368098</v>
      </c>
      <c r="L61" s="25">
        <f t="shared" si="18"/>
        <v>8401.8404907975455</v>
      </c>
      <c r="M61" s="25">
        <f t="shared" si="18"/>
        <v>4800</v>
      </c>
      <c r="N61" s="25">
        <f t="shared" si="18"/>
        <v>400</v>
      </c>
    </row>
    <row r="62" spans="2:14" x14ac:dyDescent="0.25">
      <c r="B62" s="27"/>
      <c r="C62" s="21" t="s">
        <v>18</v>
      </c>
      <c r="D62" s="23">
        <f>SUM(Calcs!D63:H63)+SUM(Calcs!D69:H69)</f>
        <v>0</v>
      </c>
      <c r="E62" s="21"/>
      <c r="F62" s="24">
        <f>IFERROR(SUM(K39,K17:K19,K45,K32:K34)/SUM($K$38:$M$38,$K$16:$M$18,$K$44:$M$44,$K$31:$M$33),0)</f>
        <v>0</v>
      </c>
      <c r="G62" s="24">
        <f>IFERROR(SUM(L39,L17:L19,L45,L32:L34)/SUM($K$38:$M$38,$K$16:$M$18,$K$44:$M$44,$K$31:$M$33),0)</f>
        <v>0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 t="shared" si="18"/>
        <v>0</v>
      </c>
      <c r="L62" s="25">
        <f t="shared" si="18"/>
        <v>0</v>
      </c>
      <c r="M62" s="25">
        <f t="shared" si="18"/>
        <v>0</v>
      </c>
      <c r="N62" s="25">
        <f t="shared" si="18"/>
        <v>0</v>
      </c>
    </row>
    <row r="63" spans="2:14" x14ac:dyDescent="0.25">
      <c r="B63" s="27"/>
      <c r="C63" s="21" t="s">
        <v>19</v>
      </c>
      <c r="D63" s="23">
        <f>SUM(Calcs!D64:H64)+SUM(Calcs!D70:H70)</f>
        <v>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 t="shared" si="18"/>
        <v>0</v>
      </c>
      <c r="L63" s="25">
        <f t="shared" si="18"/>
        <v>0</v>
      </c>
      <c r="M63" s="25">
        <f t="shared" si="18"/>
        <v>0</v>
      </c>
      <c r="N63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9" sqref="P9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85</v>
      </c>
      <c r="I1" s="63"/>
      <c r="J1" s="63"/>
      <c r="K1" s="63"/>
      <c r="M1" s="63" t="s">
        <v>90</v>
      </c>
      <c r="N1" s="63"/>
      <c r="O1" s="63"/>
      <c r="P1" s="63"/>
      <c r="Q1" s="63"/>
      <c r="S1" s="63" t="s">
        <v>92</v>
      </c>
      <c r="T1" s="63"/>
      <c r="U1" s="63"/>
      <c r="V1" s="63"/>
      <c r="W1" s="63"/>
    </row>
    <row r="2" spans="2:23" x14ac:dyDescent="0.25">
      <c r="B2" s="61" t="s">
        <v>84</v>
      </c>
      <c r="C2" s="61"/>
      <c r="D2" s="61" t="s">
        <v>89</v>
      </c>
      <c r="E2" s="61" t="s">
        <v>94</v>
      </c>
      <c r="F2" s="61" t="s">
        <v>91</v>
      </c>
      <c r="G2" s="61"/>
      <c r="H2" s="64" t="s">
        <v>86</v>
      </c>
      <c r="I2" s="64" t="s">
        <v>87</v>
      </c>
      <c r="J2" s="64" t="s">
        <v>62</v>
      </c>
      <c r="K2" s="64" t="s">
        <v>88</v>
      </c>
      <c r="M2" s="64" t="s">
        <v>86</v>
      </c>
      <c r="N2" s="64" t="s">
        <v>87</v>
      </c>
      <c r="O2" s="64" t="s">
        <v>62</v>
      </c>
      <c r="P2" s="64" t="s">
        <v>105</v>
      </c>
      <c r="Q2" s="64" t="s">
        <v>106</v>
      </c>
      <c r="S2" s="64" t="s">
        <v>86</v>
      </c>
      <c r="T2" s="64" t="s">
        <v>87</v>
      </c>
      <c r="U2" s="64" t="s">
        <v>62</v>
      </c>
      <c r="V2" s="64" t="s">
        <v>105</v>
      </c>
      <c r="W2" s="64" t="s">
        <v>106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$F3*Outputs_Internal!M$52/12</f>
        <v>0</v>
      </c>
      <c r="Q3" s="65">
        <f>$F3*Outputs_Internal!N$52/12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$F4*Outputs_Internal!M$52/12</f>
        <v>0</v>
      </c>
      <c r="Q4" s="65">
        <f>$F4*Outputs_Internal!N$52/12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$F5*Outputs_Internal!M$52/12</f>
        <v>0</v>
      </c>
      <c r="Q5" s="65">
        <f>$F5*Outputs_Internal!N$52/12</f>
        <v>0</v>
      </c>
      <c r="S5" s="65">
        <f>IF(MOD(MONTH($B5),3)=0,SUM(H3:H5,M3:M5),0)</f>
        <v>0</v>
      </c>
      <c r="T5" s="65">
        <f t="shared" ref="T5:U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0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0</v>
      </c>
      <c r="N6" s="65">
        <f>$F6*Outputs_Internal!K$52/12</f>
        <v>0</v>
      </c>
      <c r="O6" s="65">
        <f>$F6*Outputs_Internal!L$52/12</f>
        <v>0</v>
      </c>
      <c r="P6" s="65">
        <f>$F6*Outputs_Internal!M$52/12</f>
        <v>0</v>
      </c>
      <c r="Q6" s="65">
        <f>$F6*Outputs_Internal!N$52/12</f>
        <v>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0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0</v>
      </c>
      <c r="N7" s="65">
        <f>$F7*Outputs_Internal!K$52/12</f>
        <v>0</v>
      </c>
      <c r="O7" s="65">
        <f>$F7*Outputs_Internal!L$52/12</f>
        <v>0</v>
      </c>
      <c r="P7" s="65">
        <f>$F7*Outputs_Internal!M$52/12</f>
        <v>0</v>
      </c>
      <c r="Q7" s="65">
        <f>$F7*Outputs_Internal!N$52/12</f>
        <v>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0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0</v>
      </c>
      <c r="N8" s="65">
        <f>$F8*Outputs_Internal!K$52/12</f>
        <v>0</v>
      </c>
      <c r="O8" s="65">
        <f>$F8*Outputs_Internal!L$52/12</f>
        <v>0</v>
      </c>
      <c r="P8" s="65">
        <f>$F8*Outputs_Internal!M$52/12</f>
        <v>0</v>
      </c>
      <c r="Q8" s="65">
        <f>$F8*Outputs_Internal!N$52/12</f>
        <v>0</v>
      </c>
      <c r="S8" s="65">
        <f t="shared" si="2"/>
        <v>0</v>
      </c>
      <c r="T8" s="65">
        <f t="shared" si="3"/>
        <v>0</v>
      </c>
      <c r="U8" s="65">
        <f t="shared" si="4"/>
        <v>0</v>
      </c>
      <c r="V8" s="65">
        <f t="shared" si="4"/>
        <v>0</v>
      </c>
      <c r="W8" s="65">
        <f t="shared" si="4"/>
        <v>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0</v>
      </c>
      <c r="H9" s="65">
        <f>IF($B9=Inputs!$C$1,SUM(Outputs_Internal!$D$4, Outputs_Internal!$D$5),0)*$D9</f>
        <v>0</v>
      </c>
      <c r="I9" s="65">
        <f>IF($B9=Inputs!$C$1,SUM(Outputs_Internal!K$4, Outputs_Internal!K$5),0)*$D9</f>
        <v>0</v>
      </c>
      <c r="J9" s="65">
        <f>IF($B9=Inputs!$C$1,SUM(Outputs_Internal!L$4, Outputs_Internal!L$5),0)*$D9</f>
        <v>0</v>
      </c>
      <c r="K9" s="65">
        <f>IF($B9=Inputs!$C$1,SUM(Outputs_Internal!M$4, Outputs_Internal!$M$5),0)*$D9</f>
        <v>0</v>
      </c>
      <c r="M9" s="65">
        <f>$F9*Outputs_Internal!$D$52/12</f>
        <v>0</v>
      </c>
      <c r="N9" s="65">
        <f>$F9*Outputs_Internal!K$52/12</f>
        <v>0</v>
      </c>
      <c r="O9" s="65">
        <f>$F9*Outputs_Internal!L$52/12</f>
        <v>0</v>
      </c>
      <c r="P9" s="65">
        <f>$F9*Outputs_Internal!M$52/12</f>
        <v>0</v>
      </c>
      <c r="Q9" s="65">
        <f>$F9*Outputs_Internal!N$52/12</f>
        <v>0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0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0</v>
      </c>
      <c r="N10" s="65">
        <f>$F10*Outputs_Internal!K$52/12</f>
        <v>0</v>
      </c>
      <c r="O10" s="65">
        <f>$F10*Outputs_Internal!L$52/12</f>
        <v>0</v>
      </c>
      <c r="P10" s="65">
        <f>$F10*Outputs_Internal!M$52/12</f>
        <v>0</v>
      </c>
      <c r="Q10" s="65">
        <f>$F10*Outputs_Internal!N$52/12</f>
        <v>0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0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0</v>
      </c>
      <c r="N11" s="65">
        <f>$F11*Outputs_Internal!K$52/12</f>
        <v>0</v>
      </c>
      <c r="O11" s="65">
        <f>$F11*Outputs_Internal!L$52/12</f>
        <v>0</v>
      </c>
      <c r="P11" s="65">
        <f>$F11*Outputs_Internal!M$52/12</f>
        <v>0</v>
      </c>
      <c r="Q11" s="65">
        <f>$F11*Outputs_Internal!N$52/12</f>
        <v>0</v>
      </c>
      <c r="S11" s="65">
        <f t="shared" si="2"/>
        <v>0</v>
      </c>
      <c r="T11" s="65">
        <f t="shared" si="3"/>
        <v>0</v>
      </c>
      <c r="U11" s="65">
        <f>IF(MOD(MONTH($B11),3)=0,SUM(J9:J11,O9:O11),0)</f>
        <v>0</v>
      </c>
      <c r="V11" s="65">
        <f t="shared" si="4"/>
        <v>0</v>
      </c>
      <c r="W11" s="65">
        <f t="shared" si="4"/>
        <v>0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5000</v>
      </c>
      <c r="I12" s="65">
        <f>IF($B12=Inputs!$C$1,SUM(Outputs_Internal!K$4, Outputs_Internal!K$5),0)*$D12</f>
        <v>2500</v>
      </c>
      <c r="J12" s="65">
        <f>IF($B12=Inputs!$C$1,SUM(Outputs_Internal!L$4, Outputs_Internal!L$5),0)*$D12</f>
        <v>2500</v>
      </c>
      <c r="K12" s="65">
        <f>IF($B12=Inputs!$C$1,SUM(Outputs_Internal!M$4, Outputs_Internal!$M$5),0)*$D12</f>
        <v>0</v>
      </c>
      <c r="M12" s="65">
        <f>$F12*Outputs_Internal!$D$52/12</f>
        <v>4562.5</v>
      </c>
      <c r="N12" s="65">
        <f>$F12*Outputs_Internal!K$52/12</f>
        <v>2237.5</v>
      </c>
      <c r="O12" s="65">
        <f>$F12*Outputs_Internal!L$52/12</f>
        <v>1891.6666666666667</v>
      </c>
      <c r="P12" s="65">
        <f>$F12*Outputs_Internal!M$52/12</f>
        <v>400</v>
      </c>
      <c r="Q12" s="65">
        <f>$F12*Outputs_Internal!N$52/12</f>
        <v>33.333333333333336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4562.5</v>
      </c>
      <c r="N13" s="65">
        <f>$F13*Outputs_Internal!K$52/12</f>
        <v>2237.5</v>
      </c>
      <c r="O13" s="65">
        <f>$F13*Outputs_Internal!L$52/12</f>
        <v>1891.6666666666667</v>
      </c>
      <c r="P13" s="65">
        <f>$F13*Outputs_Internal!M$52/12</f>
        <v>400</v>
      </c>
      <c r="Q13" s="65">
        <f>$F13*Outputs_Internal!N$52/12</f>
        <v>33.333333333333336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4562.5</v>
      </c>
      <c r="N14" s="65">
        <f>$F14*Outputs_Internal!K$52/12</f>
        <v>2237.5</v>
      </c>
      <c r="O14" s="65">
        <f>$F14*Outputs_Internal!L$52/12</f>
        <v>1891.6666666666667</v>
      </c>
      <c r="P14" s="65">
        <f>$F14*Outputs_Internal!M$52/12</f>
        <v>400</v>
      </c>
      <c r="Q14" s="65">
        <f>$F14*Outputs_Internal!N$52/12</f>
        <v>33.333333333333336</v>
      </c>
      <c r="S14" s="65">
        <f t="shared" si="2"/>
        <v>18687.5</v>
      </c>
      <c r="T14" s="65">
        <f t="shared" si="3"/>
        <v>9212.5</v>
      </c>
      <c r="U14" s="65">
        <f t="shared" si="4"/>
        <v>8175.0000000000009</v>
      </c>
      <c r="V14" s="65">
        <f t="shared" si="4"/>
        <v>1200</v>
      </c>
      <c r="W14" s="65">
        <f t="shared" si="4"/>
        <v>100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4562.5</v>
      </c>
      <c r="N15" s="65">
        <f>$F15*Outputs_Internal!K$52/12</f>
        <v>2237.5</v>
      </c>
      <c r="O15" s="65">
        <f>$F15*Outputs_Internal!L$52/12</f>
        <v>1891.6666666666667</v>
      </c>
      <c r="P15" s="65">
        <f>$F15*Outputs_Internal!M$52/12</f>
        <v>400</v>
      </c>
      <c r="Q15" s="65">
        <f>$F15*Outputs_Internal!N$52/12</f>
        <v>33.333333333333336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4562.5</v>
      </c>
      <c r="N16" s="65">
        <f>$F16*Outputs_Internal!K$52/12</f>
        <v>2237.5</v>
      </c>
      <c r="O16" s="65">
        <f>$F16*Outputs_Internal!L$52/12</f>
        <v>1891.6666666666667</v>
      </c>
      <c r="P16" s="65">
        <f>$F16*Outputs_Internal!M$52/12</f>
        <v>400</v>
      </c>
      <c r="Q16" s="65">
        <f>$F16*Outputs_Internal!N$52/12</f>
        <v>33.333333333333336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4562.5</v>
      </c>
      <c r="N17" s="65">
        <f>$F17*Outputs_Internal!K$52/12</f>
        <v>2237.5</v>
      </c>
      <c r="O17" s="65">
        <f>$F17*Outputs_Internal!L$52/12</f>
        <v>1891.6666666666667</v>
      </c>
      <c r="P17" s="65">
        <f>$F17*Outputs_Internal!M$52/12</f>
        <v>400</v>
      </c>
      <c r="Q17" s="65">
        <f>$F17*Outputs_Internal!N$52/12</f>
        <v>33.333333333333336</v>
      </c>
      <c r="S17" s="65">
        <f t="shared" si="2"/>
        <v>13687.5</v>
      </c>
      <c r="T17" s="65">
        <f t="shared" si="3"/>
        <v>6712.5</v>
      </c>
      <c r="U17" s="65">
        <f t="shared" si="4"/>
        <v>5675</v>
      </c>
      <c r="V17" s="65">
        <f t="shared" si="4"/>
        <v>1200</v>
      </c>
      <c r="W17" s="65">
        <f t="shared" si="4"/>
        <v>100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4562.5</v>
      </c>
      <c r="N18" s="65">
        <f>$F18*Outputs_Internal!K$52/12</f>
        <v>2237.5</v>
      </c>
      <c r="O18" s="65">
        <f>$F18*Outputs_Internal!L$52/12</f>
        <v>1891.6666666666667</v>
      </c>
      <c r="P18" s="65">
        <f>$F18*Outputs_Internal!M$52/12</f>
        <v>400</v>
      </c>
      <c r="Q18" s="65">
        <f>$F18*Outputs_Internal!N$52/12</f>
        <v>33.333333333333336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4562.5</v>
      </c>
      <c r="N19" s="65">
        <f>$F19*Outputs_Internal!K$52/12</f>
        <v>2237.5</v>
      </c>
      <c r="O19" s="65">
        <f>$F19*Outputs_Internal!L$52/12</f>
        <v>1891.6666666666667</v>
      </c>
      <c r="P19" s="65">
        <f>$F19*Outputs_Internal!M$52/12</f>
        <v>400</v>
      </c>
      <c r="Q19" s="65">
        <f>$F19*Outputs_Internal!N$52/12</f>
        <v>33.333333333333336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4562.5</v>
      </c>
      <c r="N20" s="65">
        <f>$F20*Outputs_Internal!K$52/12</f>
        <v>2237.5</v>
      </c>
      <c r="O20" s="65">
        <f>$F20*Outputs_Internal!L$52/12</f>
        <v>1891.6666666666667</v>
      </c>
      <c r="P20" s="65">
        <f>$F20*Outputs_Internal!M$52/12</f>
        <v>400</v>
      </c>
      <c r="Q20" s="65">
        <f>$F20*Outputs_Internal!N$52/12</f>
        <v>33.333333333333336</v>
      </c>
      <c r="S20" s="65">
        <f t="shared" si="2"/>
        <v>13687.5</v>
      </c>
      <c r="T20" s="65">
        <f t="shared" si="3"/>
        <v>6712.5</v>
      </c>
      <c r="U20" s="65">
        <f t="shared" si="4"/>
        <v>5675</v>
      </c>
      <c r="V20" s="65">
        <f t="shared" si="4"/>
        <v>1200</v>
      </c>
      <c r="W20" s="65">
        <f t="shared" si="4"/>
        <v>100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4562.5</v>
      </c>
      <c r="N21" s="65">
        <f>$F21*Outputs_Internal!K$52/12</f>
        <v>2237.5</v>
      </c>
      <c r="O21" s="65">
        <f>$F21*Outputs_Internal!L$52/12</f>
        <v>1891.6666666666667</v>
      </c>
      <c r="P21" s="65">
        <f>$F21*Outputs_Internal!M$52/12</f>
        <v>400</v>
      </c>
      <c r="Q21" s="65">
        <f>$F21*Outputs_Internal!N$52/12</f>
        <v>33.333333333333336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4562.5</v>
      </c>
      <c r="N22" s="65">
        <f>$F22*Outputs_Internal!K$52/12</f>
        <v>2237.5</v>
      </c>
      <c r="O22" s="65">
        <f>$F22*Outputs_Internal!L$52/12</f>
        <v>1891.6666666666667</v>
      </c>
      <c r="P22" s="65">
        <f>$F22*Outputs_Internal!M$52/12</f>
        <v>400</v>
      </c>
      <c r="Q22" s="65">
        <f>$F22*Outputs_Internal!N$52/12</f>
        <v>33.333333333333336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4562.5</v>
      </c>
      <c r="N23" s="65">
        <f>$F23*Outputs_Internal!K$52/12</f>
        <v>2237.5</v>
      </c>
      <c r="O23" s="65">
        <f>$F23*Outputs_Internal!L$52/12</f>
        <v>1891.6666666666667</v>
      </c>
      <c r="P23" s="65">
        <f>$F23*Outputs_Internal!M$52/12</f>
        <v>400</v>
      </c>
      <c r="Q23" s="65">
        <f>$F23*Outputs_Internal!N$52/12</f>
        <v>33.333333333333336</v>
      </c>
      <c r="S23" s="65">
        <f t="shared" si="2"/>
        <v>13687.5</v>
      </c>
      <c r="T23" s="65">
        <f t="shared" si="3"/>
        <v>6712.5</v>
      </c>
      <c r="U23" s="65">
        <f t="shared" si="4"/>
        <v>5675</v>
      </c>
      <c r="V23" s="65">
        <f t="shared" si="4"/>
        <v>1200</v>
      </c>
      <c r="W23" s="65">
        <f t="shared" si="4"/>
        <v>100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4562.5</v>
      </c>
      <c r="N24" s="65">
        <f>$F24*Outputs_Internal!K$52/12</f>
        <v>2237.5</v>
      </c>
      <c r="O24" s="65">
        <f>$F24*Outputs_Internal!L$52/12</f>
        <v>1891.6666666666667</v>
      </c>
      <c r="P24" s="65">
        <f>$F24*Outputs_Internal!M$52/12</f>
        <v>400</v>
      </c>
      <c r="Q24" s="65">
        <f>$F24*Outputs_Internal!N$52/12</f>
        <v>33.333333333333336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4562.5</v>
      </c>
      <c r="N25" s="65">
        <f>$F25*Outputs_Internal!K$52/12</f>
        <v>2237.5</v>
      </c>
      <c r="O25" s="65">
        <f>$F25*Outputs_Internal!L$52/12</f>
        <v>1891.6666666666667</v>
      </c>
      <c r="P25" s="65">
        <f>$F25*Outputs_Internal!M$52/12</f>
        <v>400</v>
      </c>
      <c r="Q25" s="65">
        <f>$F25*Outputs_Internal!N$52/12</f>
        <v>33.333333333333336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4562.5</v>
      </c>
      <c r="N26" s="65">
        <f>$F26*Outputs_Internal!K$52/12</f>
        <v>2237.5</v>
      </c>
      <c r="O26" s="65">
        <f>$F26*Outputs_Internal!L$52/12</f>
        <v>1891.6666666666667</v>
      </c>
      <c r="P26" s="65">
        <f>$F26*Outputs_Internal!M$52/12</f>
        <v>400</v>
      </c>
      <c r="Q26" s="65">
        <f>$F26*Outputs_Internal!N$52/12</f>
        <v>33.333333333333336</v>
      </c>
      <c r="S26" s="65">
        <f t="shared" si="2"/>
        <v>13687.5</v>
      </c>
      <c r="T26" s="65">
        <f t="shared" si="3"/>
        <v>6712.5</v>
      </c>
      <c r="U26" s="65">
        <f t="shared" si="4"/>
        <v>5675</v>
      </c>
      <c r="V26" s="65">
        <f t="shared" si="4"/>
        <v>1200</v>
      </c>
      <c r="W26" s="65">
        <f t="shared" si="4"/>
        <v>100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4562.5</v>
      </c>
      <c r="N27" s="65">
        <f>$F27*Outputs_Internal!K$52/12</f>
        <v>2237.5</v>
      </c>
      <c r="O27" s="65">
        <f>$F27*Outputs_Internal!L$52/12</f>
        <v>1891.6666666666667</v>
      </c>
      <c r="P27" s="65">
        <f>$F27*Outputs_Internal!M$52/12</f>
        <v>400</v>
      </c>
      <c r="Q27" s="65">
        <f>$F27*Outputs_Internal!N$52/12</f>
        <v>33.333333333333336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4562.5</v>
      </c>
      <c r="N28" s="65">
        <f>$F28*Outputs_Internal!K$52/12</f>
        <v>2237.5</v>
      </c>
      <c r="O28" s="65">
        <f>$F28*Outputs_Internal!L$52/12</f>
        <v>1891.6666666666667</v>
      </c>
      <c r="P28" s="65">
        <f>$F28*Outputs_Internal!M$52/12</f>
        <v>400</v>
      </c>
      <c r="Q28" s="65">
        <f>$F28*Outputs_Internal!N$52/12</f>
        <v>33.333333333333336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4562.5</v>
      </c>
      <c r="N29" s="65">
        <f>$F29*Outputs_Internal!K$52/12</f>
        <v>2237.5</v>
      </c>
      <c r="O29" s="65">
        <f>$F29*Outputs_Internal!L$52/12</f>
        <v>1891.6666666666667</v>
      </c>
      <c r="P29" s="65">
        <f>$F29*Outputs_Internal!M$52/12</f>
        <v>400</v>
      </c>
      <c r="Q29" s="65">
        <f>$F29*Outputs_Internal!N$52/12</f>
        <v>33.333333333333336</v>
      </c>
      <c r="S29" s="65">
        <f t="shared" si="2"/>
        <v>13687.5</v>
      </c>
      <c r="T29" s="65">
        <f t="shared" si="3"/>
        <v>6712.5</v>
      </c>
      <c r="U29" s="65">
        <f t="shared" si="4"/>
        <v>5675</v>
      </c>
      <c r="V29" s="65">
        <f t="shared" si="4"/>
        <v>1200</v>
      </c>
      <c r="W29" s="65">
        <f t="shared" si="4"/>
        <v>100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4562.5</v>
      </c>
      <c r="N30" s="65">
        <f>$F30*Outputs_Internal!K$52/12</f>
        <v>2237.5</v>
      </c>
      <c r="O30" s="65">
        <f>$F30*Outputs_Internal!L$52/12</f>
        <v>1891.6666666666667</v>
      </c>
      <c r="P30" s="65">
        <f>$F30*Outputs_Internal!M$52/12</f>
        <v>400</v>
      </c>
      <c r="Q30" s="65">
        <f>$F30*Outputs_Internal!N$52/12</f>
        <v>33.333333333333336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4562.5</v>
      </c>
      <c r="N31" s="65">
        <f>$F31*Outputs_Internal!K$52/12</f>
        <v>2237.5</v>
      </c>
      <c r="O31" s="65">
        <f>$F31*Outputs_Internal!L$52/12</f>
        <v>1891.6666666666667</v>
      </c>
      <c r="P31" s="65">
        <f>$F31*Outputs_Internal!M$52/12</f>
        <v>400</v>
      </c>
      <c r="Q31" s="65">
        <f>$F31*Outputs_Internal!N$52/12</f>
        <v>33.333333333333336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4562.5</v>
      </c>
      <c r="N32" s="65">
        <f>$F32*Outputs_Internal!K$52/12</f>
        <v>2237.5</v>
      </c>
      <c r="O32" s="65">
        <f>$F32*Outputs_Internal!L$52/12</f>
        <v>1891.6666666666667</v>
      </c>
      <c r="P32" s="65">
        <f>$F32*Outputs_Internal!M$52/12</f>
        <v>400</v>
      </c>
      <c r="Q32" s="65">
        <f>$F32*Outputs_Internal!N$52/12</f>
        <v>33.333333333333336</v>
      </c>
      <c r="S32" s="65">
        <f t="shared" si="2"/>
        <v>13687.5</v>
      </c>
      <c r="T32" s="65">
        <f t="shared" si="3"/>
        <v>6712.5</v>
      </c>
      <c r="U32" s="65">
        <f t="shared" si="4"/>
        <v>5675</v>
      </c>
      <c r="V32" s="65">
        <f t="shared" si="4"/>
        <v>1200</v>
      </c>
      <c r="W32" s="65">
        <f t="shared" si="4"/>
        <v>100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4562.5</v>
      </c>
      <c r="N33" s="65">
        <f>$F33*Outputs_Internal!K$52/12</f>
        <v>2237.5</v>
      </c>
      <c r="O33" s="65">
        <f>$F33*Outputs_Internal!L$52/12</f>
        <v>1891.6666666666667</v>
      </c>
      <c r="P33" s="65">
        <f>$F33*Outputs_Internal!M$52/12</f>
        <v>400</v>
      </c>
      <c r="Q33" s="65">
        <f>$F33*Outputs_Internal!N$52/12</f>
        <v>33.333333333333336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4562.5</v>
      </c>
      <c r="N34" s="65">
        <f>$F34*Outputs_Internal!K$52/12</f>
        <v>2237.5</v>
      </c>
      <c r="O34" s="65">
        <f>$F34*Outputs_Internal!L$52/12</f>
        <v>1891.6666666666667</v>
      </c>
      <c r="P34" s="65">
        <f>$F34*Outputs_Internal!M$52/12</f>
        <v>400</v>
      </c>
      <c r="Q34" s="65">
        <f>$F34*Outputs_Internal!N$52/12</f>
        <v>33.333333333333336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4562.5</v>
      </c>
      <c r="N35" s="65">
        <f>$F35*Outputs_Internal!K$52/12</f>
        <v>2237.5</v>
      </c>
      <c r="O35" s="65">
        <f>$F35*Outputs_Internal!L$52/12</f>
        <v>1891.6666666666667</v>
      </c>
      <c r="P35" s="65">
        <f>$F35*Outputs_Internal!M$52/12</f>
        <v>400</v>
      </c>
      <c r="Q35" s="65">
        <f>$F35*Outputs_Internal!N$52/12</f>
        <v>33.333333333333336</v>
      </c>
      <c r="S35" s="65">
        <f t="shared" si="2"/>
        <v>13687.5</v>
      </c>
      <c r="T35" s="65">
        <f t="shared" si="3"/>
        <v>6712.5</v>
      </c>
      <c r="U35" s="65">
        <f t="shared" si="4"/>
        <v>5675</v>
      </c>
      <c r="V35" s="65">
        <f t="shared" si="4"/>
        <v>1200</v>
      </c>
      <c r="W35" s="65">
        <f t="shared" si="4"/>
        <v>100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4562.5</v>
      </c>
      <c r="N36" s="65">
        <f>$F36*Outputs_Internal!K$52/12</f>
        <v>2237.5</v>
      </c>
      <c r="O36" s="65">
        <f>$F36*Outputs_Internal!L$52/12</f>
        <v>1891.6666666666667</v>
      </c>
      <c r="P36" s="65">
        <f>$F36*Outputs_Internal!M$52/12</f>
        <v>400</v>
      </c>
      <c r="Q36" s="65">
        <f>$F36*Outputs_Internal!N$52/12</f>
        <v>33.333333333333336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4562.5</v>
      </c>
      <c r="N37" s="65">
        <f>$F37*Outputs_Internal!K$52/12</f>
        <v>2237.5</v>
      </c>
      <c r="O37" s="65">
        <f>$F37*Outputs_Internal!L$52/12</f>
        <v>1891.6666666666667</v>
      </c>
      <c r="P37" s="65">
        <f>$F37*Outputs_Internal!M$52/12</f>
        <v>400</v>
      </c>
      <c r="Q37" s="65">
        <f>$F37*Outputs_Internal!N$52/12</f>
        <v>33.333333333333336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4562.5</v>
      </c>
      <c r="N38" s="65">
        <f>$F38*Outputs_Internal!K$52/12</f>
        <v>2237.5</v>
      </c>
      <c r="O38" s="65">
        <f>$F38*Outputs_Internal!L$52/12</f>
        <v>1891.6666666666667</v>
      </c>
      <c r="P38" s="65">
        <f>$F38*Outputs_Internal!M$52/12</f>
        <v>400</v>
      </c>
      <c r="Q38" s="65">
        <f>$F38*Outputs_Internal!N$52/12</f>
        <v>33.333333333333336</v>
      </c>
      <c r="S38" s="65">
        <f t="shared" si="2"/>
        <v>13687.5</v>
      </c>
      <c r="T38" s="65">
        <f t="shared" si="3"/>
        <v>6712.5</v>
      </c>
      <c r="U38" s="65">
        <f t="shared" si="4"/>
        <v>5675</v>
      </c>
      <c r="V38" s="65">
        <f t="shared" si="4"/>
        <v>1200</v>
      </c>
      <c r="W38" s="65">
        <f t="shared" si="4"/>
        <v>100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4562.5</v>
      </c>
      <c r="N39" s="65">
        <f>$F39*Outputs_Internal!K$52/12</f>
        <v>2237.5</v>
      </c>
      <c r="O39" s="65">
        <f>$F39*Outputs_Internal!L$52/12</f>
        <v>1891.6666666666667</v>
      </c>
      <c r="P39" s="65">
        <f>$F39*Outputs_Internal!M$52/12</f>
        <v>400</v>
      </c>
      <c r="Q39" s="65">
        <f>$F39*Outputs_Internal!N$52/12</f>
        <v>33.333333333333336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4562.5</v>
      </c>
      <c r="N40" s="65">
        <f>$F40*Outputs_Internal!K$52/12</f>
        <v>2237.5</v>
      </c>
      <c r="O40" s="65">
        <f>$F40*Outputs_Internal!L$52/12</f>
        <v>1891.6666666666667</v>
      </c>
      <c r="P40" s="65">
        <f>$F40*Outputs_Internal!M$52/12</f>
        <v>400</v>
      </c>
      <c r="Q40" s="65">
        <f>$F40*Outputs_Internal!N$52/12</f>
        <v>33.333333333333336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4562.5</v>
      </c>
      <c r="N41" s="65">
        <f>$F41*Outputs_Internal!K$52/12</f>
        <v>2237.5</v>
      </c>
      <c r="O41" s="65">
        <f>$F41*Outputs_Internal!L$52/12</f>
        <v>1891.6666666666667</v>
      </c>
      <c r="P41" s="65">
        <f>$F41*Outputs_Internal!M$52/12</f>
        <v>400</v>
      </c>
      <c r="Q41" s="65">
        <f>$F41*Outputs_Internal!N$52/12</f>
        <v>33.333333333333336</v>
      </c>
      <c r="S41" s="65">
        <f t="shared" si="2"/>
        <v>13687.5</v>
      </c>
      <c r="T41" s="65">
        <f t="shared" si="3"/>
        <v>6712.5</v>
      </c>
      <c r="U41" s="65">
        <f t="shared" si="4"/>
        <v>5675</v>
      </c>
      <c r="V41" s="65">
        <f t="shared" si="4"/>
        <v>1200</v>
      </c>
      <c r="W41" s="65">
        <f t="shared" si="4"/>
        <v>100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1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4562.5</v>
      </c>
      <c r="N42" s="65">
        <f>$F42*Outputs_Internal!K$52/12</f>
        <v>2237.5</v>
      </c>
      <c r="O42" s="65">
        <f>$F42*Outputs_Internal!L$52/12</f>
        <v>1891.6666666666667</v>
      </c>
      <c r="P42" s="65">
        <f>$F42*Outputs_Internal!M$52/12</f>
        <v>400</v>
      </c>
      <c r="Q42" s="65">
        <f>$F42*Outputs_Internal!N$52/12</f>
        <v>33.333333333333336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1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4562.5</v>
      </c>
      <c r="N43" s="65">
        <f>$F43*Outputs_Internal!K$52/12</f>
        <v>2237.5</v>
      </c>
      <c r="O43" s="65">
        <f>$F43*Outputs_Internal!L$52/12</f>
        <v>1891.6666666666667</v>
      </c>
      <c r="P43" s="65">
        <f>$F43*Outputs_Internal!M$52/12</f>
        <v>400</v>
      </c>
      <c r="Q43" s="65">
        <f>$F43*Outputs_Internal!N$52/12</f>
        <v>33.333333333333336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1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4562.5</v>
      </c>
      <c r="N44" s="65">
        <f>$F44*Outputs_Internal!K$52/12</f>
        <v>2237.5</v>
      </c>
      <c r="O44" s="65">
        <f>$F44*Outputs_Internal!L$52/12</f>
        <v>1891.6666666666667</v>
      </c>
      <c r="P44" s="65">
        <f>$F44*Outputs_Internal!M$52/12</f>
        <v>400</v>
      </c>
      <c r="Q44" s="65">
        <f>$F44*Outputs_Internal!N$52/12</f>
        <v>33.333333333333336</v>
      </c>
      <c r="S44" s="65">
        <f>IF(MOD(MONTH($B44),3)=0,SUM(H42:H44,M42:M44),0)</f>
        <v>13687.5</v>
      </c>
      <c r="T44" s="65">
        <f t="shared" si="3"/>
        <v>6712.5</v>
      </c>
      <c r="U44" s="65">
        <f t="shared" si="4"/>
        <v>5675</v>
      </c>
      <c r="V44" s="65">
        <f t="shared" si="4"/>
        <v>1200</v>
      </c>
      <c r="W44" s="65">
        <f t="shared" si="4"/>
        <v>100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1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4562.5</v>
      </c>
      <c r="N45" s="65">
        <f>$F45*Outputs_Internal!K$52/12</f>
        <v>2237.5</v>
      </c>
      <c r="O45" s="65">
        <f>$F45*Outputs_Internal!L$52/12</f>
        <v>1891.6666666666667</v>
      </c>
      <c r="P45" s="65">
        <f>$F45*Outputs_Internal!M$52/12</f>
        <v>400</v>
      </c>
      <c r="Q45" s="65">
        <f>$F45*Outputs_Internal!N$52/12</f>
        <v>33.333333333333336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1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4562.5</v>
      </c>
      <c r="N46" s="65">
        <f>$F46*Outputs_Internal!K$52/12</f>
        <v>2237.5</v>
      </c>
      <c r="O46" s="65">
        <f>$F46*Outputs_Internal!L$52/12</f>
        <v>1891.6666666666667</v>
      </c>
      <c r="P46" s="65">
        <f>$F46*Outputs_Internal!M$52/12</f>
        <v>400</v>
      </c>
      <c r="Q46" s="65">
        <f>$F46*Outputs_Internal!N$52/12</f>
        <v>33.333333333333336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1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4562.5</v>
      </c>
      <c r="N47" s="65">
        <f>$F47*Outputs_Internal!K$52/12</f>
        <v>2237.5</v>
      </c>
      <c r="O47" s="65">
        <f>$F47*Outputs_Internal!L$52/12</f>
        <v>1891.6666666666667</v>
      </c>
      <c r="P47" s="65">
        <f>$F47*Outputs_Internal!M$52/12</f>
        <v>400</v>
      </c>
      <c r="Q47" s="65">
        <f>$F47*Outputs_Internal!N$52/12</f>
        <v>33.333333333333336</v>
      </c>
      <c r="S47" s="65">
        <f t="shared" si="2"/>
        <v>13687.5</v>
      </c>
      <c r="T47" s="65">
        <f t="shared" si="3"/>
        <v>6712.5</v>
      </c>
      <c r="U47" s="65">
        <f t="shared" si="4"/>
        <v>5675</v>
      </c>
      <c r="V47" s="65">
        <f t="shared" si="4"/>
        <v>1200</v>
      </c>
      <c r="W47" s="65">
        <f t="shared" si="4"/>
        <v>100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$F48*Outputs_Internal!M$52/12</f>
        <v>0</v>
      </c>
      <c r="Q48" s="65">
        <f>$F48*Outputs_Internal!N$52/12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$F49*Outputs_Internal!M$52/12</f>
        <v>0</v>
      </c>
      <c r="Q49" s="65">
        <f>$F49*Outputs_Internal!N$52/12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$F50*Outputs_Internal!M$52/12</f>
        <v>0</v>
      </c>
      <c r="Q50" s="65">
        <f>$F50*Outputs_Internal!N$52/12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$F51*Outputs_Internal!M$52/12</f>
        <v>0</v>
      </c>
      <c r="Q51" s="65">
        <f>$F51*Outputs_Internal!N$52/12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$F52*Outputs_Internal!M$52/12</f>
        <v>0</v>
      </c>
      <c r="Q52" s="65">
        <f>$F52*Outputs_Internal!N$52/12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$F53*Outputs_Internal!M$52/12</f>
        <v>0</v>
      </c>
      <c r="Q53" s="65">
        <f>$F53*Outputs_Internal!N$52/12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$F54*Outputs_Internal!M$52/12</f>
        <v>0</v>
      </c>
      <c r="Q54" s="65">
        <f>$F54*Outputs_Internal!N$52/12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$F55*Outputs_Internal!M$52/12</f>
        <v>0</v>
      </c>
      <c r="Q55" s="65">
        <f>$F55*Outputs_Internal!N$52/12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$F56*Outputs_Internal!M$52/12</f>
        <v>0</v>
      </c>
      <c r="Q56" s="65">
        <f>$F56*Outputs_Internal!N$52/12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$F57*Outputs_Internal!M$52/12</f>
        <v>0</v>
      </c>
      <c r="Q57" s="65">
        <f>$F57*Outputs_Internal!N$52/12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$F58*Outputs_Internal!M$52/12</f>
        <v>0</v>
      </c>
      <c r="Q58" s="65">
        <f>$F58*Outputs_Internal!N$52/12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$F59*Outputs_Internal!M$52/12</f>
        <v>0</v>
      </c>
      <c r="Q59" s="65">
        <f>$F59*Outputs_Internal!N$52/12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$F60*Outputs_Internal!M$52/12</f>
        <v>0</v>
      </c>
      <c r="Q60" s="65">
        <f>$F60*Outputs_Internal!N$52/12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$F61*Outputs_Internal!M$52/12</f>
        <v>0</v>
      </c>
      <c r="Q61" s="65">
        <f>$F61*Outputs_Internal!N$52/12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$F62*Outputs_Internal!M$52/12</f>
        <v>0</v>
      </c>
      <c r="Q62" s="65">
        <f>$F62*Outputs_Internal!N$52/12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$F63*Outputs_Internal!M$52/12</f>
        <v>0</v>
      </c>
      <c r="Q63" s="65">
        <f>$F63*Outputs_Internal!N$52/12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$F64*Outputs_Internal!M$52/12</f>
        <v>0</v>
      </c>
      <c r="Q64" s="65">
        <f>$F64*Outputs_Internal!N$52/12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$F65*Outputs_Internal!M$52/12</f>
        <v>0</v>
      </c>
      <c r="Q65" s="65">
        <f>$F65*Outputs_Internal!N$52/12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$F66*Outputs_Internal!M$52/12</f>
        <v>0</v>
      </c>
      <c r="Q66" s="65">
        <f>$F66*Outputs_Internal!N$52/12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$F67*Outputs_Internal!M$52/12</f>
        <v>0</v>
      </c>
      <c r="Q67" s="65">
        <f>$F67*Outputs_Internal!N$52/12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$F68*Outputs_Internal!M$52/12</f>
        <v>0</v>
      </c>
      <c r="Q68" s="65">
        <f>$F68*Outputs_Internal!N$52/12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$F69*Outputs_Internal!M$52/12</f>
        <v>0</v>
      </c>
      <c r="Q69" s="65">
        <f>$F69*Outputs_Internal!N$52/12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$F70*Outputs_Internal!M$52/12</f>
        <v>0</v>
      </c>
      <c r="Q70" s="65">
        <f>$F70*Outputs_Internal!N$52/12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$F71*Outputs_Internal!M$52/12</f>
        <v>0</v>
      </c>
      <c r="Q71" s="65">
        <f>$F71*Outputs_Internal!N$52/12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$F72*Outputs_Internal!M$52/12</f>
        <v>0</v>
      </c>
      <c r="Q72" s="65">
        <f>$F72*Outputs_Internal!N$52/12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$F73*Outputs_Internal!M$52/12</f>
        <v>0</v>
      </c>
      <c r="Q73" s="65">
        <f>$F73*Outputs_Internal!N$52/12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$F74*Outputs_Internal!M$52/12</f>
        <v>0</v>
      </c>
      <c r="Q74" s="65">
        <f>$F74*Outputs_Internal!N$52/12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$F75*Outputs_Internal!M$52/12</f>
        <v>0</v>
      </c>
      <c r="Q75" s="65">
        <f>$F75*Outputs_Internal!N$52/12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$F76*Outputs_Internal!M$52/12</f>
        <v>0</v>
      </c>
      <c r="Q76" s="65">
        <f>$F76*Outputs_Internal!N$52/12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$F77*Outputs_Internal!M$52/12</f>
        <v>0</v>
      </c>
      <c r="Q77" s="65">
        <f>$F77*Outputs_Internal!N$52/12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$F78*Outputs_Internal!M$52/12</f>
        <v>0</v>
      </c>
      <c r="Q78" s="65">
        <f>$F78*Outputs_Internal!N$52/12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$F79*Outputs_Internal!M$52/12</f>
        <v>0</v>
      </c>
      <c r="Q79" s="65">
        <f>$F79*Outputs_Internal!N$52/12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$F80*Outputs_Internal!M$52/12</f>
        <v>0</v>
      </c>
      <c r="Q80" s="65">
        <f>$F80*Outputs_Internal!N$52/12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$F81*Outputs_Internal!M$52/12</f>
        <v>0</v>
      </c>
      <c r="Q81" s="65">
        <f>$F81*Outputs_Internal!N$52/12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$F82*Outputs_Internal!M$52/12</f>
        <v>0</v>
      </c>
      <c r="Q82" s="65">
        <f>$F82*Outputs_Internal!N$52/12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$F83*Outputs_Internal!M$52/12</f>
        <v>0</v>
      </c>
      <c r="Q83" s="65">
        <f>$F83*Outputs_Internal!N$52/12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$F84*Outputs_Internal!M$52/12</f>
        <v>0</v>
      </c>
      <c r="Q84" s="65">
        <f>$F84*Outputs_Internal!N$52/12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$F85*Outputs_Internal!M$52/12</f>
        <v>0</v>
      </c>
      <c r="Q85" s="65">
        <f>$F85*Outputs_Internal!N$52/12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$F86*Outputs_Internal!M$52/12</f>
        <v>0</v>
      </c>
      <c r="Q86" s="65">
        <f>$F86*Outputs_Internal!N$52/12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$F87*Outputs_Internal!M$52/12</f>
        <v>0</v>
      </c>
      <c r="Q87" s="65">
        <f>$F87*Outputs_Internal!N$52/12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$F88*Outputs_Internal!M$52/12</f>
        <v>0</v>
      </c>
      <c r="Q88" s="65">
        <f>$F88*Outputs_Internal!N$52/12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$F89*Outputs_Internal!M$52/12</f>
        <v>0</v>
      </c>
      <c r="Q89" s="65">
        <f>$F89*Outputs_Internal!N$52/12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$F90*Outputs_Internal!M$52/12</f>
        <v>0</v>
      </c>
      <c r="Q90" s="65">
        <f>$F90*Outputs_Internal!N$52/12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$F91*Outputs_Internal!M$52/12</f>
        <v>0</v>
      </c>
      <c r="Q91" s="65">
        <f>$F91*Outputs_Internal!N$52/12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$F92*Outputs_Internal!M$52/12</f>
        <v>0</v>
      </c>
      <c r="Q92" s="65">
        <f>$F92*Outputs_Internal!N$52/12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$F93*Outputs_Internal!M$52/12</f>
        <v>0</v>
      </c>
      <c r="Q93" s="65">
        <f>$F93*Outputs_Internal!N$52/12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$F94*Outputs_Internal!M$52/12</f>
        <v>0</v>
      </c>
      <c r="Q94" s="65">
        <f>$F94*Outputs_Internal!N$52/12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3 D2:O2 R2:U2 D95:W1048576 R5:U94 R4:W4 D4:Q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72" activePane="bottomRight" state="frozen"/>
      <selection pane="topRight" activeCell="D1" sqref="D1"/>
      <selection pane="bottomLeft" activeCell="A3" sqref="A3"/>
      <selection pane="bottomRight" activeCell="H87" sqref="H87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  <c r="K2" s="21" t="s">
        <v>47</v>
      </c>
      <c r="L2" s="21" t="s">
        <v>48</v>
      </c>
      <c r="M2" s="21" t="s">
        <v>49</v>
      </c>
      <c r="N2" s="21" t="s">
        <v>50</v>
      </c>
      <c r="O2" s="21" t="s">
        <v>51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44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70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6750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31</v>
      </c>
      <c r="D11" s="18">
        <f xml:space="preserve"> IF(OR(Inputs!D9="Y",Inputs!D$19="Y"), Prices!$C10, 0)</f>
        <v>1000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10</v>
      </c>
      <c r="D12" s="18">
        <f xml:space="preserve"> IF(OR(Inputs!D10="Y",Inputs!D$19="Y"), Prices!$C11, 0)</f>
        <v>4000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32</v>
      </c>
      <c r="D13" s="18">
        <f xml:space="preserve"> IF(OR(Inputs!D11="Y",Inputs!D$19="Y"), Prices!$C12, 0)</f>
        <v>2000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11</v>
      </c>
      <c r="D14" s="18">
        <f xml:space="preserve"> IF(OR(Inputs!D12="Y",Inputs!D$19="Y"), Prices!$C13, 0)</f>
        <v>2000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12</v>
      </c>
      <c r="D15" s="18">
        <f xml:space="preserve"> IF(OR(Inputs!D13="Y",Inputs!D$19="Y"), Prices!$C14, 0)</f>
        <v>6000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104</v>
      </c>
      <c r="D16" s="18">
        <f xml:space="preserve"> IF(OR(Inputs!D14="Y",Inputs!D$19="Y"), Prices!$C15, 0)</f>
        <v>4000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13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14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33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71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31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10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32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11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12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13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14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33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72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6750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31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10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32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11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12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13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14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33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73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31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10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32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11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12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13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14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33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66</v>
      </c>
    </row>
    <row r="61" spans="2:15" x14ac:dyDescent="0.25">
      <c r="C61" s="17" t="s">
        <v>16</v>
      </c>
      <c r="D61" s="18">
        <f>IF(Inputs!D$19 = "Y", 0, IF(Inputs!D18="Y", Prices!$C20, 0))</f>
        <v>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2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17</v>
      </c>
      <c r="D62" s="18">
        <f>IF(Inputs!D19="Y", Prices!$C21, 0)</f>
        <v>33000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1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18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19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67</v>
      </c>
    </row>
    <row r="67" spans="2:15" x14ac:dyDescent="0.25">
      <c r="C67" s="28" t="s">
        <v>16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17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18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19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68</v>
      </c>
    </row>
    <row r="73" spans="2:15" x14ac:dyDescent="0.25">
      <c r="C73" s="17" t="s">
        <v>16</v>
      </c>
      <c r="D73" s="18">
        <f>D61</f>
        <v>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17</v>
      </c>
      <c r="D74" s="18">
        <f>IF(D62=0,0,D62-SUM(D11:D16))</f>
        <v>14000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18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19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69</v>
      </c>
    </row>
    <row r="79" spans="2:15" x14ac:dyDescent="0.25">
      <c r="C79" s="28" t="s">
        <v>16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17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18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19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45</v>
      </c>
    </row>
    <row r="85" spans="2:8" x14ac:dyDescent="0.25">
      <c r="C85" t="s">
        <v>36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37</v>
      </c>
      <c r="D86" s="1">
        <f>_xlfn.IFNA(SUM(INDEX(D$61:D$64, MATCH(3, K$61:K$64, 0)), INDEX(D$66:D$70, MATCH(3, K$61:K$64, 0)))*Prices!$I$6*-1, 0)</f>
        <v>0</v>
      </c>
      <c r="E86" s="1">
        <f>_xlfn.IFNA(SUM(INDEX(E$61:E$64, MATCH(3, L$61:L$64, 0)), INDEX(E$66:E$70, MATCH(3, L$61:L$64, 0)))*Prices!$I$6*-1, 0)</f>
        <v>0</v>
      </c>
      <c r="F86" s="1">
        <f>_xlfn.IFNA(SUM(INDEX(F$61:F$64, MATCH(3, M$61:M$64, 0)), INDEX(F$66:F$70, MATCH(3, M$61:M$64, 0)))*Prices!$I$6*-1, 0)</f>
        <v>0</v>
      </c>
      <c r="G86" s="1">
        <f>_xlfn.IFNA(SUM(INDEX(G$61:G$64, MATCH(3, N$61:N$64, 0)), INDEX(G$66:G$70, MATCH(3, N$61:N$64, 0)))*Prices!$I$6*-1, 0)</f>
        <v>0</v>
      </c>
      <c r="H86" s="1">
        <f>_xlfn.IFNA(SUM(INDEX(H$61:H$64, MATCH(3, O$61:O$64, 0)), INDEX(H$66:H$70, MATCH(3, O$61:O$64, 0)))*Prices!$I$6*-1, 0)</f>
        <v>0</v>
      </c>
    </row>
    <row r="88" spans="2:8" x14ac:dyDescent="0.25">
      <c r="B88" s="6" t="s">
        <v>46</v>
      </c>
      <c r="D88" s="7">
        <f>SUM(D35:D45, D48:D58, D61:D64, D67:D70, D85:D86)</f>
        <v>54750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63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103</v>
      </c>
      <c r="D92" s="2">
        <f>IF(Inputs!D5="Y", Prices!$I$17, 0)*SUM(Prices!$C$6, Prices!$C$20)*-1</f>
        <v>0</v>
      </c>
      <c r="E92" s="2">
        <f>IF(Inputs!E5="Y", Prices!$I$17, 0)*SUM(Prices!$C$6, Prices!$C$20)*-1</f>
        <v>0</v>
      </c>
      <c r="F92" s="2">
        <f>IF(Inputs!F5="Y", Prices!$I$17, 0)*SUM(Prices!$C$6, Prices!$C$20)*-1</f>
        <v>0</v>
      </c>
      <c r="G92" s="2">
        <f>IF(Inputs!G5="Y", Prices!$I$17, 0)*SUM(Prices!$C$6, Prices!$C$20)*-1</f>
        <v>0</v>
      </c>
      <c r="H92" s="2">
        <f>IF(Inputs!H5="Y", Prices!$I$17, 0)*SUM(Prices!$C$6, Prices!$C$20)*-1</f>
        <v>0</v>
      </c>
    </row>
    <row r="94" spans="2:8" x14ac:dyDescent="0.25">
      <c r="B94" s="6" t="s">
        <v>55</v>
      </c>
      <c r="D94" s="7">
        <f>SUM(D88, D90)</f>
        <v>54750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64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52</v>
      </c>
    </row>
    <row r="103" spans="2:8" s="21" customFormat="1" x14ac:dyDescent="0.25">
      <c r="B103" s="27"/>
      <c r="D103" s="21" t="s">
        <v>40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41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53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54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26</v>
      </c>
    </row>
    <row r="3" spans="2:9" x14ac:dyDescent="0.25">
      <c r="B3" t="s">
        <v>25</v>
      </c>
      <c r="C3" s="1">
        <v>5000</v>
      </c>
      <c r="D3" s="1">
        <v>32750</v>
      </c>
      <c r="E3" s="1"/>
      <c r="H3" s="6" t="s">
        <v>34</v>
      </c>
    </row>
    <row r="4" spans="2:9" x14ac:dyDescent="0.25">
      <c r="B4" t="s">
        <v>28</v>
      </c>
      <c r="C4" s="1">
        <v>5000</v>
      </c>
      <c r="D4" s="1">
        <v>0</v>
      </c>
      <c r="E4" s="1"/>
      <c r="H4" t="s">
        <v>35</v>
      </c>
      <c r="I4" s="3">
        <v>0</v>
      </c>
    </row>
    <row r="5" spans="2:9" x14ac:dyDescent="0.25">
      <c r="E5" s="6" t="s">
        <v>27</v>
      </c>
      <c r="H5" t="s">
        <v>36</v>
      </c>
      <c r="I5" s="3">
        <v>0.3</v>
      </c>
    </row>
    <row r="6" spans="2:9" x14ac:dyDescent="0.25">
      <c r="B6" s="15" t="s">
        <v>29</v>
      </c>
      <c r="C6" s="43">
        <v>15000</v>
      </c>
      <c r="D6" s="43">
        <v>30000</v>
      </c>
      <c r="E6" s="39">
        <v>0.27</v>
      </c>
      <c r="H6" t="s">
        <v>37</v>
      </c>
      <c r="I6" s="3">
        <v>0.45</v>
      </c>
    </row>
    <row r="7" spans="2:9" x14ac:dyDescent="0.25">
      <c r="B7" s="15" t="s">
        <v>30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39</v>
      </c>
    </row>
    <row r="9" spans="2:9" x14ac:dyDescent="0.25">
      <c r="C9" s="47" t="s">
        <v>42</v>
      </c>
      <c r="D9" s="48" t="s">
        <v>27</v>
      </c>
      <c r="H9" t="s">
        <v>38</v>
      </c>
      <c r="I9" s="3">
        <v>0</v>
      </c>
    </row>
    <row r="10" spans="2:9" x14ac:dyDescent="0.25">
      <c r="B10" s="17" t="s">
        <v>31</v>
      </c>
      <c r="C10" s="45">
        <v>1000</v>
      </c>
      <c r="D10" s="41">
        <v>0.04</v>
      </c>
      <c r="H10" t="s">
        <v>40</v>
      </c>
      <c r="I10" s="3">
        <v>0.45</v>
      </c>
    </row>
    <row r="11" spans="2:9" x14ac:dyDescent="0.25">
      <c r="B11" s="17" t="s">
        <v>10</v>
      </c>
      <c r="C11" s="45">
        <v>4000</v>
      </c>
      <c r="D11" s="41">
        <v>0.05</v>
      </c>
      <c r="H11" t="s">
        <v>41</v>
      </c>
      <c r="I11" s="3">
        <v>0.5</v>
      </c>
    </row>
    <row r="12" spans="2:9" x14ac:dyDescent="0.25">
      <c r="B12" s="17" t="s">
        <v>32</v>
      </c>
      <c r="C12" s="45">
        <v>2000</v>
      </c>
      <c r="D12" s="41">
        <v>0.04</v>
      </c>
    </row>
    <row r="13" spans="2:9" x14ac:dyDescent="0.25">
      <c r="B13" s="17" t="s">
        <v>11</v>
      </c>
      <c r="C13" s="45">
        <v>2000</v>
      </c>
      <c r="D13" s="41">
        <v>0.04</v>
      </c>
      <c r="H13" s="4"/>
    </row>
    <row r="14" spans="2:9" x14ac:dyDescent="0.25">
      <c r="B14" s="17" t="s">
        <v>12</v>
      </c>
      <c r="C14" s="45">
        <v>6000</v>
      </c>
      <c r="D14" s="41">
        <v>0.05</v>
      </c>
      <c r="H14" s="60" t="s">
        <v>82</v>
      </c>
      <c r="I14" s="59">
        <v>1.2500000000000001E-2</v>
      </c>
    </row>
    <row r="15" spans="2:9" x14ac:dyDescent="0.25">
      <c r="B15" s="17" t="s">
        <v>104</v>
      </c>
      <c r="C15" s="45">
        <v>4000</v>
      </c>
      <c r="D15" s="41">
        <v>0.05</v>
      </c>
      <c r="H15" s="4" t="s">
        <v>83</v>
      </c>
      <c r="I15" s="55">
        <v>43466</v>
      </c>
    </row>
    <row r="16" spans="2:9" x14ac:dyDescent="0.25">
      <c r="B16" s="19" t="s">
        <v>13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14</v>
      </c>
      <c r="C17" s="46">
        <v>5000</v>
      </c>
      <c r="D17" s="42">
        <v>7.0000000000000007E-2</v>
      </c>
      <c r="H17" s="6" t="s">
        <v>100</v>
      </c>
      <c r="I17" s="3">
        <v>0.15</v>
      </c>
    </row>
    <row r="18" spans="2:9" x14ac:dyDescent="0.25">
      <c r="B18" s="19" t="s">
        <v>33</v>
      </c>
      <c r="C18" s="46">
        <v>5000</v>
      </c>
      <c r="D18" s="42">
        <v>0</v>
      </c>
      <c r="H18" s="4" t="s">
        <v>101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16</v>
      </c>
      <c r="C20" s="45">
        <v>8500</v>
      </c>
      <c r="D20" s="41">
        <v>0</v>
      </c>
    </row>
    <row r="21" spans="2:9" x14ac:dyDescent="0.25">
      <c r="B21" s="17" t="s">
        <v>17</v>
      </c>
      <c r="C21" s="45">
        <v>33000</v>
      </c>
      <c r="D21" s="41">
        <v>0.28000000000000003</v>
      </c>
    </row>
    <row r="22" spans="2:9" x14ac:dyDescent="0.25">
      <c r="B22" s="19" t="s">
        <v>18</v>
      </c>
      <c r="C22" s="46">
        <v>35000</v>
      </c>
      <c r="D22" s="42">
        <v>0.28999999999999998</v>
      </c>
    </row>
    <row r="23" spans="2:9" x14ac:dyDescent="0.25">
      <c r="B23" s="19" t="s">
        <v>19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2018-05-07T13:02:29Z</dcterms:modified>
</cp:coreProperties>
</file>