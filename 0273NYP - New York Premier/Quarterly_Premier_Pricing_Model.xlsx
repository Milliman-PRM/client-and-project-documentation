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 activeTab="4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6" i="1" l="1"/>
  <c r="G86" i="1"/>
  <c r="F86" i="1"/>
  <c r="E86" i="1"/>
  <c r="D86" i="1"/>
  <c r="H92" i="1" l="1"/>
  <c r="G92" i="1"/>
  <c r="F92" i="1"/>
  <c r="E92" i="1"/>
  <c r="D92" i="1"/>
  <c r="H26" i="7" l="1"/>
  <c r="G26" i="7"/>
  <c r="I26" i="7" s="1"/>
  <c r="F26" i="7" l="1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0" i="7"/>
  <c r="N60" i="7" s="1"/>
  <c r="H60" i="7"/>
  <c r="M60" i="7" s="1"/>
  <c r="G60" i="7"/>
  <c r="L60" i="7" s="1"/>
  <c r="F60" i="7"/>
  <c r="K60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D88" i="1" l="1"/>
  <c r="D9" i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H6" i="8" l="1"/>
  <c r="N4" i="7"/>
  <c r="K10" i="8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H61" i="7" s="1"/>
  <c r="M61" i="7" s="1"/>
  <c r="L26" i="7"/>
  <c r="G61" i="7" s="1"/>
  <c r="L61" i="7" s="1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E85" i="1"/>
  <c r="F85" i="1"/>
  <c r="G85" i="1"/>
  <c r="H85" i="1"/>
  <c r="F61" i="7" l="1"/>
  <c r="K61" i="7" s="1"/>
  <c r="F48" i="7" s="1"/>
  <c r="I61" i="7"/>
  <c r="N61" i="7" s="1"/>
  <c r="I48" i="7" s="1"/>
  <c r="G48" i="7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48" i="7" l="1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F90" i="1"/>
  <c r="F27" i="5" s="1"/>
  <c r="D27" i="5"/>
  <c r="G90" i="1"/>
  <c r="H27" i="5"/>
  <c r="H94" i="1"/>
  <c r="H28" i="5" s="1"/>
  <c r="H30" i="5" s="1"/>
  <c r="H35" i="5" l="1"/>
  <c r="K18" i="8"/>
  <c r="I18" i="8"/>
  <c r="H18" i="8"/>
  <c r="J18" i="8"/>
  <c r="E18" i="8"/>
  <c r="F17" i="8"/>
  <c r="F55" i="8"/>
  <c r="D19" i="8"/>
  <c r="E94" i="1"/>
  <c r="E28" i="5" s="1"/>
  <c r="E30" i="5" s="1"/>
  <c r="E35" i="5" s="1"/>
  <c r="F94" i="1"/>
  <c r="F28" i="5" s="1"/>
  <c r="F30" i="5" s="1"/>
  <c r="F35" i="5" s="1"/>
  <c r="D94" i="1"/>
  <c r="D28" i="5" s="1"/>
  <c r="D30" i="5" s="1"/>
  <c r="D35" i="5" s="1"/>
  <c r="G27" i="5"/>
  <c r="D49" i="7" s="1"/>
  <c r="G94" i="1"/>
  <c r="G28" i="5" s="1"/>
  <c r="G30" i="5" s="1"/>
  <c r="L49" i="7" l="1"/>
  <c r="M49" i="7"/>
  <c r="K49" i="7"/>
  <c r="N49" i="7"/>
  <c r="J19" i="8"/>
  <c r="I19" i="8"/>
  <c r="H19" i="8"/>
  <c r="K19" i="8"/>
  <c r="E19" i="8"/>
  <c r="F18" i="8"/>
  <c r="D50" i="7"/>
  <c r="N50" i="7" s="1"/>
  <c r="F56" i="8"/>
  <c r="D20" i="8"/>
  <c r="G35" i="5"/>
  <c r="C40" i="5" s="1"/>
  <c r="N52" i="7" l="1"/>
  <c r="Q94" i="8" s="1"/>
  <c r="Q45" i="8"/>
  <c r="Q39" i="8"/>
  <c r="Q11" i="8"/>
  <c r="Q83" i="8"/>
  <c r="Q63" i="8"/>
  <c r="Q51" i="8"/>
  <c r="Q37" i="8"/>
  <c r="Q33" i="8"/>
  <c r="Q21" i="8"/>
  <c r="Q5" i="8"/>
  <c r="J20" i="8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Q7" i="8" l="1"/>
  <c r="Q73" i="8"/>
  <c r="Q67" i="8"/>
  <c r="Q27" i="8"/>
  <c r="Q87" i="8"/>
  <c r="Q17" i="8"/>
  <c r="Q47" i="8"/>
  <c r="Q79" i="8"/>
  <c r="Q23" i="8"/>
  <c r="Q57" i="8"/>
  <c r="Q89" i="8"/>
  <c r="Q61" i="8"/>
  <c r="Q10" i="8"/>
  <c r="Q77" i="8"/>
  <c r="Q12" i="8"/>
  <c r="Q40" i="8"/>
  <c r="Q9" i="8"/>
  <c r="Q25" i="8"/>
  <c r="Q41" i="8"/>
  <c r="Q55" i="8"/>
  <c r="Q71" i="8"/>
  <c r="Q91" i="8"/>
  <c r="Q15" i="8"/>
  <c r="Q31" i="8"/>
  <c r="Q49" i="8"/>
  <c r="Q65" i="8"/>
  <c r="Q81" i="8"/>
  <c r="Q93" i="8"/>
  <c r="Q18" i="8"/>
  <c r="Q13" i="8"/>
  <c r="Q29" i="8"/>
  <c r="Q43" i="8"/>
  <c r="Q59" i="8"/>
  <c r="Q75" i="8"/>
  <c r="Q3" i="8"/>
  <c r="Q19" i="8"/>
  <c r="Q35" i="8"/>
  <c r="Q53" i="8"/>
  <c r="Q69" i="8"/>
  <c r="Q85" i="8"/>
  <c r="Q4" i="8"/>
  <c r="Q20" i="8"/>
  <c r="Q6" i="8"/>
  <c r="Q14" i="8"/>
  <c r="Q24" i="8"/>
  <c r="Q42" i="8"/>
  <c r="Q8" i="8"/>
  <c r="Q16" i="8"/>
  <c r="Q26" i="8"/>
  <c r="Q56" i="8"/>
  <c r="Q32" i="8"/>
  <c r="Q58" i="8"/>
  <c r="Q48" i="8"/>
  <c r="Q66" i="8"/>
  <c r="Q34" i="8"/>
  <c r="Q50" i="8"/>
  <c r="Q68" i="8"/>
  <c r="Q28" i="8"/>
  <c r="Q36" i="8"/>
  <c r="Q44" i="8"/>
  <c r="Q52" i="8"/>
  <c r="Q60" i="8"/>
  <c r="Q74" i="8"/>
  <c r="Q22" i="8"/>
  <c r="Q30" i="8"/>
  <c r="Q38" i="8"/>
  <c r="Q46" i="8"/>
  <c r="Q54" i="8"/>
  <c r="Q62" i="8"/>
  <c r="Q76" i="8"/>
  <c r="Q70" i="8"/>
  <c r="Q78" i="8"/>
  <c r="Q64" i="8"/>
  <c r="Q72" i="8"/>
  <c r="Q80" i="8"/>
  <c r="Q82" i="8"/>
  <c r="Q84" i="8"/>
  <c r="Q88" i="8"/>
  <c r="Q90" i="8"/>
  <c r="Q92" i="8"/>
  <c r="Q86" i="8"/>
  <c r="P10" i="8"/>
  <c r="P6" i="8"/>
  <c r="P93" i="8"/>
  <c r="P89" i="8"/>
  <c r="P85" i="8"/>
  <c r="P81" i="8"/>
  <c r="P77" i="8"/>
  <c r="P73" i="8"/>
  <c r="P69" i="8"/>
  <c r="P65" i="8"/>
  <c r="P61" i="8"/>
  <c r="P57" i="8"/>
  <c r="P53" i="8"/>
  <c r="P49" i="8"/>
  <c r="P45" i="8"/>
  <c r="P94" i="8"/>
  <c r="P92" i="8"/>
  <c r="P90" i="8"/>
  <c r="P88" i="8"/>
  <c r="P86" i="8"/>
  <c r="P84" i="8"/>
  <c r="P82" i="8"/>
  <c r="P80" i="8"/>
  <c r="P78" i="8"/>
  <c r="P76" i="8"/>
  <c r="P74" i="8"/>
  <c r="P72" i="8"/>
  <c r="P70" i="8"/>
  <c r="P68" i="8"/>
  <c r="P66" i="8"/>
  <c r="P64" i="8"/>
  <c r="P62" i="8"/>
  <c r="P60" i="8"/>
  <c r="P58" i="8"/>
  <c r="P56" i="8"/>
  <c r="P54" i="8"/>
  <c r="P52" i="8"/>
  <c r="P50" i="8"/>
  <c r="P48" i="8"/>
  <c r="P46" i="8"/>
  <c r="P44" i="8"/>
  <c r="P42" i="8"/>
  <c r="P40" i="8"/>
  <c r="P38" i="8"/>
  <c r="P36" i="8"/>
  <c r="P34" i="8"/>
  <c r="P32" i="8"/>
  <c r="P30" i="8"/>
  <c r="P28" i="8"/>
  <c r="P26" i="8"/>
  <c r="P24" i="8"/>
  <c r="P22" i="8"/>
  <c r="P20" i="8"/>
  <c r="P18" i="8"/>
  <c r="P16" i="8"/>
  <c r="P14" i="8"/>
  <c r="P12" i="8"/>
  <c r="P8" i="8"/>
  <c r="P4" i="8"/>
  <c r="P91" i="8"/>
  <c r="P87" i="8"/>
  <c r="P83" i="8"/>
  <c r="P79" i="8"/>
  <c r="P75" i="8"/>
  <c r="P71" i="8"/>
  <c r="P67" i="8"/>
  <c r="P63" i="8"/>
  <c r="P59" i="8"/>
  <c r="P55" i="8"/>
  <c r="P51" i="8"/>
  <c r="P47" i="8"/>
  <c r="P43" i="8"/>
  <c r="P41" i="8"/>
  <c r="P33" i="8"/>
  <c r="P25" i="8"/>
  <c r="P17" i="8"/>
  <c r="P9" i="8"/>
  <c r="P31" i="8"/>
  <c r="P23" i="8"/>
  <c r="P7" i="8"/>
  <c r="P37" i="8"/>
  <c r="P21" i="8"/>
  <c r="P5" i="8"/>
  <c r="P27" i="8"/>
  <c r="P11" i="8"/>
  <c r="P39" i="8"/>
  <c r="P15" i="8"/>
  <c r="P29" i="8"/>
  <c r="P13" i="8"/>
  <c r="P35" i="8"/>
  <c r="P19" i="8"/>
  <c r="P3" i="8"/>
  <c r="N17" i="8"/>
  <c r="D53" i="7"/>
  <c r="E21" i="8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T56" i="8" s="1"/>
  <c r="D57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U62" i="8" s="1"/>
  <c r="D63" i="8"/>
  <c r="T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T68" i="8" s="1"/>
  <c r="D69" i="8"/>
  <c r="S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S86" i="8" s="1"/>
  <c r="J86" i="8"/>
  <c r="D87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U89" i="8" s="1"/>
  <c r="H89" i="8"/>
  <c r="S89" i="8" s="1"/>
  <c r="D90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U92" i="8" s="1"/>
  <c r="L55" i="7" s="1"/>
  <c r="H92" i="8"/>
  <c r="K92" i="8"/>
  <c r="I92" i="8"/>
  <c r="T92" i="8" s="1"/>
  <c r="K55" i="7" s="1"/>
  <c r="D93" i="8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<sst xmlns="http://schemas.openxmlformats.org/spreadsheetml/2006/main" count="285" uniqueCount="108">
  <si>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</si>
  <si>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</si>
  <si>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</si>
  <si>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</si>
  <si>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</si>
  <si>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</si>
  <si>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</si>
  <si>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</si>
  <si>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</si>
  <si>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</si>
  <si>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</si>
  <si>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</si>
  <si>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</si>
  <si>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</si>
  <si>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</si>
  <si>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</si>
  <si>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</si>
  <si>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</si>
  <si>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</si>
  <si>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</si>
  <si>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</si>
  <si>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</si>
  <si>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</si>
  <si>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</si>
  <si>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</si>
  <si>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</si>
  <si>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</si>
  <si>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</si>
  <si>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</si>
  <si>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</si>
  <si>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</si>
  <si>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</si>
  <si>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</si>
  <si>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</si>
  <si>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</si>
  <si>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</si>
  <si>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</si>
  <si>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</si>
  <si>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</si>
  <si>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</si>
  <si>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</si>
  <si>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</si>
  <si>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</si>
  <si>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</si>
  <si>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</si>
  <si>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</si>
  <si>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</si>
  <si>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</si>
  <si>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</si>
  <si>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</si>
  <si>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</si>
  <si>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</si>
  <si>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</si>
  <si>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</si>
  <si>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</si>
  <si>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</si>
  <si>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</si>
  <si>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</si>
  <si>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</si>
  <si>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</si>
  <si>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</si>
  <si>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</si>
  <si>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</si>
  <si>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</si>
  <si>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</si>
  <si>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</si>
  <si>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</si>
  <si>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</si>
  <si>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</si>
  <si>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</si>
  <si>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</si>
  <si>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</si>
  <si>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</si>
  <si>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</si>
  <si>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</si>
  <si>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</si>
  <si>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</si>
  <si>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</si>
  <si>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</si>
  <si>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</si>
  <si>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</si>
  <si>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</si>
  <si>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</si>
  <si>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</si>
  <si>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</si>
  <si>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</si>
  <si>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</si>
  <si>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</si>
  <si>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</si>
  <si>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</si>
  <si>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</si>
  <si>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</si>
  <si>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</si>
  <si>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</si>
  <si>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</si>
  <si>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</si>
  <si>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</si>
  <si>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</si>
  <si>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</si>
  <si>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</si>
  <si>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</si>
  <si>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</si>
  <si>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</si>
  <si>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</si>
  <si>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</si>
  <si>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</si>
  <si>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</si>
  <si>
    <t>Collaborative Member Prior to 2017-07-01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</si>
</sst>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81</v>
      </c>
      <c r="C1" s="74">
        <v>43009</v>
      </c>
    </row>
    <row r="2" spans="2:12" x14ac:dyDescent="0.25">
      <c r="B2" s="70" t="s">
        <v>95</v>
      </c>
      <c r="C2" s="75">
        <v>36</v>
      </c>
    </row>
    <row r="3" spans="2:12" x14ac:dyDescent="0.25">
      <c r="B3" s="71"/>
      <c r="C3" s="76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107</v>
      </c>
      <c r="D5" s="56" t="s">
        <v>4</v>
      </c>
      <c r="E5" s="56"/>
      <c r="F5" s="56"/>
      <c r="G5" s="56"/>
      <c r="H5" s="56"/>
      <c r="L5" t="s">
        <v>43</v>
      </c>
    </row>
    <row r="6" spans="2:12" ht="18" customHeight="1" x14ac:dyDescent="0.25">
      <c r="B6" s="72" t="s">
        <v>7</v>
      </c>
      <c r="D6" s="56" t="s">
        <v>43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8</v>
      </c>
      <c r="D8" s="56" t="s">
        <v>43</v>
      </c>
      <c r="E8" s="56"/>
      <c r="F8" s="56"/>
      <c r="G8" s="56"/>
      <c r="H8" s="56"/>
    </row>
    <row r="9" spans="2:12" ht="18" customHeight="1" x14ac:dyDescent="0.25">
      <c r="B9" s="72" t="s">
        <v>9</v>
      </c>
      <c r="D9" s="56" t="s">
        <v>43</v>
      </c>
      <c r="E9" s="56"/>
      <c r="F9" s="56"/>
      <c r="G9" s="56"/>
      <c r="H9" s="56"/>
    </row>
    <row r="10" spans="2:12" ht="18" customHeight="1" x14ac:dyDescent="0.25">
      <c r="B10" s="72" t="s">
        <v>10</v>
      </c>
      <c r="D10" s="56" t="s">
        <v>43</v>
      </c>
      <c r="E10" s="56"/>
      <c r="F10" s="56"/>
      <c r="G10" s="56"/>
      <c r="H10" s="56"/>
    </row>
    <row r="11" spans="2:12" ht="18" customHeight="1" x14ac:dyDescent="0.25">
      <c r="B11" s="72" t="s">
        <v>32</v>
      </c>
      <c r="D11" s="56" t="s">
        <v>43</v>
      </c>
      <c r="E11" s="56"/>
      <c r="F11" s="56"/>
      <c r="G11" s="56"/>
      <c r="H11" s="56"/>
    </row>
    <row r="12" spans="2:12" ht="18" customHeight="1" x14ac:dyDescent="0.25">
      <c r="B12" s="72" t="s">
        <v>11</v>
      </c>
      <c r="D12" s="56" t="s">
        <v>43</v>
      </c>
      <c r="E12" s="56"/>
      <c r="F12" s="56"/>
      <c r="G12" s="56"/>
      <c r="H12" s="56"/>
    </row>
    <row r="13" spans="2:12" ht="18" customHeight="1" x14ac:dyDescent="0.25">
      <c r="B13" s="72" t="s">
        <v>12</v>
      </c>
      <c r="D13" s="56" t="s">
        <v>43</v>
      </c>
      <c r="E13" s="56"/>
      <c r="F13" s="56"/>
      <c r="G13" s="56"/>
      <c r="H13" s="56"/>
    </row>
    <row r="14" spans="2:12" ht="18" customHeight="1" x14ac:dyDescent="0.25">
      <c r="B14" s="72" t="s">
        <v>104</v>
      </c>
      <c r="D14" s="56" t="s">
        <v>43</v>
      </c>
      <c r="E14" s="56"/>
      <c r="F14" s="56"/>
      <c r="G14" s="56"/>
      <c r="H14" s="56"/>
    </row>
    <row r="15" spans="2:12" ht="18" customHeight="1" x14ac:dyDescent="0.25">
      <c r="B15" s="72" t="s">
        <v>13</v>
      </c>
      <c r="D15" s="56" t="s">
        <v>43</v>
      </c>
      <c r="E15" s="56"/>
      <c r="F15" s="56"/>
      <c r="G15" s="56"/>
      <c r="H15" s="56"/>
    </row>
    <row r="16" spans="2:12" ht="18" customHeight="1" x14ac:dyDescent="0.25">
      <c r="B16" s="72" t="s">
        <v>14</v>
      </c>
      <c r="D16" s="56" t="s">
        <v>43</v>
      </c>
      <c r="E16" s="56"/>
      <c r="F16" s="56"/>
      <c r="G16" s="56"/>
      <c r="H16" s="56"/>
    </row>
    <row r="17" spans="2:8" ht="18" customHeight="1" x14ac:dyDescent="0.25">
      <c r="B17" s="72" t="s">
        <v>15</v>
      </c>
      <c r="D17" s="56" t="s">
        <v>43</v>
      </c>
      <c r="E17" s="56"/>
      <c r="F17" s="56"/>
      <c r="G17" s="56"/>
      <c r="H17" s="56"/>
    </row>
    <row r="18" spans="2:8" ht="18" customHeight="1" x14ac:dyDescent="0.25">
      <c r="B18" s="72" t="s">
        <v>16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17</v>
      </c>
      <c r="D19" s="56" t="s">
        <v>43</v>
      </c>
      <c r="E19" s="56"/>
      <c r="F19" s="56"/>
      <c r="G19" s="56"/>
      <c r="H19" s="56"/>
    </row>
    <row r="20" spans="2:8" ht="18" customHeight="1" x14ac:dyDescent="0.25">
      <c r="B20" s="72" t="s">
        <v>18</v>
      </c>
      <c r="D20" s="56" t="s">
        <v>43</v>
      </c>
      <c r="E20" s="56"/>
      <c r="F20" s="56"/>
      <c r="G20" s="56"/>
      <c r="H20" s="56"/>
    </row>
    <row r="21" spans="2:8" ht="18" customHeight="1" x14ac:dyDescent="0.25">
      <c r="B21" s="73" t="s">
        <v>19</v>
      </c>
      <c r="C21" s="69"/>
      <c r="D21" s="57" t="s">
        <v>43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8" sqref="D28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56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31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32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33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57</v>
      </c>
    </row>
    <row r="20" spans="2:21" x14ac:dyDescent="0.25">
      <c r="C20" t="s">
        <v>16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58</v>
      </c>
    </row>
    <row r="26" spans="2:21" x14ac:dyDescent="0.25">
      <c r="C26" t="s">
        <v>59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52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102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60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97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96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93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F50" sqref="F50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80</v>
      </c>
      <c r="G1" s="51"/>
      <c r="H1" s="51"/>
      <c r="I1" s="51"/>
    </row>
    <row r="2" spans="2:14" x14ac:dyDescent="0.25">
      <c r="D2" s="9" t="s">
        <v>65</v>
      </c>
      <c r="F2" s="9" t="s">
        <v>61</v>
      </c>
      <c r="G2" s="9" t="s">
        <v>62</v>
      </c>
      <c r="H2" s="9" t="s">
        <v>105</v>
      </c>
      <c r="I2" s="9" t="s">
        <v>106</v>
      </c>
      <c r="J2" s="9"/>
      <c r="K2" s="9" t="s">
        <v>61</v>
      </c>
      <c r="L2" s="9" t="s">
        <v>62</v>
      </c>
      <c r="M2" s="9" t="s">
        <v>105</v>
      </c>
      <c r="N2" s="9" t="s">
        <v>106</v>
      </c>
    </row>
    <row r="3" spans="2:14" x14ac:dyDescent="0.25">
      <c r="B3" s="6" t="s">
        <v>0</v>
      </c>
    </row>
    <row r="4" spans="2:14" x14ac:dyDescent="0.25">
      <c r="C4" t="s">
        <v>98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99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75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31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32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7" t="s">
        <v>104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33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77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76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31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10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32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11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12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104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13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14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33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68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16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78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16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17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58</v>
      </c>
      <c r="K47" s="9"/>
      <c r="L47" s="9"/>
      <c r="M47" s="9"/>
    </row>
    <row r="48" spans="2:14" x14ac:dyDescent="0.25">
      <c r="C48" t="s">
        <v>59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52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102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60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79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93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74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7650</v>
      </c>
      <c r="L60" s="25">
        <f t="shared" si="18"/>
        <v>850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17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9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18"/>
        <v>0</v>
      </c>
      <c r="L61" s="25">
        <f t="shared" si="18"/>
        <v>0</v>
      </c>
      <c r="M61" s="25">
        <f t="shared" si="18"/>
        <v>0</v>
      </c>
      <c r="N61" s="25">
        <f t="shared" si="18"/>
        <v>0</v>
      </c>
    </row>
    <row r="62" spans="2:14" x14ac:dyDescent="0.25">
      <c r="B62" s="27"/>
      <c r="C62" s="21" t="s">
        <v>18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19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9" sqref="P9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85</v>
      </c>
      <c r="I1" s="63"/>
      <c r="J1" s="63"/>
      <c r="K1" s="63"/>
      <c r="M1" s="63" t="s">
        <v>90</v>
      </c>
      <c r="N1" s="63"/>
      <c r="O1" s="63"/>
      <c r="P1" s="63"/>
      <c r="Q1" s="63"/>
      <c r="S1" s="63" t="s">
        <v>92</v>
      </c>
      <c r="T1" s="63"/>
      <c r="U1" s="63"/>
      <c r="V1" s="63"/>
      <c r="W1" s="63"/>
    </row>
    <row r="2" spans="2:23" x14ac:dyDescent="0.25">
      <c r="B2" s="61" t="s">
        <v>84</v>
      </c>
      <c r="C2" s="61"/>
      <c r="D2" s="61" t="s">
        <v>89</v>
      </c>
      <c r="E2" s="61" t="s">
        <v>94</v>
      </c>
      <c r="F2" s="61" t="s">
        <v>91</v>
      </c>
      <c r="G2" s="61"/>
      <c r="H2" s="64" t="s">
        <v>86</v>
      </c>
      <c r="I2" s="64" t="s">
        <v>87</v>
      </c>
      <c r="J2" s="64" t="s">
        <v>62</v>
      </c>
      <c r="K2" s="64" t="s">
        <v>88</v>
      </c>
      <c r="M2" s="64" t="s">
        <v>86</v>
      </c>
      <c r="N2" s="64" t="s">
        <v>87</v>
      </c>
      <c r="O2" s="64" t="s">
        <v>62</v>
      </c>
      <c r="P2" s="64" t="s">
        <v>105</v>
      </c>
      <c r="Q2" s="64" t="s">
        <v>106</v>
      </c>
      <c r="S2" s="64" t="s">
        <v>86</v>
      </c>
      <c r="T2" s="64" t="s">
        <v>87</v>
      </c>
      <c r="U2" s="64" t="s">
        <v>62</v>
      </c>
      <c r="V2" s="64" t="s">
        <v>105</v>
      </c>
      <c r="W2" s="64" t="s">
        <v>106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$F3*Outputs_Internal!M$52/12</f>
        <v>0</v>
      </c>
      <c r="Q3" s="65">
        <f>$F3*Outputs_Internal!N$52/12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$F4*Outputs_Internal!M$52/12</f>
        <v>0</v>
      </c>
      <c r="Q4" s="65">
        <f>$F4*Outputs_Internal!N$52/12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$F5*Outputs_Internal!M$52/12</f>
        <v>0</v>
      </c>
      <c r="Q5" s="65">
        <f>$F5*Outputs_Internal!N$52/12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$F6*Outputs_Internal!M$52/12</f>
        <v>0</v>
      </c>
      <c r="Q6" s="65">
        <f>$F6*Outputs_Internal!N$52/12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$F7*Outputs_Internal!M$52/12</f>
        <v>0</v>
      </c>
      <c r="Q7" s="65">
        <f>$F7*Outputs_Internal!N$52/12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$F8*Outputs_Internal!M$52/12</f>
        <v>0</v>
      </c>
      <c r="Q8" s="65">
        <f>$F8*Outputs_Internal!N$52/12</f>
        <v>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$F9*Outputs_Internal!M$52/12</f>
        <v>0</v>
      </c>
      <c r="Q9" s="65">
        <f>$F9*Outputs_Internal!N$52/12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$F10*Outputs_Internal!M$52/12</f>
        <v>0</v>
      </c>
      <c r="Q10" s="65">
        <f>$F10*Outputs_Internal!N$52/12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$F11*Outputs_Internal!M$52/12</f>
        <v>0</v>
      </c>
      <c r="Q11" s="65">
        <f>$F11*Outputs_Internal!N$52/12</f>
        <v>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$F12*Outputs_Internal!M$52/12</f>
        <v>0</v>
      </c>
      <c r="Q12" s="65">
        <f>$F12*Outputs_Internal!N$52/12</f>
        <v>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$F13*Outputs_Internal!M$52/12</f>
        <v>0</v>
      </c>
      <c r="Q13" s="65">
        <f>$F13*Outputs_Internal!N$52/12</f>
        <v>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$F14*Outputs_Internal!M$52/12</f>
        <v>0</v>
      </c>
      <c r="Q14" s="65">
        <f>$F14*Outputs_Internal!N$52/12</f>
        <v>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$F15*Outputs_Internal!M$52/12</f>
        <v>0</v>
      </c>
      <c r="Q15" s="65">
        <f>$F15*Outputs_Internal!N$52/12</f>
        <v>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$F16*Outputs_Internal!M$52/12</f>
        <v>0</v>
      </c>
      <c r="Q16" s="65">
        <f>$F16*Outputs_Internal!N$52/12</f>
        <v>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$F17*Outputs_Internal!M$52/12</f>
        <v>0</v>
      </c>
      <c r="Q17" s="65">
        <f>$F17*Outputs_Internal!N$52/12</f>
        <v>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$F18*Outputs_Internal!M$52/12</f>
        <v>0</v>
      </c>
      <c r="Q18" s="65">
        <f>$F18*Outputs_Internal!N$52/12</f>
        <v>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$F19*Outputs_Internal!M$52/12</f>
        <v>0</v>
      </c>
      <c r="Q19" s="65">
        <f>$F19*Outputs_Internal!N$52/12</f>
        <v>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$F20*Outputs_Internal!M$52/12</f>
        <v>0</v>
      </c>
      <c r="Q20" s="65">
        <f>$F20*Outputs_Internal!N$52/12</f>
        <v>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$F21*Outputs_Internal!M$52/12</f>
        <v>0</v>
      </c>
      <c r="Q21" s="65">
        <f>$F21*Outputs_Internal!N$52/12</f>
        <v>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$F22*Outputs_Internal!M$52/12</f>
        <v>0</v>
      </c>
      <c r="Q22" s="65">
        <f>$F22*Outputs_Internal!N$52/12</f>
        <v>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$F23*Outputs_Internal!M$52/12</f>
        <v>0</v>
      </c>
      <c r="Q23" s="65">
        <f>$F23*Outputs_Internal!N$52/12</f>
        <v>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$F24*Outputs_Internal!M$52/12</f>
        <v>0</v>
      </c>
      <c r="Q24" s="65">
        <f>$F24*Outputs_Internal!N$52/12</f>
        <v>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$F25*Outputs_Internal!M$52/12</f>
        <v>0</v>
      </c>
      <c r="Q25" s="65">
        <f>$F25*Outputs_Internal!N$52/12</f>
        <v>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$F26*Outputs_Internal!M$52/12</f>
        <v>0</v>
      </c>
      <c r="Q26" s="65">
        <f>$F26*Outputs_Internal!N$52/12</f>
        <v>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$F27*Outputs_Internal!M$52/12</f>
        <v>0</v>
      </c>
      <c r="Q27" s="65">
        <f>$F27*Outputs_Internal!N$52/12</f>
        <v>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$F28*Outputs_Internal!M$52/12</f>
        <v>0</v>
      </c>
      <c r="Q28" s="65">
        <f>$F28*Outputs_Internal!N$52/12</f>
        <v>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$F29*Outputs_Internal!M$52/12</f>
        <v>0</v>
      </c>
      <c r="Q29" s="65">
        <f>$F29*Outputs_Internal!N$52/12</f>
        <v>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$F30*Outputs_Internal!M$52/12</f>
        <v>0</v>
      </c>
      <c r="Q30" s="65">
        <f>$F30*Outputs_Internal!N$52/12</f>
        <v>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$F31*Outputs_Internal!M$52/12</f>
        <v>0</v>
      </c>
      <c r="Q31" s="65">
        <f>$F31*Outputs_Internal!N$52/12</f>
        <v>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$F32*Outputs_Internal!M$52/12</f>
        <v>0</v>
      </c>
      <c r="Q32" s="65">
        <f>$F32*Outputs_Internal!N$52/12</f>
        <v>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$F33*Outputs_Internal!M$52/12</f>
        <v>0</v>
      </c>
      <c r="Q33" s="65">
        <f>$F33*Outputs_Internal!N$52/12</f>
        <v>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$F34*Outputs_Internal!M$52/12</f>
        <v>0</v>
      </c>
      <c r="Q34" s="65">
        <f>$F34*Outputs_Internal!N$52/12</f>
        <v>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$F35*Outputs_Internal!M$52/12</f>
        <v>0</v>
      </c>
      <c r="Q35" s="65">
        <f>$F35*Outputs_Internal!N$52/12</f>
        <v>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$F36*Outputs_Internal!M$52/12</f>
        <v>0</v>
      </c>
      <c r="Q36" s="65">
        <f>$F36*Outputs_Internal!N$52/12</f>
        <v>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$F37*Outputs_Internal!M$52/12</f>
        <v>0</v>
      </c>
      <c r="Q37" s="65">
        <f>$F37*Outputs_Internal!N$52/12</f>
        <v>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$F38*Outputs_Internal!M$52/12</f>
        <v>0</v>
      </c>
      <c r="Q38" s="65">
        <f>$F38*Outputs_Internal!N$52/12</f>
        <v>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$F39*Outputs_Internal!M$52/12</f>
        <v>0</v>
      </c>
      <c r="Q39" s="65">
        <f>$F39*Outputs_Internal!N$52/12</f>
        <v>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$F40*Outputs_Internal!M$52/12</f>
        <v>0</v>
      </c>
      <c r="Q40" s="65">
        <f>$F40*Outputs_Internal!N$52/12</f>
        <v>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$F41*Outputs_Internal!M$52/12</f>
        <v>0</v>
      </c>
      <c r="Q41" s="65">
        <f>$F41*Outputs_Internal!N$52/12</f>
        <v>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$F42*Outputs_Internal!M$52/12</f>
        <v>0</v>
      </c>
      <c r="Q42" s="65">
        <f>$F42*Outputs_Internal!N$52/12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$F43*Outputs_Internal!M$52/12</f>
        <v>0</v>
      </c>
      <c r="Q43" s="65">
        <f>$F43*Outputs_Internal!N$52/12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$F44*Outputs_Internal!M$52/12</f>
        <v>0</v>
      </c>
      <c r="Q44" s="65">
        <f>$F44*Outputs_Internal!N$52/12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$F45*Outputs_Internal!M$52/12</f>
        <v>0</v>
      </c>
      <c r="Q45" s="65">
        <f>$F45*Outputs_Internal!N$52/12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$F46*Outputs_Internal!M$52/12</f>
        <v>0</v>
      </c>
      <c r="Q46" s="65">
        <f>$F46*Outputs_Internal!N$52/12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$F47*Outputs_Internal!M$52/12</f>
        <v>0</v>
      </c>
      <c r="Q47" s="65">
        <f>$F47*Outputs_Internal!N$52/12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$F48*Outputs_Internal!M$52/12</f>
        <v>0</v>
      </c>
      <c r="Q48" s="65">
        <f>$F48*Outputs_Internal!N$52/12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$F49*Outputs_Internal!M$52/12</f>
        <v>0</v>
      </c>
      <c r="Q49" s="65">
        <f>$F49*Outputs_Internal!N$52/12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$F50*Outputs_Internal!M$52/12</f>
        <v>0</v>
      </c>
      <c r="Q50" s="65">
        <f>$F50*Outputs_Internal!N$52/12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$F51*Outputs_Internal!M$52/12</f>
        <v>0</v>
      </c>
      <c r="Q51" s="65">
        <f>$F51*Outputs_Internal!N$52/12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$F52*Outputs_Internal!M$52/12</f>
        <v>0</v>
      </c>
      <c r="Q52" s="65">
        <f>$F52*Outputs_Internal!N$52/12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$F53*Outputs_Internal!M$52/12</f>
        <v>0</v>
      </c>
      <c r="Q53" s="65">
        <f>$F53*Outputs_Internal!N$52/12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$F54*Outputs_Internal!M$52/12</f>
        <v>0</v>
      </c>
      <c r="Q54" s="65">
        <f>$F54*Outputs_Internal!N$52/12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$F55*Outputs_Internal!M$52/12</f>
        <v>0</v>
      </c>
      <c r="Q55" s="65">
        <f>$F55*Outputs_Internal!N$52/12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$F56*Outputs_Internal!M$52/12</f>
        <v>0</v>
      </c>
      <c r="Q56" s="65">
        <f>$F56*Outputs_Internal!N$52/12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$F57*Outputs_Internal!M$52/12</f>
        <v>0</v>
      </c>
      <c r="Q57" s="65">
        <f>$F57*Outputs_Internal!N$52/12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$F58*Outputs_Internal!M$52/12</f>
        <v>0</v>
      </c>
      <c r="Q58" s="65">
        <f>$F58*Outputs_Internal!N$52/12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$F59*Outputs_Internal!M$52/12</f>
        <v>0</v>
      </c>
      <c r="Q59" s="65">
        <f>$F59*Outputs_Internal!N$52/12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$F60*Outputs_Internal!M$52/12</f>
        <v>0</v>
      </c>
      <c r="Q60" s="65">
        <f>$F60*Outputs_Internal!N$52/12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$F61*Outputs_Internal!M$52/12</f>
        <v>0</v>
      </c>
      <c r="Q61" s="65">
        <f>$F61*Outputs_Internal!N$52/12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$F62*Outputs_Internal!M$52/12</f>
        <v>0</v>
      </c>
      <c r="Q62" s="65">
        <f>$F62*Outputs_Internal!N$52/12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$F63*Outputs_Internal!M$52/12</f>
        <v>0</v>
      </c>
      <c r="Q63" s="65">
        <f>$F63*Outputs_Internal!N$52/12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$F64*Outputs_Internal!M$52/12</f>
        <v>0</v>
      </c>
      <c r="Q64" s="65">
        <f>$F64*Outputs_Internal!N$52/12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$F65*Outputs_Internal!M$52/12</f>
        <v>0</v>
      </c>
      <c r="Q65" s="65">
        <f>$F65*Outputs_Internal!N$52/12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$F66*Outputs_Internal!M$52/12</f>
        <v>0</v>
      </c>
      <c r="Q66" s="65">
        <f>$F66*Outputs_Internal!N$52/12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$F67*Outputs_Internal!M$52/12</f>
        <v>0</v>
      </c>
      <c r="Q67" s="65">
        <f>$F67*Outputs_Internal!N$52/12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$F68*Outputs_Internal!M$52/12</f>
        <v>0</v>
      </c>
      <c r="Q68" s="65">
        <f>$F68*Outputs_Internal!N$52/12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$F69*Outputs_Internal!M$52/12</f>
        <v>0</v>
      </c>
      <c r="Q69" s="65">
        <f>$F69*Outputs_Internal!N$52/12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$F70*Outputs_Internal!M$52/12</f>
        <v>0</v>
      </c>
      <c r="Q70" s="65">
        <f>$F70*Outputs_Internal!N$52/12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$F71*Outputs_Internal!M$52/12</f>
        <v>0</v>
      </c>
      <c r="Q71" s="65">
        <f>$F71*Outputs_Internal!N$52/12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$F72*Outputs_Internal!M$52/12</f>
        <v>0</v>
      </c>
      <c r="Q72" s="65">
        <f>$F72*Outputs_Internal!N$52/12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$F73*Outputs_Internal!M$52/12</f>
        <v>0</v>
      </c>
      <c r="Q73" s="65">
        <f>$F73*Outputs_Internal!N$52/12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$F74*Outputs_Internal!M$52/12</f>
        <v>0</v>
      </c>
      <c r="Q74" s="65">
        <f>$F74*Outputs_Internal!N$52/12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$F75*Outputs_Internal!M$52/12</f>
        <v>0</v>
      </c>
      <c r="Q75" s="65">
        <f>$F75*Outputs_Internal!N$52/12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$F76*Outputs_Internal!M$52/12</f>
        <v>0</v>
      </c>
      <c r="Q76" s="65">
        <f>$F76*Outputs_Internal!N$52/12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$F77*Outputs_Internal!M$52/12</f>
        <v>0</v>
      </c>
      <c r="Q77" s="65">
        <f>$F77*Outputs_Internal!N$52/12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$F78*Outputs_Internal!M$52/12</f>
        <v>0</v>
      </c>
      <c r="Q78" s="65">
        <f>$F78*Outputs_Internal!N$52/12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$F79*Outputs_Internal!M$52/12</f>
        <v>0</v>
      </c>
      <c r="Q79" s="65">
        <f>$F79*Outputs_Internal!N$52/12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$F80*Outputs_Internal!M$52/12</f>
        <v>0</v>
      </c>
      <c r="Q80" s="65">
        <f>$F80*Outputs_Internal!N$52/12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$F81*Outputs_Internal!M$52/12</f>
        <v>0</v>
      </c>
      <c r="Q81" s="65">
        <f>$F81*Outputs_Internal!N$52/12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$F82*Outputs_Internal!M$52/12</f>
        <v>0</v>
      </c>
      <c r="Q82" s="65">
        <f>$F82*Outputs_Internal!N$52/12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$F83*Outputs_Internal!M$52/12</f>
        <v>0</v>
      </c>
      <c r="Q83" s="65">
        <f>$F83*Outputs_Internal!N$52/12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$F84*Outputs_Internal!M$52/12</f>
        <v>0</v>
      </c>
      <c r="Q84" s="65">
        <f>$F84*Outputs_Internal!N$52/12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$F85*Outputs_Internal!M$52/12</f>
        <v>0</v>
      </c>
      <c r="Q85" s="65">
        <f>$F85*Outputs_Internal!N$52/12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$F86*Outputs_Internal!M$52/12</f>
        <v>0</v>
      </c>
      <c r="Q86" s="65">
        <f>$F86*Outputs_Internal!N$52/12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$F87*Outputs_Internal!M$52/12</f>
        <v>0</v>
      </c>
      <c r="Q87" s="65">
        <f>$F87*Outputs_Internal!N$52/12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$F88*Outputs_Internal!M$52/12</f>
        <v>0</v>
      </c>
      <c r="Q88" s="65">
        <f>$F88*Outputs_Internal!N$52/12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$F89*Outputs_Internal!M$52/12</f>
        <v>0</v>
      </c>
      <c r="Q89" s="65">
        <f>$F89*Outputs_Internal!N$52/12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$F90*Outputs_Internal!M$52/12</f>
        <v>0</v>
      </c>
      <c r="Q90" s="65">
        <f>$F90*Outputs_Internal!N$52/12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$F91*Outputs_Internal!M$52/12</f>
        <v>0</v>
      </c>
      <c r="Q91" s="65">
        <f>$F91*Outputs_Internal!N$52/12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$F92*Outputs_Internal!M$52/12</f>
        <v>0</v>
      </c>
      <c r="Q92" s="65">
        <f>$F92*Outputs_Internal!N$52/12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$F93*Outputs_Internal!M$52/12</f>
        <v>0</v>
      </c>
      <c r="Q93" s="65">
        <f>$F93*Outputs_Internal!N$52/12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$F94*Outputs_Internal!M$52/12</f>
        <v>0</v>
      </c>
      <c r="Q94" s="65">
        <f>$F94*Outputs_Internal!N$52/12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tabSelected="1" workbookViewId="0">
      <pane xSplit="3" ySplit="2" topLeftCell="D72" activePane="bottomRight" state="frozen"/>
      <selection pane="topRight" activeCell="D1" sqref="D1"/>
      <selection pane="bottomLeft" activeCell="A3" sqref="A3"/>
      <selection pane="bottomRight" activeCell="H87" sqref="H87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47</v>
      </c>
      <c r="L2" s="21" t="s">
        <v>48</v>
      </c>
      <c r="M2" s="21" t="s">
        <v>49</v>
      </c>
      <c r="N2" s="21" t="s">
        <v>50</v>
      </c>
      <c r="O2" s="21" t="s">
        <v>51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44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70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31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10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32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11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12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104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13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14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33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71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31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10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32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11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12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13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14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33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72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31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10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32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11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12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13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14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33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73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31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10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32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11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12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13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14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33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66</v>
      </c>
    </row>
    <row r="61" spans="2:15" x14ac:dyDescent="0.25">
      <c r="C61" s="17" t="s">
        <v>16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17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18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19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67</v>
      </c>
    </row>
    <row r="67" spans="2:15" x14ac:dyDescent="0.25">
      <c r="C67" s="28" t="s">
        <v>16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17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18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19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68</v>
      </c>
    </row>
    <row r="73" spans="2:15" x14ac:dyDescent="0.25">
      <c r="C73" s="17" t="s">
        <v>16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17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18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19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69</v>
      </c>
    </row>
    <row r="79" spans="2:15" x14ac:dyDescent="0.25">
      <c r="C79" s="28" t="s">
        <v>16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17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18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19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45</v>
      </c>
    </row>
    <row r="85" spans="2:8" x14ac:dyDescent="0.25">
      <c r="C85" t="s">
        <v>36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37</v>
      </c>
      <c r="D86" s="1">
        <f>_xlfn.IFNA(SUM(INDEX(D$61:D$64, MATCH(3, K$61:K$64, 0)), INDEX(D$66:D$70, MATCH(3, K$61:K$64, 0)))*Prices!$I$6*-1, 0)</f>
        <v>0</v>
      </c>
      <c r="E86" s="1">
        <f>_xlfn.IFNA(SUM(INDEX(E$61:E$64, MATCH(3, L$61:L$64, 0)), INDEX(E$66:E$70, MATCH(3, L$61:L$64, 0)))*Prices!$I$6*-1, 0)</f>
        <v>0</v>
      </c>
      <c r="F86" s="1">
        <f>_xlfn.IFNA(SUM(INDEX(F$61:F$64, MATCH(3, M$61:M$64, 0)), INDEX(F$66:F$70, MATCH(3, M$61:M$64, 0)))*Prices!$I$6*-1, 0)</f>
        <v>0</v>
      </c>
      <c r="G86" s="1">
        <f>_xlfn.IFNA(SUM(INDEX(G$61:G$64, MATCH(3, N$61:N$64, 0)), INDEX(G$66:G$70, MATCH(3, N$61:N$64, 0)))*Prices!$I$6*-1, 0)</f>
        <v>0</v>
      </c>
      <c r="H86" s="1">
        <f>_xlfn.IFNA(SUM(INDEX(H$61:H$64, MATCH(3, O$61:O$64, 0)), INDEX(H$66:H$70, MATCH(3, O$61:O$64, 0)))*Prices!$I$6*-1, 0)</f>
        <v>0</v>
      </c>
    </row>
    <row r="88" spans="2:8" x14ac:dyDescent="0.25">
      <c r="B88" s="6" t="s">
        <v>46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63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103</v>
      </c>
      <c r="D92" s="2">
        <f>IF(Inputs!D5="Y", Prices!$I$17, 0)*SUM(Prices!$C$6, Prices!$C$20)*-1</f>
        <v>-3525</v>
      </c>
      <c r="E92" s="2">
        <f>IF(Inputs!E5="Y", Prices!$I$17, 0)*SUM(Prices!$C$6, Prices!$C$20)*-1</f>
        <v>0</v>
      </c>
      <c r="F92" s="2">
        <f>IF(Inputs!F5="Y", Prices!$I$17, 0)*SUM(Prices!$C$6, Prices!$C$20)*-1</f>
        <v>0</v>
      </c>
      <c r="G92" s="2">
        <f>IF(Inputs!G5="Y", Prices!$I$17, 0)*SUM(Prices!$C$6, Prices!$C$20)*-1</f>
        <v>0</v>
      </c>
      <c r="H92" s="2">
        <f>IF(Inputs!H5="Y", Prices!$I$17, 0)*SUM(Prices!$C$6, Prices!$C$20)*-1</f>
        <v>0</v>
      </c>
    </row>
    <row r="94" spans="2:8" x14ac:dyDescent="0.25">
      <c r="B94" s="6" t="s">
        <v>55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64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52</v>
      </c>
    </row>
    <row r="103" spans="2:8" s="21" customFormat="1" x14ac:dyDescent="0.25">
      <c r="B103" s="27"/>
      <c r="D103" s="21" t="s">
        <v>40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41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53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54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26</v>
      </c>
    </row>
    <row r="3" spans="2:9" x14ac:dyDescent="0.25">
      <c r="B3" t="s">
        <v>25</v>
      </c>
      <c r="C3" s="1">
        <v>5000</v>
      </c>
      <c r="D3" s="1">
        <v>32750</v>
      </c>
      <c r="E3" s="1"/>
      <c r="H3" s="6" t="s">
        <v>34</v>
      </c>
    </row>
    <row r="4" spans="2:9" x14ac:dyDescent="0.25">
      <c r="B4" t="s">
        <v>28</v>
      </c>
      <c r="C4" s="1">
        <v>5000</v>
      </c>
      <c r="D4" s="1">
        <v>0</v>
      </c>
      <c r="E4" s="1"/>
      <c r="H4" t="s">
        <v>35</v>
      </c>
      <c r="I4" s="3">
        <v>0</v>
      </c>
    </row>
    <row r="5" spans="2:9" x14ac:dyDescent="0.25">
      <c r="E5" s="6" t="s">
        <v>27</v>
      </c>
      <c r="H5" t="s">
        <v>36</v>
      </c>
      <c r="I5" s="3">
        <v>0.3</v>
      </c>
    </row>
    <row r="6" spans="2:9" x14ac:dyDescent="0.25">
      <c r="B6" s="15" t="s">
        <v>29</v>
      </c>
      <c r="C6" s="43">
        <v>15000</v>
      </c>
      <c r="D6" s="43">
        <v>30000</v>
      </c>
      <c r="E6" s="39">
        <v>0.27</v>
      </c>
      <c r="H6" t="s">
        <v>37</v>
      </c>
      <c r="I6" s="3">
        <v>0.45</v>
      </c>
    </row>
    <row r="7" spans="2:9" x14ac:dyDescent="0.25">
      <c r="B7" s="15" t="s">
        <v>30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39</v>
      </c>
    </row>
    <row r="9" spans="2:9" x14ac:dyDescent="0.25">
      <c r="C9" s="47" t="s">
        <v>42</v>
      </c>
      <c r="D9" s="48" t="s">
        <v>27</v>
      </c>
      <c r="H9" t="s">
        <v>38</v>
      </c>
      <c r="I9" s="3">
        <v>0</v>
      </c>
    </row>
    <row r="10" spans="2:9" x14ac:dyDescent="0.25">
      <c r="B10" s="17" t="s">
        <v>31</v>
      </c>
      <c r="C10" s="45">
        <v>1000</v>
      </c>
      <c r="D10" s="41">
        <v>0.04</v>
      </c>
      <c r="H10" t="s">
        <v>40</v>
      </c>
      <c r="I10" s="3">
        <v>0.45</v>
      </c>
    </row>
    <row r="11" spans="2:9" x14ac:dyDescent="0.25">
      <c r="B11" s="17" t="s">
        <v>10</v>
      </c>
      <c r="C11" s="45">
        <v>4000</v>
      </c>
      <c r="D11" s="41">
        <v>0.05</v>
      </c>
      <c r="H11" t="s">
        <v>41</v>
      </c>
      <c r="I11" s="3">
        <v>0.5</v>
      </c>
    </row>
    <row r="12" spans="2:9" x14ac:dyDescent="0.25">
      <c r="B12" s="17" t="s">
        <v>32</v>
      </c>
      <c r="C12" s="45">
        <v>2000</v>
      </c>
      <c r="D12" s="41">
        <v>0.04</v>
      </c>
    </row>
    <row r="13" spans="2:9" x14ac:dyDescent="0.25">
      <c r="B13" s="17" t="s">
        <v>11</v>
      </c>
      <c r="C13" s="45">
        <v>2000</v>
      </c>
      <c r="D13" s="41">
        <v>0.04</v>
      </c>
      <c r="H13" s="4"/>
    </row>
    <row r="14" spans="2:9" x14ac:dyDescent="0.25">
      <c r="B14" s="17" t="s">
        <v>12</v>
      </c>
      <c r="C14" s="45">
        <v>6000</v>
      </c>
      <c r="D14" s="41">
        <v>0.05</v>
      </c>
      <c r="H14" s="60" t="s">
        <v>82</v>
      </c>
      <c r="I14" s="59">
        <v>1.2500000000000001E-2</v>
      </c>
    </row>
    <row r="15" spans="2:9" x14ac:dyDescent="0.25">
      <c r="B15" s="17" t="s">
        <v>104</v>
      </c>
      <c r="C15" s="45">
        <v>4000</v>
      </c>
      <c r="D15" s="41">
        <v>0.05</v>
      </c>
      <c r="H15" s="4" t="s">
        <v>83</v>
      </c>
      <c r="I15" s="55">
        <v>43466</v>
      </c>
    </row>
    <row r="16" spans="2:9" x14ac:dyDescent="0.25">
      <c r="B16" s="19" t="s">
        <v>13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14</v>
      </c>
      <c r="C17" s="46">
        <v>5000</v>
      </c>
      <c r="D17" s="42">
        <v>7.0000000000000007E-2</v>
      </c>
      <c r="H17" s="6" t="s">
        <v>100</v>
      </c>
      <c r="I17" s="3">
        <v>0.15</v>
      </c>
    </row>
    <row r="18" spans="2:9" x14ac:dyDescent="0.25">
      <c r="B18" s="19" t="s">
        <v>33</v>
      </c>
      <c r="C18" s="46">
        <v>5000</v>
      </c>
      <c r="D18" s="42">
        <v>0</v>
      </c>
      <c r="H18" s="4" t="s">
        <v>101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16</v>
      </c>
      <c r="C20" s="45">
        <v>8500</v>
      </c>
      <c r="D20" s="41">
        <v>0</v>
      </c>
    </row>
    <row r="21" spans="2:9" x14ac:dyDescent="0.25">
      <c r="B21" s="17" t="s">
        <v>17</v>
      </c>
      <c r="C21" s="45">
        <v>33000</v>
      </c>
      <c r="D21" s="41">
        <v>0.28000000000000003</v>
      </c>
    </row>
    <row r="22" spans="2:9" x14ac:dyDescent="0.25">
      <c r="B22" s="19" t="s">
        <v>18</v>
      </c>
      <c r="C22" s="46">
        <v>35000</v>
      </c>
      <c r="D22" s="42">
        <v>0.28999999999999998</v>
      </c>
    </row>
    <row r="23" spans="2:9" x14ac:dyDescent="0.25">
      <c r="B23" s="19" t="s">
        <v>19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2018-04-20T21:46:30Z</dcterms:modified>
</cp:coreProperties>
</file>