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Outputs_Internal!$B$1:$M$60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3" i="1" l="1"/>
  <c r="J74" i="1"/>
  <c r="J75" i="1" s="1"/>
  <c r="J72" i="1"/>
  <c r="O72" i="1" s="1"/>
  <c r="O74" i="1"/>
  <c r="N74" i="1"/>
  <c r="M74" i="1"/>
  <c r="N73" i="1"/>
  <c r="M73" i="1"/>
  <c r="L73" i="1"/>
  <c r="K73" i="1"/>
  <c r="O71" i="1"/>
  <c r="N71" i="1"/>
  <c r="M71" i="1"/>
  <c r="L71" i="1"/>
  <c r="K71" i="1"/>
  <c r="H75" i="1"/>
  <c r="G75" i="1"/>
  <c r="F75" i="1"/>
  <c r="E75" i="1"/>
  <c r="D75" i="1"/>
  <c r="H66" i="1"/>
  <c r="G66" i="1"/>
  <c r="F66" i="1"/>
  <c r="E66" i="1"/>
  <c r="D66" i="1"/>
  <c r="K75" i="1" l="1"/>
  <c r="L75" i="1"/>
  <c r="J76" i="1"/>
  <c r="K72" i="1"/>
  <c r="L72" i="1"/>
  <c r="O73" i="1"/>
  <c r="M75" i="1"/>
  <c r="M72" i="1"/>
  <c r="K74" i="1"/>
  <c r="N75" i="1"/>
  <c r="N72" i="1"/>
  <c r="L74" i="1"/>
  <c r="O75" i="1"/>
  <c r="E23" i="5"/>
  <c r="G47" i="7"/>
  <c r="G48" i="7"/>
  <c r="F48" i="7" s="1"/>
  <c r="H39" i="7"/>
  <c r="H38" i="7"/>
  <c r="H23" i="5"/>
  <c r="G84" i="1"/>
  <c r="F23" i="5"/>
  <c r="E84" i="1"/>
  <c r="D84" i="1"/>
  <c r="H67" i="1"/>
  <c r="H85" i="1" s="1"/>
  <c r="G67" i="1"/>
  <c r="G85" i="1" s="1"/>
  <c r="F67" i="1"/>
  <c r="F85" i="1" s="1"/>
  <c r="E67" i="1"/>
  <c r="D67" i="1"/>
  <c r="H25" i="3"/>
  <c r="G25" i="3"/>
  <c r="F25" i="3"/>
  <c r="H24" i="3"/>
  <c r="G24" i="3"/>
  <c r="F24" i="3"/>
  <c r="M76" i="1" l="1"/>
  <c r="L76" i="1"/>
  <c r="O76" i="1"/>
  <c r="K76" i="1"/>
  <c r="J77" i="1"/>
  <c r="N76" i="1"/>
  <c r="F84" i="1"/>
  <c r="D23" i="5"/>
  <c r="G23" i="5"/>
  <c r="D68" i="7"/>
  <c r="H47" i="7"/>
  <c r="F47" i="7"/>
  <c r="H48" i="7"/>
  <c r="E85" i="1"/>
  <c r="D85" i="1"/>
  <c r="D39" i="7" s="1"/>
  <c r="N39" i="7" s="1"/>
  <c r="H84" i="1"/>
  <c r="D38" i="7" s="1"/>
  <c r="G49" i="7"/>
  <c r="G46" i="7"/>
  <c r="H46" i="7" s="1"/>
  <c r="G45" i="7"/>
  <c r="H37" i="7"/>
  <c r="H68" i="1"/>
  <c r="H86" i="1" s="1"/>
  <c r="G68" i="1"/>
  <c r="G86" i="1" s="1"/>
  <c r="F68" i="1"/>
  <c r="F86" i="1" s="1"/>
  <c r="E68" i="1"/>
  <c r="E86" i="1" s="1"/>
  <c r="D68" i="1"/>
  <c r="D86" i="1" s="1"/>
  <c r="O77" i="1" l="1"/>
  <c r="N77" i="1"/>
  <c r="M77" i="1"/>
  <c r="K77" i="1"/>
  <c r="L77" i="1"/>
  <c r="K39" i="7"/>
  <c r="M39" i="7"/>
  <c r="L39" i="7"/>
  <c r="M38" i="7"/>
  <c r="K38" i="7"/>
  <c r="L38" i="7"/>
  <c r="N38" i="7"/>
  <c r="D40" i="7"/>
  <c r="F46" i="7"/>
  <c r="D15" i="1"/>
  <c r="M9" i="1" l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6" i="3"/>
  <c r="G26" i="3"/>
  <c r="F26" i="3"/>
  <c r="H6" i="3"/>
  <c r="G6" i="3"/>
  <c r="F6" i="3"/>
  <c r="E11" i="1" l="1"/>
  <c r="F11" i="1"/>
  <c r="G11" i="1"/>
  <c r="H11" i="1"/>
  <c r="H56" i="1" s="1"/>
  <c r="E10" i="1"/>
  <c r="D11" i="1"/>
  <c r="F10" i="1"/>
  <c r="G10" i="1"/>
  <c r="H10" i="1"/>
  <c r="D10" i="1"/>
  <c r="H51" i="1" l="1"/>
  <c r="H55" i="1"/>
  <c r="H76" i="1"/>
  <c r="H24" i="5" s="1"/>
  <c r="G56" i="1"/>
  <c r="G76" i="1"/>
  <c r="G24" i="5" s="1"/>
  <c r="D76" i="1"/>
  <c r="F57" i="1"/>
  <c r="F76" i="1"/>
  <c r="F24" i="5" s="1"/>
  <c r="E58" i="1"/>
  <c r="E76" i="1"/>
  <c r="E24" i="5" s="1"/>
  <c r="H57" i="1"/>
  <c r="G57" i="1"/>
  <c r="G54" i="1"/>
  <c r="G58" i="1"/>
  <c r="E57" i="1"/>
  <c r="E55" i="1"/>
  <c r="G51" i="1"/>
  <c r="F58" i="1"/>
  <c r="E54" i="1"/>
  <c r="E28" i="1"/>
  <c r="F56" i="1"/>
  <c r="F52" i="1"/>
  <c r="F77" i="1"/>
  <c r="F51" i="1"/>
  <c r="E52" i="1"/>
  <c r="E77" i="1"/>
  <c r="F54" i="1"/>
  <c r="E56" i="1"/>
  <c r="E51" i="1"/>
  <c r="H53" i="1"/>
  <c r="H77" i="1"/>
  <c r="D51" i="1"/>
  <c r="D77" i="1"/>
  <c r="E53" i="1"/>
  <c r="G52" i="1"/>
  <c r="G77" i="1"/>
  <c r="E74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2" i="1"/>
  <c r="E73" i="1"/>
  <c r="E32" i="1"/>
  <c r="E50" i="1"/>
  <c r="E30" i="1"/>
  <c r="D57" i="1"/>
  <c r="D58" i="1"/>
  <c r="G34" i="1"/>
  <c r="G33" i="1"/>
  <c r="G73" i="1"/>
  <c r="G50" i="1"/>
  <c r="G31" i="1"/>
  <c r="G29" i="1"/>
  <c r="G27" i="1"/>
  <c r="G30" i="1"/>
  <c r="G28" i="1"/>
  <c r="G74" i="1"/>
  <c r="G72" i="1"/>
  <c r="G32" i="1"/>
  <c r="G26" i="1"/>
  <c r="H34" i="1"/>
  <c r="H33" i="1"/>
  <c r="H73" i="1"/>
  <c r="H50" i="1"/>
  <c r="H31" i="1"/>
  <c r="H29" i="1"/>
  <c r="H27" i="1"/>
  <c r="H74" i="1"/>
  <c r="H72" i="1"/>
  <c r="H32" i="1"/>
  <c r="H30" i="1"/>
  <c r="H28" i="1"/>
  <c r="H26" i="1"/>
  <c r="F33" i="1"/>
  <c r="F34" i="1"/>
  <c r="F31" i="1"/>
  <c r="F29" i="1"/>
  <c r="F27" i="1"/>
  <c r="F74" i="1"/>
  <c r="F32" i="1"/>
  <c r="F30" i="1"/>
  <c r="F73" i="1"/>
  <c r="F50" i="1"/>
  <c r="F28" i="1"/>
  <c r="F72" i="1"/>
  <c r="F26" i="1"/>
  <c r="D31" i="1"/>
  <c r="D33" i="1"/>
  <c r="D32" i="1"/>
  <c r="D26" i="1"/>
  <c r="D34" i="1"/>
  <c r="D27" i="1"/>
  <c r="D50" i="1"/>
  <c r="D29" i="1"/>
  <c r="D28" i="1"/>
  <c r="D73" i="1"/>
  <c r="D74" i="1"/>
  <c r="D72" i="1"/>
  <c r="D30" i="1"/>
  <c r="G54" i="7"/>
  <c r="D108" i="1"/>
  <c r="D30" i="5" s="1"/>
  <c r="D24" i="5" l="1"/>
  <c r="D69" i="7"/>
  <c r="E93" i="1"/>
  <c r="G94" i="1"/>
  <c r="E94" i="1"/>
  <c r="G93" i="1"/>
  <c r="D93" i="1"/>
  <c r="F94" i="1"/>
  <c r="H94" i="1"/>
  <c r="F93" i="1"/>
  <c r="H93" i="1"/>
  <c r="D94" i="1"/>
  <c r="H95" i="1"/>
  <c r="H25" i="5"/>
  <c r="D95" i="1"/>
  <c r="D25" i="5"/>
  <c r="G95" i="1"/>
  <c r="G25" i="5"/>
  <c r="F95" i="1"/>
  <c r="F25" i="5"/>
  <c r="E95" i="1"/>
  <c r="E25" i="5"/>
  <c r="D70" i="7"/>
  <c r="D22" i="7"/>
  <c r="D90" i="1"/>
  <c r="D29" i="7"/>
  <c r="D54" i="7"/>
  <c r="H24" i="7"/>
  <c r="G24" i="7"/>
  <c r="I24" i="7" s="1"/>
  <c r="D48" i="7" l="1"/>
  <c r="D47" i="7"/>
  <c r="D49" i="7"/>
  <c r="N49" i="7" s="1"/>
  <c r="M54" i="7"/>
  <c r="K54" i="7"/>
  <c r="N54" i="7"/>
  <c r="L54" i="7"/>
  <c r="F24" i="7"/>
  <c r="L48" i="7" l="1"/>
  <c r="K48" i="7"/>
  <c r="N48" i="7"/>
  <c r="M48" i="7"/>
  <c r="L47" i="7"/>
  <c r="N47" i="7"/>
  <c r="K47" i="7"/>
  <c r="M47" i="7"/>
  <c r="L49" i="7"/>
  <c r="H8" i="7"/>
  <c r="H9" i="7"/>
  <c r="H11" i="7"/>
  <c r="H12" i="7"/>
  <c r="H14" i="7"/>
  <c r="H15" i="7"/>
  <c r="H16" i="7"/>
  <c r="H17" i="7"/>
  <c r="F69" i="7" l="1"/>
  <c r="K69" i="7" s="1"/>
  <c r="H68" i="7"/>
  <c r="M68" i="7" s="1"/>
  <c r="F68" i="7"/>
  <c r="K68" i="7" s="1"/>
  <c r="G69" i="7"/>
  <c r="L69" i="7" s="1"/>
  <c r="H69" i="7"/>
  <c r="M69" i="7" s="1"/>
  <c r="I69" i="7"/>
  <c r="N69" i="7" s="1"/>
  <c r="I68" i="7"/>
  <c r="N68" i="7" s="1"/>
  <c r="G68" i="7"/>
  <c r="L68" i="7" s="1"/>
  <c r="I64" i="7"/>
  <c r="G44" i="7"/>
  <c r="G43" i="7"/>
  <c r="H34" i="7"/>
  <c r="H64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4" i="7" s="1"/>
  <c r="H4" i="1" l="1"/>
  <c r="G4" i="1"/>
  <c r="F4" i="1"/>
  <c r="E4" i="1"/>
  <c r="D4" i="1"/>
  <c r="H62" i="1" l="1"/>
  <c r="G62" i="1"/>
  <c r="F62" i="1"/>
  <c r="E62" i="1"/>
  <c r="D62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0" i="7"/>
  <c r="H36" i="7"/>
  <c r="H4" i="7"/>
  <c r="D43" i="7"/>
  <c r="N43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5" i="7" l="1"/>
  <c r="H45" i="7"/>
  <c r="H49" i="7"/>
  <c r="M49" i="7" s="1"/>
  <c r="F49" i="7"/>
  <c r="K49" i="7" s="1"/>
  <c r="D5" i="8"/>
  <c r="D6" i="8" s="1"/>
  <c r="J4" i="8"/>
  <c r="K4" i="8"/>
  <c r="I4" i="8"/>
  <c r="H4" i="8"/>
  <c r="F44" i="7"/>
  <c r="F43" i="7"/>
  <c r="K43" i="7" s="1"/>
  <c r="H43" i="7"/>
  <c r="M43" i="7" s="1"/>
  <c r="M31" i="7"/>
  <c r="F22" i="7"/>
  <c r="K22" i="7" s="1"/>
  <c r="F30" i="7"/>
  <c r="F25" i="7"/>
  <c r="F29" i="7"/>
  <c r="F28" i="7"/>
  <c r="L43" i="7"/>
  <c r="F26" i="7"/>
  <c r="F23" i="7"/>
  <c r="F27" i="7"/>
  <c r="F31" i="7"/>
  <c r="K31" i="7" s="1"/>
  <c r="L31" i="7"/>
  <c r="G64" i="7"/>
  <c r="F64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G63" i="1"/>
  <c r="F63" i="1"/>
  <c r="E63" i="1"/>
  <c r="D63" i="1"/>
  <c r="D64" i="1"/>
  <c r="E64" i="1"/>
  <c r="F64" i="1"/>
  <c r="G64" i="1"/>
  <c r="H64" i="1"/>
  <c r="D81" i="1" l="1"/>
  <c r="F81" i="1"/>
  <c r="L17" i="7"/>
  <c r="N17" i="7"/>
  <c r="I7" i="8"/>
  <c r="J7" i="8"/>
  <c r="K7" i="8"/>
  <c r="H7" i="8"/>
  <c r="D8" i="8"/>
  <c r="H82" i="1"/>
  <c r="G81" i="1"/>
  <c r="H81" i="1"/>
  <c r="G82" i="1"/>
  <c r="F82" i="1"/>
  <c r="D82" i="1"/>
  <c r="E81" i="1"/>
  <c r="E82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0" i="1"/>
  <c r="F80" i="1"/>
  <c r="E80" i="1"/>
  <c r="D80" i="1"/>
  <c r="H4" i="5"/>
  <c r="F4" i="5"/>
  <c r="E4" i="5"/>
  <c r="D5" i="7" s="1"/>
  <c r="N5" i="7" s="1"/>
  <c r="D4" i="5"/>
  <c r="D4" i="7" s="1"/>
  <c r="H65" i="1"/>
  <c r="G65" i="1"/>
  <c r="F65" i="1"/>
  <c r="E65" i="1"/>
  <c r="D64" i="7"/>
  <c r="D65" i="1"/>
  <c r="H14" i="1"/>
  <c r="G14" i="1"/>
  <c r="F14" i="1"/>
  <c r="E14" i="1"/>
  <c r="D14" i="1"/>
  <c r="G4" i="5"/>
  <c r="H22" i="5" l="1"/>
  <c r="D22" i="5"/>
  <c r="G22" i="5"/>
  <c r="F22" i="5"/>
  <c r="E22" i="5"/>
  <c r="D67" i="7"/>
  <c r="N64" i="7"/>
  <c r="K64" i="7"/>
  <c r="N4" i="7"/>
  <c r="K4" i="7"/>
  <c r="M4" i="7"/>
  <c r="C35" i="5"/>
  <c r="E9" i="8"/>
  <c r="H9" i="8"/>
  <c r="K5" i="7"/>
  <c r="L5" i="7"/>
  <c r="M5" i="7"/>
  <c r="F46" i="8"/>
  <c r="D10" i="8"/>
  <c r="F83" i="1"/>
  <c r="D83" i="1"/>
  <c r="G83" i="1"/>
  <c r="H19" i="5"/>
  <c r="H83" i="1"/>
  <c r="L64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3" i="1"/>
  <c r="M64" i="7"/>
  <c r="E15" i="5"/>
  <c r="E7" i="5"/>
  <c r="E10" i="5"/>
  <c r="E13" i="5"/>
  <c r="E8" i="5"/>
  <c r="E11" i="5"/>
  <c r="E14" i="5"/>
  <c r="E12" i="5"/>
  <c r="E9" i="5"/>
  <c r="H80" i="1"/>
  <c r="D34" i="7" s="1"/>
  <c r="E20" i="5"/>
  <c r="E21" i="5"/>
  <c r="H20" i="5"/>
  <c r="E92" i="1"/>
  <c r="F92" i="1"/>
  <c r="G92" i="1"/>
  <c r="H92" i="1"/>
  <c r="M85" i="1" l="1"/>
  <c r="M84" i="1"/>
  <c r="N85" i="1"/>
  <c r="N84" i="1"/>
  <c r="L85" i="1"/>
  <c r="L84" i="1"/>
  <c r="K84" i="1"/>
  <c r="K85" i="1"/>
  <c r="O85" i="1"/>
  <c r="O84" i="1"/>
  <c r="K86" i="1"/>
  <c r="K82" i="1"/>
  <c r="K83" i="1"/>
  <c r="K80" i="1"/>
  <c r="K81" i="1"/>
  <c r="O83" i="1"/>
  <c r="O81" i="1"/>
  <c r="O86" i="1"/>
  <c r="O82" i="1"/>
  <c r="O80" i="1"/>
  <c r="D37" i="7"/>
  <c r="L37" i="7" s="1"/>
  <c r="N82" i="1"/>
  <c r="N86" i="1"/>
  <c r="N83" i="1"/>
  <c r="N81" i="1"/>
  <c r="N80" i="1"/>
  <c r="M82" i="1"/>
  <c r="M80" i="1"/>
  <c r="M83" i="1"/>
  <c r="M86" i="1"/>
  <c r="M81" i="1"/>
  <c r="L80" i="1"/>
  <c r="L81" i="1"/>
  <c r="L86" i="1"/>
  <c r="L83" i="1"/>
  <c r="L82" i="1"/>
  <c r="D66" i="7"/>
  <c r="K34" i="7"/>
  <c r="M34" i="7"/>
  <c r="N34" i="7"/>
  <c r="I9" i="8"/>
  <c r="E10" i="8"/>
  <c r="F9" i="8"/>
  <c r="K10" i="8"/>
  <c r="I10" i="8"/>
  <c r="J10" i="8"/>
  <c r="H10" i="8"/>
  <c r="K8" i="7"/>
  <c r="L8" i="7"/>
  <c r="N40" i="7"/>
  <c r="F47" i="8"/>
  <c r="L4" i="7"/>
  <c r="J9" i="8" s="1"/>
  <c r="D11" i="8"/>
  <c r="G7" i="5"/>
  <c r="F90" i="1"/>
  <c r="F20" i="5"/>
  <c r="G90" i="1"/>
  <c r="G20" i="5"/>
  <c r="H7" i="5"/>
  <c r="G91" i="1"/>
  <c r="G21" i="5"/>
  <c r="H91" i="1"/>
  <c r="H21" i="5"/>
  <c r="D91" i="1"/>
  <c r="D21" i="5"/>
  <c r="F91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0" i="1"/>
  <c r="E91" i="1"/>
  <c r="E90" i="1"/>
  <c r="D65" i="7"/>
  <c r="D92" i="1"/>
  <c r="D46" i="7" s="1"/>
  <c r="N46" i="7" s="1"/>
  <c r="D20" i="5"/>
  <c r="L34" i="7"/>
  <c r="K9" i="8"/>
  <c r="N37" i="7" l="1"/>
  <c r="I67" i="7" s="1"/>
  <c r="E101" i="1"/>
  <c r="E99" i="1"/>
  <c r="E100" i="1"/>
  <c r="E102" i="1"/>
  <c r="E98" i="1"/>
  <c r="F100" i="1"/>
  <c r="F102" i="1"/>
  <c r="F98" i="1"/>
  <c r="F99" i="1"/>
  <c r="F101" i="1"/>
  <c r="H100" i="1"/>
  <c r="H99" i="1"/>
  <c r="H101" i="1"/>
  <c r="H98" i="1"/>
  <c r="H102" i="1"/>
  <c r="G98" i="1"/>
  <c r="G100" i="1"/>
  <c r="G102" i="1"/>
  <c r="G101" i="1"/>
  <c r="G99" i="1"/>
  <c r="D99" i="1"/>
  <c r="D101" i="1"/>
  <c r="D102" i="1"/>
  <c r="D100" i="1"/>
  <c r="D98" i="1"/>
  <c r="M37" i="7"/>
  <c r="K37" i="7"/>
  <c r="F67" i="7" s="1"/>
  <c r="M22" i="7"/>
  <c r="N22" i="7"/>
  <c r="I11" i="8"/>
  <c r="J11" i="8"/>
  <c r="K11" i="8"/>
  <c r="H11" i="8"/>
  <c r="E11" i="8"/>
  <c r="F10" i="8"/>
  <c r="F48" i="8"/>
  <c r="D12" i="8"/>
  <c r="K46" i="7"/>
  <c r="M46" i="7"/>
  <c r="L46" i="7"/>
  <c r="G67" i="7" s="1"/>
  <c r="D44" i="7"/>
  <c r="D45" i="7"/>
  <c r="N45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H67" i="7" l="1"/>
  <c r="D28" i="5"/>
  <c r="H28" i="5"/>
  <c r="E28" i="5"/>
  <c r="G28" i="5"/>
  <c r="F28" i="5"/>
  <c r="E104" i="1"/>
  <c r="G104" i="1"/>
  <c r="F104" i="1"/>
  <c r="H104" i="1"/>
  <c r="D104" i="1"/>
  <c r="K44" i="7"/>
  <c r="N44" i="7"/>
  <c r="I12" i="8"/>
  <c r="J12" i="8"/>
  <c r="K12" i="8"/>
  <c r="H12" i="8"/>
  <c r="E12" i="8"/>
  <c r="F11" i="8"/>
  <c r="F49" i="8"/>
  <c r="D13" i="8"/>
  <c r="L44" i="7"/>
  <c r="M44" i="7"/>
  <c r="L45" i="7"/>
  <c r="M45" i="7"/>
  <c r="K45" i="7"/>
  <c r="L36" i="7"/>
  <c r="L9" i="7"/>
  <c r="M35" i="7"/>
  <c r="K40" i="7"/>
  <c r="M16" i="7"/>
  <c r="K12" i="7"/>
  <c r="M15" i="7"/>
  <c r="L14" i="7"/>
  <c r="L11" i="7"/>
  <c r="M13" i="7"/>
  <c r="K10" i="7"/>
  <c r="M10" i="7"/>
  <c r="L10" i="7"/>
  <c r="L15" i="7"/>
  <c r="K15" i="7"/>
  <c r="M40" i="7"/>
  <c r="K16" i="7"/>
  <c r="K11" i="7"/>
  <c r="K13" i="7"/>
  <c r="L16" i="7"/>
  <c r="L12" i="7"/>
  <c r="L13" i="7"/>
  <c r="M12" i="7"/>
  <c r="M36" i="7"/>
  <c r="K36" i="7"/>
  <c r="K9" i="7"/>
  <c r="L40" i="7"/>
  <c r="M14" i="7"/>
  <c r="M9" i="7"/>
  <c r="L35" i="7"/>
  <c r="K35" i="7"/>
  <c r="M11" i="7"/>
  <c r="K14" i="7"/>
  <c r="M8" i="7"/>
  <c r="F70" i="7" l="1"/>
  <c r="I70" i="7"/>
  <c r="G70" i="7"/>
  <c r="L70" i="7" s="1"/>
  <c r="H70" i="7"/>
  <c r="M70" i="7" s="1"/>
  <c r="F65" i="7"/>
  <c r="K65" i="7" s="1"/>
  <c r="H66" i="7"/>
  <c r="M66" i="7" s="1"/>
  <c r="N67" i="7"/>
  <c r="G65" i="7"/>
  <c r="L65" i="7" s="1"/>
  <c r="L67" i="7"/>
  <c r="K70" i="7"/>
  <c r="N70" i="7"/>
  <c r="M67" i="7"/>
  <c r="F66" i="7"/>
  <c r="K66" i="7" s="1"/>
  <c r="K67" i="7"/>
  <c r="G66" i="7"/>
  <c r="L66" i="7" s="1"/>
  <c r="I66" i="7"/>
  <c r="N66" i="7" s="1"/>
  <c r="H65" i="7"/>
  <c r="M65" i="7" s="1"/>
  <c r="I65" i="7"/>
  <c r="N65" i="7" s="1"/>
  <c r="E13" i="8"/>
  <c r="F12" i="8"/>
  <c r="J13" i="8"/>
  <c r="K13" i="8"/>
  <c r="I13" i="8"/>
  <c r="H13" i="8"/>
  <c r="F50" i="8"/>
  <c r="D14" i="8"/>
  <c r="D52" i="7"/>
  <c r="D113" i="1"/>
  <c r="D115" i="1" s="1"/>
  <c r="F113" i="1"/>
  <c r="F115" i="1" s="1"/>
  <c r="G113" i="1"/>
  <c r="H113" i="1"/>
  <c r="E113" i="1"/>
  <c r="I52" i="7" l="1"/>
  <c r="N52" i="7" s="1"/>
  <c r="F52" i="7"/>
  <c r="K52" i="7" s="1"/>
  <c r="H52" i="7"/>
  <c r="M52" i="7" s="1"/>
  <c r="G52" i="7"/>
  <c r="L52" i="7" s="1"/>
  <c r="K14" i="8"/>
  <c r="I14" i="8"/>
  <c r="H14" i="8"/>
  <c r="J14" i="8"/>
  <c r="E14" i="8"/>
  <c r="F13" i="8"/>
  <c r="F51" i="8"/>
  <c r="D15" i="8"/>
  <c r="E115" i="1"/>
  <c r="H115" i="1"/>
  <c r="G115" i="1"/>
  <c r="H53" i="7" l="1"/>
  <c r="F53" i="7"/>
  <c r="G53" i="7"/>
  <c r="I15" i="8"/>
  <c r="J15" i="8"/>
  <c r="H15" i="8"/>
  <c r="K15" i="8"/>
  <c r="E15" i="8"/>
  <c r="F14" i="8"/>
  <c r="F52" i="8"/>
  <c r="D16" i="8"/>
  <c r="F116" i="1"/>
  <c r="G116" i="1"/>
  <c r="H116" i="1"/>
  <c r="E116" i="1"/>
  <c r="D116" i="1"/>
  <c r="I53" i="7" l="1"/>
  <c r="I16" i="8"/>
  <c r="J16" i="8"/>
  <c r="K16" i="8"/>
  <c r="H16" i="8"/>
  <c r="E16" i="8"/>
  <c r="F15" i="8"/>
  <c r="F53" i="8"/>
  <c r="D17" i="8"/>
  <c r="E119" i="1"/>
  <c r="E122" i="1"/>
  <c r="H106" i="1" s="1"/>
  <c r="E120" i="1"/>
  <c r="E121" i="1"/>
  <c r="J17" i="8" l="1"/>
  <c r="K17" i="8"/>
  <c r="I17" i="8"/>
  <c r="H17" i="8"/>
  <c r="E17" i="8"/>
  <c r="F16" i="8"/>
  <c r="F54" i="8"/>
  <c r="D18" i="8"/>
  <c r="E106" i="1"/>
  <c r="E29" i="5" s="1"/>
  <c r="E32" i="5" s="1"/>
  <c r="E37" i="5" s="1"/>
  <c r="F106" i="1"/>
  <c r="F29" i="5" s="1"/>
  <c r="F32" i="5" s="1"/>
  <c r="F37" i="5" s="1"/>
  <c r="D106" i="1"/>
  <c r="D29" i="5" s="1"/>
  <c r="G106" i="1"/>
  <c r="H29" i="5"/>
  <c r="H32" i="5" s="1"/>
  <c r="H37" i="5" s="1"/>
  <c r="H110" i="1"/>
  <c r="D32" i="5" l="1"/>
  <c r="D37" i="5" s="1"/>
  <c r="K18" i="8"/>
  <c r="I18" i="8"/>
  <c r="H18" i="8"/>
  <c r="J18" i="8"/>
  <c r="E18" i="8"/>
  <c r="F17" i="8"/>
  <c r="F55" i="8"/>
  <c r="D19" i="8"/>
  <c r="E110" i="1"/>
  <c r="F110" i="1"/>
  <c r="D110" i="1"/>
  <c r="G29" i="5"/>
  <c r="D53" i="7" s="1"/>
  <c r="N53" i="7" s="1"/>
  <c r="N56" i="7" s="1"/>
  <c r="G110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3" i="7"/>
  <c r="K56" i="7" s="1"/>
  <c r="L53" i="7"/>
  <c r="L56" i="7" s="1"/>
  <c r="M53" i="7"/>
  <c r="M56" i="7" s="1"/>
  <c r="G32" i="5"/>
  <c r="G37" i="5" s="1"/>
  <c r="C42" i="5" s="1"/>
  <c r="D57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D56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9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S77" i="8" s="1"/>
  <c r="I77" i="8"/>
  <c r="T77" i="8" s="1"/>
  <c r="D78" i="8"/>
  <c r="V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J83" i="8"/>
  <c r="U83" i="8" s="1"/>
  <c r="K83" i="8"/>
  <c r="V83" i="8" s="1"/>
  <c r="D84" i="8"/>
  <c r="T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U92" i="8" s="1"/>
  <c r="L59" i="7" s="1"/>
  <c r="K92" i="8"/>
  <c r="V92" i="8" s="1"/>
  <c r="M59" i="7" s="1"/>
  <c r="H92" i="8"/>
  <c r="S92" i="8" s="1"/>
  <c r="C41" i="5" s="1"/>
  <c r="D93" i="8"/>
  <c r="T92" i="8"/>
  <c r="K59" i="7" s="1"/>
  <c r="J93" i="8" l="1"/>
  <c r="K93" i="8"/>
  <c r="H93" i="8"/>
  <c r="I93" i="8"/>
  <c r="D59" i="7"/>
  <c r="D94" i="8"/>
  <c r="M60" i="7" l="1"/>
  <c r="N60" i="7"/>
  <c r="K94" i="8"/>
  <c r="H94" i="8"/>
  <c r="I94" i="8"/>
  <c r="J94" i="8"/>
  <c r="K60" i="7"/>
  <c r="L60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<sst xmlns="http://schemas.openxmlformats.org/spreadsheetml/2006/main" count="342" uniqueCount="124">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</sst>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3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C28" sqref="C28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91" t="s">
        <v>76</v>
      </c>
      <c r="C1" s="70">
        <v>43101</v>
      </c>
    </row>
    <row r="2" spans="2:12" x14ac:dyDescent="0.25">
      <c r="B2" s="67" t="s">
        <v>90</v>
      </c>
      <c r="C2" s="71">
        <v>36</v>
      </c>
    </row>
    <row r="3" spans="2:12" x14ac:dyDescent="0.25">
      <c r="B3" s="68"/>
      <c r="C3" s="72"/>
      <c r="D3" s="13" t="s">
        <v>18</v>
      </c>
      <c r="E3" s="13" t="s">
        <v>19</v>
      </c>
      <c r="F3" s="13" t="s">
        <v>20</v>
      </c>
      <c r="G3" s="13" t="s">
        <v>21</v>
      </c>
      <c r="H3" s="14" t="s">
        <v>22</v>
      </c>
    </row>
    <row r="4" spans="2:12" ht="18" customHeight="1" x14ac:dyDescent="0.25">
      <c r="B4" s="69" t="s">
        <v>5</v>
      </c>
      <c r="D4" s="55" t="s">
        <v>3</v>
      </c>
      <c r="E4" s="55" t="s">
        <v>39</v>
      </c>
      <c r="F4" s="55"/>
      <c r="G4" s="55"/>
      <c r="H4" s="56"/>
      <c r="L4" t="s">
        <v>3</v>
      </c>
    </row>
    <row r="5" spans="2:12" ht="18" customHeight="1" x14ac:dyDescent="0.25">
      <c r="B5" s="69" t="s">
        <v>98</v>
      </c>
      <c r="D5" s="55" t="s">
        <v>39</v>
      </c>
      <c r="E5" s="55" t="s">
        <v>39</v>
      </c>
      <c r="F5" s="55"/>
      <c r="G5" s="55"/>
      <c r="H5" s="56"/>
      <c r="L5" t="s">
        <v>39</v>
      </c>
    </row>
    <row r="6" spans="2:12" ht="18" customHeight="1" x14ac:dyDescent="0.25">
      <c r="B6" s="69" t="s">
        <v>6</v>
      </c>
      <c r="D6" s="55" t="s">
        <v>3</v>
      </c>
      <c r="E6" s="55" t="s">
        <v>39</v>
      </c>
      <c r="F6" s="55"/>
      <c r="G6" s="55"/>
      <c r="H6" s="56"/>
    </row>
    <row r="7" spans="2:12" ht="18" customHeight="1" x14ac:dyDescent="0.25">
      <c r="B7" s="69" t="s">
        <v>4</v>
      </c>
      <c r="D7" s="55">
        <v>250000</v>
      </c>
      <c r="E7" s="55">
        <v>250000</v>
      </c>
      <c r="F7" s="55"/>
      <c r="G7" s="55"/>
      <c r="H7" s="56"/>
    </row>
    <row r="8" spans="2:12" ht="18" customHeight="1" x14ac:dyDescent="0.25">
      <c r="B8" s="69" t="s">
        <v>116</v>
      </c>
      <c r="D8" s="55" t="s">
        <v>3</v>
      </c>
      <c r="E8" s="55" t="s">
        <v>39</v>
      </c>
      <c r="F8" s="55"/>
      <c r="G8" s="55"/>
      <c r="H8" s="56"/>
    </row>
    <row r="9" spans="2:12" ht="18" customHeight="1" x14ac:dyDescent="0.25">
      <c r="B9" s="69" t="s">
        <v>7</v>
      </c>
      <c r="D9" s="55" t="s">
        <v>3</v>
      </c>
      <c r="E9" s="55" t="s">
        <v>39</v>
      </c>
      <c r="F9" s="55"/>
      <c r="G9" s="55"/>
      <c r="H9" s="56"/>
    </row>
    <row r="10" spans="2:12" ht="18" customHeight="1" x14ac:dyDescent="0.25">
      <c r="B10" s="69" t="s">
        <v>8</v>
      </c>
      <c r="D10" s="55" t="s">
        <v>3</v>
      </c>
      <c r="E10" s="55" t="s">
        <v>39</v>
      </c>
      <c r="F10" s="55"/>
      <c r="G10" s="55"/>
      <c r="H10" s="56"/>
    </row>
    <row r="11" spans="2:12" ht="18" customHeight="1" x14ac:dyDescent="0.25">
      <c r="B11" s="69" t="s">
        <v>28</v>
      </c>
      <c r="D11" s="55" t="s">
        <v>39</v>
      </c>
      <c r="E11" s="55" t="s">
        <v>39</v>
      </c>
      <c r="F11" s="55"/>
      <c r="G11" s="55"/>
      <c r="H11" s="56"/>
    </row>
    <row r="12" spans="2:12" ht="18" customHeight="1" x14ac:dyDescent="0.25">
      <c r="B12" s="69" t="s">
        <v>9</v>
      </c>
      <c r="D12" s="55" t="s">
        <v>39</v>
      </c>
      <c r="E12" s="55" t="s">
        <v>39</v>
      </c>
      <c r="F12" s="55"/>
      <c r="G12" s="55"/>
      <c r="H12" s="56"/>
    </row>
    <row r="13" spans="2:12" ht="18" customHeight="1" x14ac:dyDescent="0.25">
      <c r="B13" s="69" t="s">
        <v>10</v>
      </c>
      <c r="D13" s="55" t="s">
        <v>39</v>
      </c>
      <c r="E13" s="55" t="s">
        <v>39</v>
      </c>
      <c r="F13" s="55"/>
      <c r="G13" s="55"/>
      <c r="H13" s="56"/>
    </row>
    <row r="14" spans="2:12" ht="18" customHeight="1" x14ac:dyDescent="0.25">
      <c r="B14" s="69" t="s">
        <v>95</v>
      </c>
      <c r="D14" s="55" t="s">
        <v>39</v>
      </c>
      <c r="E14" s="55" t="s">
        <v>39</v>
      </c>
      <c r="F14" s="55"/>
      <c r="G14" s="55"/>
      <c r="H14" s="56"/>
    </row>
    <row r="15" spans="2:12" ht="18" customHeight="1" x14ac:dyDescent="0.25">
      <c r="B15" s="69" t="s">
        <v>11</v>
      </c>
      <c r="D15" s="55" t="s">
        <v>39</v>
      </c>
      <c r="E15" s="55" t="s">
        <v>39</v>
      </c>
      <c r="F15" s="55"/>
      <c r="G15" s="55"/>
      <c r="H15" s="56"/>
    </row>
    <row r="16" spans="2:12" ht="18" customHeight="1" x14ac:dyDescent="0.25">
      <c r="B16" s="69" t="s">
        <v>12</v>
      </c>
      <c r="D16" s="55" t="s">
        <v>39</v>
      </c>
      <c r="E16" s="55" t="s">
        <v>39</v>
      </c>
      <c r="F16" s="55"/>
      <c r="G16" s="55"/>
      <c r="H16" s="56"/>
    </row>
    <row r="17" spans="2:8" ht="18" customHeight="1" x14ac:dyDescent="0.25">
      <c r="B17" s="69" t="s">
        <v>13</v>
      </c>
      <c r="D17" s="55" t="s">
        <v>39</v>
      </c>
      <c r="E17" s="55" t="s">
        <v>39</v>
      </c>
      <c r="F17" s="55"/>
      <c r="G17" s="55"/>
      <c r="H17" s="56"/>
    </row>
    <row r="18" spans="2:8" ht="18" customHeight="1" x14ac:dyDescent="0.25">
      <c r="B18" s="69" t="s">
        <v>14</v>
      </c>
      <c r="D18" s="55" t="s">
        <v>39</v>
      </c>
      <c r="E18" s="55" t="s">
        <v>39</v>
      </c>
      <c r="F18" s="55"/>
      <c r="G18" s="55"/>
      <c r="H18" s="56"/>
    </row>
    <row r="19" spans="2:8" ht="18" customHeight="1" x14ac:dyDescent="0.25">
      <c r="B19" s="69" t="s">
        <v>15</v>
      </c>
      <c r="D19" s="55" t="s">
        <v>3</v>
      </c>
      <c r="E19" s="55" t="s">
        <v>39</v>
      </c>
      <c r="F19" s="55"/>
      <c r="G19" s="55"/>
      <c r="H19" s="56"/>
    </row>
    <row r="20" spans="2:8" ht="18" customHeight="1" x14ac:dyDescent="0.25">
      <c r="B20" s="69" t="s">
        <v>16</v>
      </c>
      <c r="D20" s="55" t="s">
        <v>39</v>
      </c>
      <c r="E20" s="55" t="s">
        <v>39</v>
      </c>
      <c r="F20" s="55"/>
      <c r="G20" s="55"/>
      <c r="H20" s="56"/>
    </row>
    <row r="21" spans="2:8" ht="18" customHeight="1" x14ac:dyDescent="0.25">
      <c r="B21" s="69" t="s">
        <v>17</v>
      </c>
      <c r="D21" s="55" t="s">
        <v>3</v>
      </c>
      <c r="E21" s="55" t="s">
        <v>3</v>
      </c>
      <c r="F21" s="55"/>
      <c r="G21" s="55"/>
      <c r="H21" s="56"/>
    </row>
    <row r="22" spans="2:8" ht="18" customHeight="1" x14ac:dyDescent="0.25">
      <c r="B22" s="69" t="s">
        <v>118</v>
      </c>
      <c r="D22" s="55" t="s">
        <v>3</v>
      </c>
      <c r="E22" s="55" t="s">
        <v>3</v>
      </c>
      <c r="F22" s="55"/>
      <c r="G22" s="55"/>
      <c r="H22" s="56"/>
    </row>
    <row r="23" spans="2:8" ht="18" customHeight="1" x14ac:dyDescent="0.25">
      <c r="B23" s="92" t="s">
        <v>117</v>
      </c>
      <c r="C23" s="93"/>
      <c r="D23" s="94" t="s">
        <v>3</v>
      </c>
      <c r="E23" s="94" t="s">
        <v>3</v>
      </c>
      <c r="F23" s="94"/>
      <c r="G23" s="94"/>
      <c r="H23" s="95"/>
    </row>
  </sheetData>
  <dataValidations count="3">
    <dataValidation type="list" allowBlank="1" showInputMessage="1" showErrorMessage="1" sqref="D4:G6 D8:H21 D22:D23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H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5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18</v>
      </c>
      <c r="E2" t="s">
        <v>19</v>
      </c>
      <c r="F2" t="s">
        <v>20</v>
      </c>
      <c r="G2" t="s">
        <v>21</v>
      </c>
      <c r="H2" t="s">
        <v>22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32750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51</v>
      </c>
    </row>
    <row r="7" spans="2:21" x14ac:dyDescent="0.2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27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28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95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29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52</v>
      </c>
    </row>
    <row r="19" spans="2:21" x14ac:dyDescent="0.25">
      <c r="C19" t="s">
        <v>14</v>
      </c>
      <c r="D19" s="1">
        <f>SUM(Calcs!D62, Calcs!D71)</f>
        <v>0</v>
      </c>
      <c r="E19" s="1">
        <f>SUM(Calcs!E62, Calcs!E71)</f>
        <v>0</v>
      </c>
      <c r="F19" s="1">
        <f>SUM(Calcs!F62, Calcs!F71)</f>
        <v>0</v>
      </c>
      <c r="G19" s="1">
        <f>SUM(Calcs!G62, Calcs!G71)</f>
        <v>0</v>
      </c>
      <c r="H19" s="1">
        <f>SUM(Calcs!H62, Calcs!H71)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Calcs!D72)</f>
        <v>33000</v>
      </c>
      <c r="E20" s="1">
        <f>SUM(Calcs!E63, Calcs!E72)</f>
        <v>0</v>
      </c>
      <c r="F20" s="1">
        <f>SUM(Calcs!F63, Calcs!F72)</f>
        <v>0</v>
      </c>
      <c r="G20" s="1">
        <f>SUM(Calcs!G63, Calcs!G72)</f>
        <v>0</v>
      </c>
      <c r="H20" s="1">
        <f>SUM(Calcs!H63,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Calcs!D73)</f>
        <v>0</v>
      </c>
      <c r="E21" s="1">
        <f>SUM(Calcs!E64, Calcs!E73)</f>
        <v>0</v>
      </c>
      <c r="F21" s="1">
        <f>SUM(Calcs!F64, Calcs!F73)</f>
        <v>0</v>
      </c>
      <c r="G21" s="1">
        <f>SUM(Calcs!G64, Calcs!G73)</f>
        <v>0</v>
      </c>
      <c r="H21" s="1">
        <f>SUM(Calcs!H64,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17</v>
      </c>
      <c r="D22" s="1">
        <f>SUM(Calcs!D65, Calcs!D74)</f>
        <v>28000</v>
      </c>
      <c r="E22" s="1">
        <f>SUM(Calcs!E65, Calcs!E74)</f>
        <v>44380</v>
      </c>
      <c r="F22" s="1">
        <f>SUM(Calcs!F65, Calcs!F74)</f>
        <v>0</v>
      </c>
      <c r="G22" s="1">
        <f>SUM(Calcs!G65, Calcs!G74)</f>
        <v>0</v>
      </c>
      <c r="H22" s="1">
        <f>SUM(Calcs!H65,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118</v>
      </c>
      <c r="D23" s="1">
        <f>SUM(Calcs!D66, Calcs!D75)</f>
        <v>28000</v>
      </c>
      <c r="E23" s="1">
        <f>SUM(Calcs!E66, Calcs!E75)</f>
        <v>44380</v>
      </c>
      <c r="F23" s="1">
        <f>SUM(Calcs!F66, Calcs!F75)</f>
        <v>0</v>
      </c>
      <c r="G23" s="1">
        <f>SUM(Calcs!G66, Calcs!G75)</f>
        <v>0</v>
      </c>
      <c r="H23" s="1">
        <f>SUM(Calcs!H66,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117</v>
      </c>
      <c r="D24" s="1">
        <f>SUM(Calcs!D67, Calcs!D76)</f>
        <v>20000</v>
      </c>
      <c r="E24" s="1">
        <f>SUM(Calcs!E67, Calcs!E76)</f>
        <v>32740</v>
      </c>
      <c r="F24" s="1">
        <f>SUM(Calcs!F67, Calcs!F76)</f>
        <v>0</v>
      </c>
      <c r="G24" s="1">
        <f>SUM(Calcs!G67, Calcs!G76)</f>
        <v>0</v>
      </c>
      <c r="H24" s="1">
        <f>SUM(Calcs!H67, Calcs!H76)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116</v>
      </c>
      <c r="D25" s="1">
        <f>SUM(Calcs!D68, Calcs!D77)</f>
        <v>6750</v>
      </c>
      <c r="E25" s="1">
        <f>SUM(Calcs!E68, Calcs!E77)</f>
        <v>0</v>
      </c>
      <c r="F25" s="1">
        <f>SUM(Calcs!F68, Calcs!F77)</f>
        <v>0</v>
      </c>
      <c r="G25" s="1">
        <f>SUM(Calcs!G68, Calcs!G77)</f>
        <v>0</v>
      </c>
      <c r="H25" s="1">
        <f>SUM(Calcs!H68, Calcs!H77)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7" spans="2:21" x14ac:dyDescent="0.25">
      <c r="B27" s="6" t="s">
        <v>53</v>
      </c>
    </row>
    <row r="28" spans="2:21" x14ac:dyDescent="0.25">
      <c r="C28" t="s">
        <v>54</v>
      </c>
      <c r="D28" s="1">
        <f>SUM(Calcs!D98:D102)</f>
        <v>-33037.5</v>
      </c>
      <c r="E28" s="1">
        <f>SUM(Calcs!E98:E102)</f>
        <v>-28047</v>
      </c>
      <c r="F28" s="1">
        <f>SUM(Calcs!F98:F102)</f>
        <v>0</v>
      </c>
      <c r="G28" s="1">
        <f>SUM(Calcs!G98:G102)</f>
        <v>0</v>
      </c>
      <c r="H28" s="1">
        <f>SUM(Calcs!H98:H102)</f>
        <v>0</v>
      </c>
      <c r="I28" s="1"/>
      <c r="J28" s="1"/>
      <c r="K28" s="1"/>
      <c r="M28" s="1"/>
      <c r="O28" s="8"/>
      <c r="P28" s="3"/>
      <c r="Q28" s="3"/>
      <c r="S28" s="1"/>
      <c r="T28" s="1"/>
      <c r="U28" s="1"/>
    </row>
    <row r="29" spans="2:21" x14ac:dyDescent="0.25">
      <c r="C29" t="s">
        <v>47</v>
      </c>
      <c r="D29" s="1">
        <f>Calcs!D106</f>
        <v>-43970.625</v>
      </c>
      <c r="E29" s="1">
        <f>Calcs!E106</f>
        <v>0</v>
      </c>
      <c r="F29" s="1">
        <f>Calcs!F106</f>
        <v>0</v>
      </c>
      <c r="G29" s="1">
        <f>Calcs!G106</f>
        <v>0</v>
      </c>
      <c r="H29" s="1">
        <f>Calcs!H106</f>
        <v>0</v>
      </c>
      <c r="I29" s="1"/>
      <c r="J29" s="1"/>
      <c r="K29" s="1"/>
      <c r="M29" s="1"/>
      <c r="O29" s="3"/>
      <c r="P29" s="3"/>
      <c r="Q29" s="3"/>
      <c r="S29" s="1"/>
      <c r="T29" s="1"/>
      <c r="U29" s="1"/>
    </row>
    <row r="30" spans="2:21" x14ac:dyDescent="0.25">
      <c r="C30" t="s">
        <v>100</v>
      </c>
      <c r="D30" s="1">
        <f>Calcs!D108</f>
        <v>0</v>
      </c>
      <c r="E30" s="1">
        <v>0</v>
      </c>
      <c r="F30" s="1">
        <v>0</v>
      </c>
      <c r="G30" s="1">
        <v>0</v>
      </c>
      <c r="H30" s="1"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2" spans="2:21" x14ac:dyDescent="0.25">
      <c r="B32" s="6" t="s">
        <v>55</v>
      </c>
      <c r="D32" s="7">
        <f>SUM(D7:D16, D19:D25, D28:D30)</f>
        <v>53741.875</v>
      </c>
      <c r="E32" s="7">
        <f>SUM(E7:E16, E19:E25, E28:E29)</f>
        <v>148023</v>
      </c>
      <c r="F32" s="7">
        <f>SUM(F7:F16, F19:F25, F28:F29)</f>
        <v>0</v>
      </c>
      <c r="G32" s="7">
        <f>SUM(G7:G16, G19:G25, G28:G29)</f>
        <v>0</v>
      </c>
      <c r="H32" s="7">
        <f>SUM(H7:H16, H19:H25, H28:H29)</f>
        <v>0</v>
      </c>
      <c r="I32" s="7"/>
      <c r="J32" s="7"/>
      <c r="K32" s="7"/>
      <c r="M32" s="1"/>
      <c r="S32" s="1"/>
      <c r="T32" s="1"/>
      <c r="U32" s="1"/>
    </row>
    <row r="33" spans="2:21" x14ac:dyDescent="0.25">
      <c r="D33" s="7"/>
      <c r="E33" s="7"/>
      <c r="F33" s="7"/>
      <c r="G33" s="7"/>
      <c r="H33" s="7"/>
      <c r="I33" s="7"/>
      <c r="J33" s="7"/>
      <c r="K33" s="7"/>
      <c r="M33" s="1"/>
      <c r="S33" s="1"/>
      <c r="T33" s="1"/>
      <c r="U33" s="1"/>
    </row>
    <row r="34" spans="2:21" x14ac:dyDescent="0.25">
      <c r="B34" s="6" t="s">
        <v>92</v>
      </c>
      <c r="D34" s="7"/>
      <c r="E34" s="7"/>
      <c r="F34" s="7"/>
      <c r="G34" s="7"/>
      <c r="H34" s="7"/>
      <c r="I34" s="7"/>
      <c r="J34" s="7"/>
      <c r="K34" s="7"/>
      <c r="M34" s="1"/>
      <c r="O34" s="8"/>
      <c r="P34" s="8"/>
      <c r="Q34" s="8"/>
      <c r="S34" s="1"/>
      <c r="T34" s="1"/>
      <c r="U34" s="1"/>
    </row>
    <row r="35" spans="2:21" x14ac:dyDescent="0.25">
      <c r="C35" s="64">
        <f>INDEX(Outputs_Timeline!$D$3:$D$94,MATCH(Inputs!$C$1,Outputs_Timeline!$B$3:$B$94,0),1)</f>
        <v>1</v>
      </c>
    </row>
    <row r="37" spans="2:21" x14ac:dyDescent="0.25">
      <c r="B37" s="6" t="s">
        <v>91</v>
      </c>
      <c r="D37" s="7">
        <f>(D32/12*Inputs!$C$2+D4)*$C$35</f>
        <v>171225.625</v>
      </c>
      <c r="E37" s="7">
        <f>(E32/12*Inputs!$C$2+E4)*$C$35</f>
        <v>476819</v>
      </c>
      <c r="F37" s="7">
        <f>(F32/12*Inputs!$C$2+F4)*$C$35</f>
        <v>0</v>
      </c>
      <c r="G37" s="7">
        <f>(G32/12*Inputs!$C$2+G4)*$C$35</f>
        <v>0</v>
      </c>
      <c r="H37" s="7">
        <f>(H32/12*Inputs!$C$2+H4)*$C$35</f>
        <v>0</v>
      </c>
      <c r="I37" s="7"/>
      <c r="J37" s="7"/>
      <c r="K37" s="7"/>
      <c r="M37" s="1"/>
      <c r="S37" s="1"/>
      <c r="T37" s="1"/>
      <c r="U37" s="1"/>
    </row>
    <row r="39" spans="2:21" x14ac:dyDescent="0.25">
      <c r="D39" s="7"/>
      <c r="E39" s="7"/>
      <c r="F39" s="7"/>
      <c r="G39" s="7"/>
      <c r="H39" s="7"/>
      <c r="I39" s="7"/>
      <c r="J39" s="7"/>
      <c r="K39" s="7"/>
      <c r="L39" s="7"/>
      <c r="M39" s="1"/>
      <c r="S39" s="8"/>
      <c r="T39" s="8"/>
      <c r="U39" s="8"/>
    </row>
    <row r="40" spans="2:21" x14ac:dyDescent="0.25">
      <c r="B40" s="6" t="s">
        <v>88</v>
      </c>
    </row>
    <row r="41" spans="2:21" x14ac:dyDescent="0.25">
      <c r="C41" s="7">
        <f>SUM(Outputs_Timeline!S:S)</f>
        <v>648044.625</v>
      </c>
    </row>
    <row r="42" spans="2:21" x14ac:dyDescent="0.25">
      <c r="C42" s="52">
        <f>SUM(D37:H37)</f>
        <v>648044.625</v>
      </c>
      <c r="D42" s="1"/>
      <c r="G42" s="1"/>
    </row>
    <row r="43" spans="2:21" x14ac:dyDescent="0.25">
      <c r="D43" s="1"/>
      <c r="E43" s="1"/>
      <c r="F43" s="1"/>
    </row>
    <row r="44" spans="2:21" x14ac:dyDescent="0.25">
      <c r="D44" s="2"/>
      <c r="E44" s="1"/>
      <c r="F44" s="1"/>
    </row>
    <row r="45" spans="2:21" x14ac:dyDescent="0.25">
      <c r="D45" s="2"/>
      <c r="E45" s="2"/>
      <c r="F4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0"/>
  <sheetViews>
    <sheetView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H13" sqref="H1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75</v>
      </c>
      <c r="G1" s="50"/>
      <c r="H1" s="50"/>
      <c r="I1" s="50"/>
    </row>
    <row r="2" spans="2:14" x14ac:dyDescent="0.25">
      <c r="D2" s="9" t="s">
        <v>60</v>
      </c>
      <c r="F2" s="9" t="s">
        <v>56</v>
      </c>
      <c r="G2" s="9" t="s">
        <v>57</v>
      </c>
      <c r="H2" s="9" t="s">
        <v>97</v>
      </c>
      <c r="I2" s="9" t="s">
        <v>96</v>
      </c>
      <c r="J2" s="9"/>
      <c r="K2" s="9" t="s">
        <v>56</v>
      </c>
      <c r="L2" s="9" t="s">
        <v>57</v>
      </c>
      <c r="M2" s="9" t="s">
        <v>97</v>
      </c>
      <c r="N2" s="9" t="s">
        <v>96</v>
      </c>
    </row>
    <row r="3" spans="2:14" x14ac:dyDescent="0.25">
      <c r="B3" s="6" t="s">
        <v>0</v>
      </c>
    </row>
    <row r="4" spans="2:14" x14ac:dyDescent="0.25">
      <c r="C4" t="s">
        <v>93</v>
      </c>
      <c r="D4" s="1">
        <f>SUMIF(Inputs!$D$4:$H$4,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94</v>
      </c>
      <c r="D5" s="1">
        <f>SUMIF(Inputs!$D$4:$H$4, "N", Outputs_External!D4:'Outputs_External'!H4)</f>
        <v>32750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3275</v>
      </c>
      <c r="L5" s="12">
        <f t="shared" si="0"/>
        <v>29475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70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45000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18000</v>
      </c>
      <c r="L8" s="16">
        <f>G8*$D8</f>
        <v>27000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27</v>
      </c>
      <c r="D9" s="18">
        <f>SUM(Calcs!D15:H15)</f>
        <v>1000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100</v>
      </c>
      <c r="L9" s="18">
        <f t="shared" ref="L9:L16" si="4">G9*$D9</f>
        <v>900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4000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1800</v>
      </c>
      <c r="L10" s="18">
        <f t="shared" si="4"/>
        <v>1800</v>
      </c>
      <c r="M10" s="18">
        <f t="shared" si="2"/>
        <v>0</v>
      </c>
      <c r="N10" s="18">
        <f t="shared" si="2"/>
        <v>400</v>
      </c>
    </row>
    <row r="11" spans="2:14" x14ac:dyDescent="0.25">
      <c r="C11" s="17" t="s">
        <v>28</v>
      </c>
      <c r="D11" s="18">
        <f>SUM(Calcs!D17:H17)</f>
        <v>2000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1800</v>
      </c>
      <c r="L11" s="18">
        <f t="shared" si="4"/>
        <v>200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2000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200</v>
      </c>
      <c r="L12" s="18">
        <f t="shared" si="4"/>
        <v>1800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6000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600</v>
      </c>
      <c r="L13" s="18">
        <f t="shared" si="4"/>
        <v>600</v>
      </c>
      <c r="M13" s="18">
        <f t="shared" si="2"/>
        <v>4800</v>
      </c>
      <c r="N13" s="18">
        <f>I13*$D13</f>
        <v>0</v>
      </c>
    </row>
    <row r="14" spans="2:14" x14ac:dyDescent="0.25">
      <c r="C14" s="17" t="s">
        <v>95</v>
      </c>
      <c r="D14" s="18">
        <f>SUM(Calcs!D20:H20)</f>
        <v>4000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2400</v>
      </c>
      <c r="L14" s="18">
        <f t="shared" si="4"/>
        <v>1600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29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72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71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24570.000000000004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7371.0000000000018</v>
      </c>
      <c r="L22" s="16">
        <f t="shared" ref="L22:L31" si="8">G22*$D22</f>
        <v>17199</v>
      </c>
      <c r="M22" s="16">
        <f>H22*$D22</f>
        <v>0</v>
      </c>
      <c r="N22" s="16">
        <f>I22*$D22</f>
        <v>0</v>
      </c>
    </row>
    <row r="23" spans="2:14" x14ac:dyDescent="0.25">
      <c r="C23" s="17" t="s">
        <v>27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28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95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29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63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SUM(Calcs!D80:H80)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0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SUM(Calcs!D81:H81)</f>
        <v>14000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12600</v>
      </c>
      <c r="L35" s="18">
        <f t="shared" si="12"/>
        <v>1400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SUM(Calcs!D82:H82)</f>
        <v>0</v>
      </c>
      <c r="F36" s="33">
        <v>0.1</v>
      </c>
      <c r="G36" s="33">
        <v>0.9</v>
      </c>
      <c r="H36" s="37">
        <f t="shared" ref="H36:H40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17</v>
      </c>
      <c r="D37" s="20">
        <f>SUM(Calcs!D83:H83)</f>
        <v>56000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5600</v>
      </c>
      <c r="L37" s="20">
        <f t="shared" ref="L37" si="16">G37*$D37</f>
        <v>50400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25">
      <c r="C38" s="19" t="s">
        <v>118</v>
      </c>
      <c r="D38" s="20">
        <f>SUM(Calcs!D84:H84)</f>
        <v>56000</v>
      </c>
      <c r="F38" s="33">
        <v>0.1</v>
      </c>
      <c r="G38" s="33">
        <v>0.9</v>
      </c>
      <c r="H38" s="37">
        <f t="shared" ref="H38:H39" si="19">1-SUM(F38:G38)</f>
        <v>0</v>
      </c>
      <c r="I38" s="37">
        <v>0</v>
      </c>
      <c r="K38" s="20">
        <f t="shared" ref="K38:K39" si="20">F38*$D38</f>
        <v>5600</v>
      </c>
      <c r="L38" s="20">
        <f t="shared" ref="L38:L39" si="21">G38*$D38</f>
        <v>50400</v>
      </c>
      <c r="M38" s="20">
        <f t="shared" ref="M38:M39" si="22">H38*$D38</f>
        <v>0</v>
      </c>
      <c r="N38" s="20">
        <f t="shared" ref="N38:N39" si="23">I38*$D38</f>
        <v>0</v>
      </c>
    </row>
    <row r="39" spans="2:14" x14ac:dyDescent="0.25">
      <c r="C39" s="19" t="s">
        <v>117</v>
      </c>
      <c r="D39" s="20">
        <f>SUM(Calcs!D85:H85)</f>
        <v>40000</v>
      </c>
      <c r="F39" s="33">
        <v>0.1</v>
      </c>
      <c r="G39" s="33">
        <v>0.9</v>
      </c>
      <c r="H39" s="37">
        <f t="shared" si="19"/>
        <v>0</v>
      </c>
      <c r="I39" s="37">
        <v>0</v>
      </c>
      <c r="K39" s="20">
        <f t="shared" si="20"/>
        <v>4000</v>
      </c>
      <c r="L39" s="20">
        <f t="shared" si="21"/>
        <v>36000</v>
      </c>
      <c r="M39" s="20">
        <f t="shared" si="22"/>
        <v>0</v>
      </c>
      <c r="N39" s="20">
        <f t="shared" si="23"/>
        <v>0</v>
      </c>
    </row>
    <row r="40" spans="2:14" x14ac:dyDescent="0.25">
      <c r="C40" s="81" t="s">
        <v>116</v>
      </c>
      <c r="D40" s="84">
        <f>SUM(Calcs!D86:H86)</f>
        <v>6750</v>
      </c>
      <c r="F40" s="85">
        <v>0.2</v>
      </c>
      <c r="G40" s="85">
        <v>0.8</v>
      </c>
      <c r="H40" s="86">
        <f t="shared" si="13"/>
        <v>0</v>
      </c>
      <c r="I40" s="86">
        <v>0</v>
      </c>
      <c r="K40" s="84">
        <f t="shared" si="12"/>
        <v>1350</v>
      </c>
      <c r="L40" s="84">
        <f t="shared" si="12"/>
        <v>5400</v>
      </c>
      <c r="M40" s="84">
        <f t="shared" si="12"/>
        <v>0</v>
      </c>
      <c r="N40" s="84">
        <f t="shared" si="12"/>
        <v>0</v>
      </c>
    </row>
    <row r="41" spans="2:14" x14ac:dyDescent="0.25">
      <c r="K41" s="9"/>
      <c r="L41" s="9"/>
      <c r="M41" s="9"/>
    </row>
    <row r="42" spans="2:14" x14ac:dyDescent="0.25">
      <c r="B42" s="6" t="s">
        <v>73</v>
      </c>
      <c r="F42" s="11"/>
      <c r="G42" s="11"/>
      <c r="H42" s="11"/>
      <c r="I42" s="11"/>
      <c r="K42" s="9"/>
      <c r="L42" s="9"/>
      <c r="M42" s="9"/>
    </row>
    <row r="43" spans="2:14" x14ac:dyDescent="0.25">
      <c r="C43" s="28" t="s">
        <v>14</v>
      </c>
      <c r="D43" s="29">
        <f>SUM(Calcs!D89:H89)</f>
        <v>0</v>
      </c>
      <c r="F43" s="49">
        <f>IFERROR((1-G43)*F34/SUM(F34,H34),0)</f>
        <v>0.8</v>
      </c>
      <c r="G43" s="49">
        <f>MIN(1,G34+$H$19)</f>
        <v>0.2</v>
      </c>
      <c r="H43" s="49">
        <f>IFERROR((1-G43)*H34/SUM(F34,H34),0)</f>
        <v>0</v>
      </c>
      <c r="I43" s="49">
        <v>0</v>
      </c>
      <c r="K43" s="29">
        <f>F43*$D43</f>
        <v>0</v>
      </c>
      <c r="L43" s="29">
        <f t="shared" ref="L43:L46" si="24">G43*$D43</f>
        <v>0</v>
      </c>
      <c r="M43" s="29">
        <f>H43*$D43</f>
        <v>0</v>
      </c>
      <c r="N43" s="29">
        <f>I43*$D43</f>
        <v>0</v>
      </c>
    </row>
    <row r="44" spans="2:14" x14ac:dyDescent="0.25">
      <c r="C44" s="17" t="s">
        <v>15</v>
      </c>
      <c r="D44" s="18">
        <f>SUM(Calcs!D90:H90)</f>
        <v>0</v>
      </c>
      <c r="F44" s="30">
        <f>IFERROR((1-G44)*F35/SUM(F35,H35),0)</f>
        <v>0.8</v>
      </c>
      <c r="G44" s="30">
        <f>MIN(1,G35+$H$19)</f>
        <v>0.2</v>
      </c>
      <c r="H44" s="30">
        <f>IFERROR((1-G44)*H35/SUM(F35,H35),0)</f>
        <v>0</v>
      </c>
      <c r="I44" s="30">
        <v>0</v>
      </c>
      <c r="K44" s="18">
        <f>F44*$D44</f>
        <v>0</v>
      </c>
      <c r="L44" s="18">
        <f t="shared" si="24"/>
        <v>0</v>
      </c>
      <c r="M44" s="18">
        <f t="shared" ref="M44:N46" si="25">H44*$D44</f>
        <v>0</v>
      </c>
      <c r="N44" s="18">
        <f t="shared" si="25"/>
        <v>0</v>
      </c>
    </row>
    <row r="45" spans="2:14" x14ac:dyDescent="0.25">
      <c r="C45" s="19" t="s">
        <v>16</v>
      </c>
      <c r="D45" s="20">
        <f>SUM(Calcs!D91:H91)</f>
        <v>0</v>
      </c>
      <c r="F45" s="31">
        <f>IFERROR((1-G45)*F36/SUM(F36,H36),0)</f>
        <v>0</v>
      </c>
      <c r="G45" s="31">
        <f>MIN(1,G36+$H$19)</f>
        <v>1</v>
      </c>
      <c r="H45" s="31">
        <f>IFERROR((1-G45)*H36/SUM(F36,H36),0)</f>
        <v>0</v>
      </c>
      <c r="I45" s="31">
        <v>0</v>
      </c>
      <c r="K45" s="20">
        <f t="shared" ref="K45:K46" si="26">F45*$D45</f>
        <v>0</v>
      </c>
      <c r="L45" s="20">
        <f t="shared" si="24"/>
        <v>0</v>
      </c>
      <c r="M45" s="20">
        <f t="shared" si="25"/>
        <v>0</v>
      </c>
      <c r="N45" s="20">
        <f t="shared" si="25"/>
        <v>0</v>
      </c>
    </row>
    <row r="46" spans="2:14" x14ac:dyDescent="0.25">
      <c r="C46" s="19" t="s">
        <v>17</v>
      </c>
      <c r="D46" s="20">
        <f>SUM(Calcs!D92:H92)</f>
        <v>16380</v>
      </c>
      <c r="F46" s="31">
        <f>IFERROR((1-G46)*F37/SUM(F37,H37),0)</f>
        <v>0</v>
      </c>
      <c r="G46" s="31">
        <f>MIN(1,G37+$H$19)</f>
        <v>1</v>
      </c>
      <c r="H46" s="31">
        <f>IFERROR((1-G46)*H37/SUM(F37,H37),0)</f>
        <v>0</v>
      </c>
      <c r="I46" s="31">
        <v>0</v>
      </c>
      <c r="K46" s="20">
        <f t="shared" si="26"/>
        <v>0</v>
      </c>
      <c r="L46" s="20">
        <f t="shared" si="24"/>
        <v>16380</v>
      </c>
      <c r="M46" s="20">
        <f t="shared" si="25"/>
        <v>0</v>
      </c>
      <c r="N46" s="20">
        <f t="shared" si="25"/>
        <v>0</v>
      </c>
    </row>
    <row r="47" spans="2:14" x14ac:dyDescent="0.25">
      <c r="C47" s="19" t="s">
        <v>118</v>
      </c>
      <c r="D47" s="20">
        <f>SUM(Calcs!D93:H93)</f>
        <v>16380</v>
      </c>
      <c r="F47" s="31">
        <f t="shared" ref="F47:F48" si="27">IFERROR((1-G47)*F38/SUM(F38,H38),0)</f>
        <v>0</v>
      </c>
      <c r="G47" s="31">
        <f t="shared" ref="G47:G48" si="28">MIN(1,G38+$H$19)</f>
        <v>1</v>
      </c>
      <c r="H47" s="31">
        <f t="shared" ref="H47:H48" si="29">IFERROR((1-G47)*H38/SUM(F38,H38),0)</f>
        <v>0</v>
      </c>
      <c r="I47" s="31">
        <v>0</v>
      </c>
      <c r="K47" s="20">
        <f t="shared" ref="K47:K48" si="30">F47*$D47</f>
        <v>0</v>
      </c>
      <c r="L47" s="20">
        <f t="shared" ref="L47:L48" si="31">G47*$D47</f>
        <v>16380</v>
      </c>
      <c r="M47" s="20">
        <f t="shared" ref="M47:M48" si="32">H47*$D47</f>
        <v>0</v>
      </c>
      <c r="N47" s="20">
        <f t="shared" ref="N47:N48" si="33">I47*$D47</f>
        <v>0</v>
      </c>
    </row>
    <row r="48" spans="2:14" x14ac:dyDescent="0.25">
      <c r="C48" s="19" t="s">
        <v>117</v>
      </c>
      <c r="D48" s="20">
        <f>SUM(Calcs!D94:H94)</f>
        <v>12740.000000000002</v>
      </c>
      <c r="F48" s="31">
        <f t="shared" si="27"/>
        <v>0</v>
      </c>
      <c r="G48" s="31">
        <f t="shared" si="28"/>
        <v>1</v>
      </c>
      <c r="H48" s="31">
        <f t="shared" si="29"/>
        <v>0</v>
      </c>
      <c r="I48" s="31">
        <v>0</v>
      </c>
      <c r="K48" s="20">
        <f t="shared" si="30"/>
        <v>0</v>
      </c>
      <c r="L48" s="20">
        <f t="shared" si="31"/>
        <v>12740.000000000002</v>
      </c>
      <c r="M48" s="20">
        <f t="shared" si="32"/>
        <v>0</v>
      </c>
      <c r="N48" s="20">
        <f t="shared" si="33"/>
        <v>0</v>
      </c>
    </row>
    <row r="49" spans="2:14" x14ac:dyDescent="0.25">
      <c r="C49" s="81" t="s">
        <v>116</v>
      </c>
      <c r="D49" s="84">
        <f>SUM(Calcs!D95:H95)</f>
        <v>0</v>
      </c>
      <c r="F49" s="87">
        <f t="shared" ref="F49" si="34">IFERROR((1-G49)*F40/SUM(F40,H40),0)</f>
        <v>9.9999999999999978E-2</v>
      </c>
      <c r="G49" s="87">
        <f t="shared" ref="G49" si="35">MIN(1,G40+$H$19)</f>
        <v>0.9</v>
      </c>
      <c r="H49" s="87">
        <f t="shared" ref="H49" si="36">IFERROR((1-G49)*H40/SUM(F40,H40),0)</f>
        <v>0</v>
      </c>
      <c r="I49" s="87">
        <v>0</v>
      </c>
      <c r="K49" s="84">
        <f t="shared" ref="K49" si="37">F49*$D49</f>
        <v>0</v>
      </c>
      <c r="L49" s="84">
        <f t="shared" ref="L49" si="38">G49*$D49</f>
        <v>0</v>
      </c>
      <c r="M49" s="84">
        <f t="shared" ref="M49" si="39">H49*$D49</f>
        <v>0</v>
      </c>
      <c r="N49" s="84">
        <f t="shared" ref="N49" si="40">I49*$D49</f>
        <v>0</v>
      </c>
    </row>
    <row r="50" spans="2:14" x14ac:dyDescent="0.25">
      <c r="K50" s="9"/>
      <c r="L50" s="9"/>
      <c r="M50" s="9"/>
    </row>
    <row r="51" spans="2:14" x14ac:dyDescent="0.25">
      <c r="B51" s="6" t="s">
        <v>53</v>
      </c>
      <c r="K51" s="9"/>
      <c r="L51" s="9"/>
      <c r="M51" s="9"/>
    </row>
    <row r="52" spans="2:14" x14ac:dyDescent="0.25">
      <c r="C52" t="s">
        <v>54</v>
      </c>
      <c r="D52" s="1">
        <f>SUM(Outputs_External!D28:'Outputs_External'!H28)</f>
        <v>-61084.5</v>
      </c>
      <c r="F52" s="8">
        <f>IFERROR(SUM(K64:K70)/SUM($K$64:$N$70), 0)</f>
        <v>0.15194942044257112</v>
      </c>
      <c r="G52" s="8">
        <f t="shared" ref="G52:I52" si="41">IFERROR(SUM(L64:L70)/SUM($K$64:$N$70), 0)</f>
        <v>0.8261327713382508</v>
      </c>
      <c r="H52" s="8">
        <f t="shared" si="41"/>
        <v>2.0231822971548998E-2</v>
      </c>
      <c r="I52" s="8">
        <f t="shared" si="41"/>
        <v>1.6859852476290833E-3</v>
      </c>
      <c r="K52" s="12">
        <f>F52*$D$52</f>
        <v>-9281.754373024236</v>
      </c>
      <c r="L52" s="12">
        <f>G52*$D$52</f>
        <v>-50463.907270811382</v>
      </c>
      <c r="M52" s="12">
        <f>H52*$D$52</f>
        <v>-1235.8507903055847</v>
      </c>
      <c r="N52" s="12">
        <f>I52*$D$52</f>
        <v>-102.98756585879875</v>
      </c>
    </row>
    <row r="53" spans="2:14" x14ac:dyDescent="0.25">
      <c r="C53" t="s">
        <v>47</v>
      </c>
      <c r="D53" s="1">
        <f>SUM(Outputs_External!D29:'Outputs_External'!H29)</f>
        <v>-43970.625</v>
      </c>
      <c r="F53" s="3">
        <f>IFERROR(SUM(K8:K52)/SUM($K8:$N52), 0)</f>
        <v>0.21217628558745383</v>
      </c>
      <c r="G53" s="3">
        <f>IFERROR(SUM(L8:L52)/SUM($K8:$N52), 0)</f>
        <v>0.77211104105507178</v>
      </c>
      <c r="H53" s="3">
        <f>IFERROR(SUM(M8:M52)/SUM($K8:$N52), 0)</f>
        <v>1.4504006176130086E-2</v>
      </c>
      <c r="I53" s="3">
        <f>1-F53-G53-H53</f>
        <v>1.2086671813443077E-3</v>
      </c>
      <c r="K53" s="12">
        <f>F53*$D$53</f>
        <v>-9329.5238874588376</v>
      </c>
      <c r="L53" s="12">
        <f>G53*$D$53</f>
        <v>-33950.205044592163</v>
      </c>
      <c r="M53" s="12">
        <f>H53*$D$53</f>
        <v>-637.75021656829995</v>
      </c>
      <c r="N53" s="12">
        <f>I53*$D$53</f>
        <v>-53.14585138069755</v>
      </c>
    </row>
    <row r="54" spans="2:14" x14ac:dyDescent="0.25">
      <c r="C54" t="s">
        <v>100</v>
      </c>
      <c r="D54" s="1">
        <f>Outputs_External!D30</f>
        <v>0</v>
      </c>
      <c r="F54" s="3">
        <v>0.58085106382978724</v>
      </c>
      <c r="G54" s="3">
        <f>1-F54</f>
        <v>0.41914893617021276</v>
      </c>
      <c r="H54" s="3">
        <v>0</v>
      </c>
      <c r="I54" s="3">
        <v>0</v>
      </c>
      <c r="K54" s="12">
        <f>$D$54*F54</f>
        <v>0</v>
      </c>
      <c r="L54" s="12">
        <f t="shared" ref="L54:N54" si="42">$D$54*G54</f>
        <v>0</v>
      </c>
      <c r="M54" s="12">
        <f t="shared" si="42"/>
        <v>0</v>
      </c>
      <c r="N54" s="12">
        <f t="shared" si="42"/>
        <v>0</v>
      </c>
    </row>
    <row r="55" spans="2:14" x14ac:dyDescent="0.25">
      <c r="K55" s="9"/>
      <c r="L55" s="9"/>
      <c r="M55" s="9"/>
    </row>
    <row r="56" spans="2:14" x14ac:dyDescent="0.25">
      <c r="B56" s="6" t="s">
        <v>55</v>
      </c>
      <c r="D56" s="1">
        <f>SUM(Outputs_External!D32:'Outputs_External'!H32)</f>
        <v>201764.875</v>
      </c>
      <c r="K56" s="12">
        <f>SUM(K52:K54, K34:K40, K8:K17,K22:K31,K43:K49)</f>
        <v>42809.721739516928</v>
      </c>
      <c r="L56" s="12">
        <f t="shared" ref="L56:N56" si="43">SUM(L52:L54, L34:L40, L8:L17,L22:L31,L43:L49)</f>
        <v>155784.88768459647</v>
      </c>
      <c r="M56" s="12">
        <f t="shared" si="43"/>
        <v>2926.3989931261153</v>
      </c>
      <c r="N56" s="12">
        <f t="shared" si="43"/>
        <v>243.86658276050372</v>
      </c>
    </row>
    <row r="57" spans="2:14" x14ac:dyDescent="0.25">
      <c r="C57" s="21" t="s">
        <v>74</v>
      </c>
      <c r="D57" s="23">
        <f>SUM(K56:N56)</f>
        <v>201764.87500000003</v>
      </c>
      <c r="K57" s="12"/>
      <c r="L57" s="12"/>
      <c r="M57" s="12"/>
    </row>
    <row r="58" spans="2:14" x14ac:dyDescent="0.25">
      <c r="K58" s="9"/>
      <c r="L58" s="9"/>
      <c r="M58" s="9"/>
    </row>
    <row r="59" spans="2:14" x14ac:dyDescent="0.25">
      <c r="B59" s="6" t="s">
        <v>88</v>
      </c>
      <c r="D59" s="1">
        <f>SUM(Outputs_Timeline!S:S)</f>
        <v>648044.625</v>
      </c>
      <c r="K59" s="12">
        <f>SUM(Outputs_Timeline!T:T)</f>
        <v>136704.1652185508</v>
      </c>
      <c r="L59" s="12">
        <f>SUM(Outputs_Timeline!U:U)</f>
        <v>501829.66305378941</v>
      </c>
      <c r="M59" s="12">
        <f>SUM(Outputs_Timeline!V:V)</f>
        <v>8779.1969793783483</v>
      </c>
      <c r="N59" s="12">
        <f>SUM(Outputs_Timeline!W:W)</f>
        <v>731.5997482815111</v>
      </c>
    </row>
    <row r="60" spans="2:14" x14ac:dyDescent="0.25">
      <c r="D60" s="1"/>
      <c r="K60" s="53">
        <f>IFERROR(K59/$D$59, 0)</f>
        <v>0.21094869079201267</v>
      </c>
      <c r="L60" s="53">
        <f>IFERROR(L59/$D$59, 0)</f>
        <v>0.77437516444764809</v>
      </c>
      <c r="M60" s="53">
        <f>IFERROR(M59/$D$59, 0)</f>
        <v>1.3547210548005622E-2</v>
      </c>
      <c r="N60" s="53">
        <f>IFERROR(N59/$D$59, 0)</f>
        <v>1.1289342123337743E-3</v>
      </c>
    </row>
    <row r="62" spans="2:14" x14ac:dyDescent="0.25">
      <c r="K62" s="9"/>
      <c r="L62" s="9"/>
      <c r="M62" s="9"/>
    </row>
    <row r="63" spans="2:14" x14ac:dyDescent="0.25">
      <c r="B63" s="27" t="s">
        <v>69</v>
      </c>
      <c r="C63" s="21"/>
      <c r="D63" s="21"/>
      <c r="E63" s="21"/>
      <c r="F63" s="21"/>
      <c r="G63" s="21"/>
      <c r="H63" s="21"/>
      <c r="I63" s="21"/>
      <c r="J63" s="21"/>
      <c r="K63" s="22"/>
      <c r="L63" s="22"/>
      <c r="M63" s="22"/>
    </row>
    <row r="64" spans="2:14" x14ac:dyDescent="0.25">
      <c r="B64" s="27"/>
      <c r="C64" s="21" t="s">
        <v>14</v>
      </c>
      <c r="D64" s="23">
        <f>SUM(Calcs!D62:H62)+SUM(Calcs!D71:H71)</f>
        <v>0</v>
      </c>
      <c r="E64" s="21"/>
      <c r="F64" s="24">
        <f>F34</f>
        <v>0.9</v>
      </c>
      <c r="G64" s="24">
        <f>G34</f>
        <v>0.1</v>
      </c>
      <c r="H64" s="24">
        <f>H34</f>
        <v>0</v>
      </c>
      <c r="I64" s="24">
        <f>I34</f>
        <v>0</v>
      </c>
      <c r="J64" s="21"/>
      <c r="K64" s="25">
        <f t="shared" ref="K64:N66" si="44">F64*$D64</f>
        <v>0</v>
      </c>
      <c r="L64" s="25">
        <f t="shared" si="44"/>
        <v>0</v>
      </c>
      <c r="M64" s="25">
        <f t="shared" si="44"/>
        <v>0</v>
      </c>
      <c r="N64" s="25">
        <f t="shared" si="44"/>
        <v>0</v>
      </c>
    </row>
    <row r="65" spans="2:14" x14ac:dyDescent="0.25">
      <c r="B65" s="27"/>
      <c r="C65" s="21" t="s">
        <v>15</v>
      </c>
      <c r="D65" s="23">
        <f>SUM(Calcs!D63:H63)+SUM(Calcs!D72:H72)</f>
        <v>33000</v>
      </c>
      <c r="E65" s="21"/>
      <c r="F65" s="24">
        <f>IFERROR(SUM(K$35,K$9:K$14,K$44,K$23:K$28)/SUM($K$35:$N$35,$K$9:$N$14,$K$44:$N$44,$K$23:$N$28),0)</f>
        <v>0.59090909090909094</v>
      </c>
      <c r="G65" s="24">
        <f t="shared" ref="G65" si="45">IFERROR(SUM(L$35,L$9:L$14,L$44,L$23:L$28)/SUM($K$35:$N$35,$K$9:$N$14,$K$44:$N$44,$K$23:$N$28),0)</f>
        <v>0.25151515151515152</v>
      </c>
      <c r="H65" s="24">
        <f>IFERROR(SUM(M$35,M$9:M$14,M$44,M$23:M$28)/SUM($K$35:$N$35,$K$9:$N$14,$K$44:$N$44,$K$23:$N$28),0)</f>
        <v>0.14545454545454545</v>
      </c>
      <c r="I65" s="24">
        <f>IFERROR(SUM(N$35,N$9:N$14,N$44,N$23:N$28)/SUM($K$35:$N$35,$K$9:$N$14,$K$44:$N$44,$K$23:$N$28),0)</f>
        <v>1.2121212121212121E-2</v>
      </c>
      <c r="J65" s="21"/>
      <c r="K65" s="25">
        <f t="shared" si="44"/>
        <v>19500</v>
      </c>
      <c r="L65" s="25">
        <f t="shared" si="44"/>
        <v>8300</v>
      </c>
      <c r="M65" s="25">
        <f t="shared" si="44"/>
        <v>4800</v>
      </c>
      <c r="N65" s="25">
        <f t="shared" si="44"/>
        <v>400</v>
      </c>
    </row>
    <row r="66" spans="2:14" x14ac:dyDescent="0.25">
      <c r="B66" s="27"/>
      <c r="C66" s="21" t="s">
        <v>16</v>
      </c>
      <c r="D66" s="23">
        <f>SUM(Calcs!D64:H64)+SUM(Calcs!D73:H73)</f>
        <v>0</v>
      </c>
      <c r="E66" s="21"/>
      <c r="F66" s="24">
        <f>IFERROR(SUM(K36,K15:K17,K45,K29:K31)/SUM($K$36:$N$36,$K$15:$M$17,$K$45:$N$45,$K$29:$N$31),0)</f>
        <v>0</v>
      </c>
      <c r="G66" s="24">
        <f t="shared" ref="G66:I66" si="46">IFERROR(SUM(L36,L15:L17,L45,L29:L31)/SUM($K$36:$N$36,$K$15:$M$17,$K$45:$N$45,$K$29:$N$31),0)</f>
        <v>0</v>
      </c>
      <c r="H66" s="24">
        <f t="shared" si="46"/>
        <v>0</v>
      </c>
      <c r="I66" s="24">
        <f t="shared" si="46"/>
        <v>0</v>
      </c>
      <c r="J66" s="21"/>
      <c r="K66" s="25">
        <f t="shared" si="44"/>
        <v>0</v>
      </c>
      <c r="L66" s="25">
        <f t="shared" si="44"/>
        <v>0</v>
      </c>
      <c r="M66" s="25">
        <f t="shared" si="44"/>
        <v>0</v>
      </c>
      <c r="N66" s="25">
        <f t="shared" si="44"/>
        <v>0</v>
      </c>
    </row>
    <row r="67" spans="2:14" x14ac:dyDescent="0.25">
      <c r="B67" s="27"/>
      <c r="C67" s="21" t="s">
        <v>17</v>
      </c>
      <c r="D67" s="23">
        <f>SUM(Calcs!D65:H65)+SUM(Calcs!D74:H74)</f>
        <v>72380</v>
      </c>
      <c r="E67" s="21"/>
      <c r="F67" s="24">
        <f>IFERROR(SUM(K37,K46)/SUM($K37:$N37,$K46:$N46),0)</f>
        <v>7.7369439071566737E-2</v>
      </c>
      <c r="G67" s="24">
        <f t="shared" ref="G67:I67" si="47">IFERROR(SUM(L37,L46)/SUM($K37:$N37,$K46:$N46),0)</f>
        <v>0.92263056092843332</v>
      </c>
      <c r="H67" s="24">
        <f t="shared" si="47"/>
        <v>0</v>
      </c>
      <c r="I67" s="24">
        <f t="shared" si="47"/>
        <v>0</v>
      </c>
      <c r="J67" s="21"/>
      <c r="K67" s="25">
        <f t="shared" ref="K67:K70" si="48">F67*$D67</f>
        <v>5600</v>
      </c>
      <c r="L67" s="25">
        <f t="shared" ref="L67:L70" si="49">G67*$D67</f>
        <v>66780</v>
      </c>
      <c r="M67" s="25">
        <f t="shared" ref="M67:M70" si="50">H67*$D67</f>
        <v>0</v>
      </c>
      <c r="N67" s="25">
        <f t="shared" ref="N67:N70" si="51">I67*$D67</f>
        <v>0</v>
      </c>
    </row>
    <row r="68" spans="2:14" x14ac:dyDescent="0.25">
      <c r="B68" s="27"/>
      <c r="C68" s="21" t="s">
        <v>118</v>
      </c>
      <c r="D68" s="23">
        <f>SUM(Calcs!D66:H66)+SUM(Calcs!D75:H75)</f>
        <v>72380</v>
      </c>
      <c r="E68" s="21"/>
      <c r="F68" s="24">
        <f t="shared" ref="F68:F69" si="52">IFERROR(SUM(K38,K47)/SUM($K38:$N38,$K47:$N47),0)</f>
        <v>7.7369439071566737E-2</v>
      </c>
      <c r="G68" s="24">
        <f t="shared" ref="G68:G69" si="53">IFERROR(SUM(L38,L47)/SUM($K38:$N38,$K47:$N47),0)</f>
        <v>0.92263056092843332</v>
      </c>
      <c r="H68" s="24">
        <f t="shared" ref="H68:H69" si="54">IFERROR(SUM(M38,M47)/SUM($K38:$N38,$K47:$N47),0)</f>
        <v>0</v>
      </c>
      <c r="I68" s="24">
        <f t="shared" ref="I68:I69" si="55">IFERROR(SUM(N38,N47)/SUM($K38:$N38,$K47:$N47),0)</f>
        <v>0</v>
      </c>
      <c r="J68" s="21"/>
      <c r="K68" s="25">
        <f t="shared" ref="K68:K69" si="56">F68*$D68</f>
        <v>5600</v>
      </c>
      <c r="L68" s="25">
        <f t="shared" ref="L68:L69" si="57">G68*$D68</f>
        <v>66780</v>
      </c>
      <c r="M68" s="25">
        <f t="shared" ref="M68:M69" si="58">H68*$D68</f>
        <v>0</v>
      </c>
      <c r="N68" s="25">
        <f t="shared" ref="N68:N69" si="59">I68*$D68</f>
        <v>0</v>
      </c>
    </row>
    <row r="69" spans="2:14" x14ac:dyDescent="0.25">
      <c r="B69" s="27"/>
      <c r="C69" s="21" t="s">
        <v>117</v>
      </c>
      <c r="D69" s="23">
        <f>SUM(Calcs!D67:H67)+SUM(Calcs!D76:H76)</f>
        <v>52740</v>
      </c>
      <c r="E69" s="21"/>
      <c r="F69" s="24">
        <f t="shared" si="52"/>
        <v>7.584376185058779E-2</v>
      </c>
      <c r="G69" s="24">
        <f t="shared" si="53"/>
        <v>0.92415623814941217</v>
      </c>
      <c r="H69" s="24">
        <f t="shared" si="54"/>
        <v>0</v>
      </c>
      <c r="I69" s="24">
        <f t="shared" si="55"/>
        <v>0</v>
      </c>
      <c r="J69" s="21"/>
      <c r="K69" s="25">
        <f t="shared" si="56"/>
        <v>4000</v>
      </c>
      <c r="L69" s="25">
        <f t="shared" si="57"/>
        <v>48740</v>
      </c>
      <c r="M69" s="25">
        <f t="shared" si="58"/>
        <v>0</v>
      </c>
      <c r="N69" s="25">
        <f t="shared" si="59"/>
        <v>0</v>
      </c>
    </row>
    <row r="70" spans="2:14" x14ac:dyDescent="0.25">
      <c r="B70" s="27"/>
      <c r="C70" s="21" t="s">
        <v>116</v>
      </c>
      <c r="D70" s="23">
        <f>SUM(Calcs!D68:H68)+SUM(Calcs!D77:H77)</f>
        <v>6750</v>
      </c>
      <c r="E70" s="21"/>
      <c r="F70" s="24">
        <f t="shared" ref="F70" si="60">IFERROR(SUM(K40,K49)/SUM($K40:$N40,$K49:$N49),0)</f>
        <v>0.2</v>
      </c>
      <c r="G70" s="24">
        <f t="shared" ref="G70" si="61">IFERROR(SUM(L40,L49)/SUM($K40:$N40,$K49:$N49),0)</f>
        <v>0.8</v>
      </c>
      <c r="H70" s="24">
        <f t="shared" ref="H70" si="62">IFERROR(SUM(M40,M49)/SUM($K40:$N40,$K49:$N49),0)</f>
        <v>0</v>
      </c>
      <c r="I70" s="24">
        <f t="shared" ref="I70" si="63">IFERROR(SUM(N40,N49)/SUM($K40:$N40,$K49:$N49),0)</f>
        <v>0</v>
      </c>
      <c r="J70" s="21"/>
      <c r="K70" s="25">
        <f t="shared" si="48"/>
        <v>1350</v>
      </c>
      <c r="L70" s="25">
        <f t="shared" si="49"/>
        <v>5400</v>
      </c>
      <c r="M70" s="25">
        <f t="shared" si="50"/>
        <v>0</v>
      </c>
      <c r="N70" s="25">
        <f t="shared" si="51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15" sqref="P15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80</v>
      </c>
      <c r="I1" s="61"/>
      <c r="J1" s="61"/>
      <c r="K1" s="61"/>
      <c r="M1" s="61" t="s">
        <v>85</v>
      </c>
      <c r="N1" s="61"/>
      <c r="O1" s="61"/>
      <c r="P1" s="61"/>
      <c r="Q1" s="61"/>
      <c r="S1" s="61" t="s">
        <v>87</v>
      </c>
      <c r="T1" s="61"/>
      <c r="U1" s="61"/>
      <c r="V1" s="61"/>
    </row>
    <row r="2" spans="2:23" x14ac:dyDescent="0.25">
      <c r="B2" s="59" t="s">
        <v>79</v>
      </c>
      <c r="C2" s="59"/>
      <c r="D2" s="59" t="s">
        <v>84</v>
      </c>
      <c r="E2" s="59" t="s">
        <v>89</v>
      </c>
      <c r="F2" s="59" t="s">
        <v>86</v>
      </c>
      <c r="G2" s="59"/>
      <c r="H2" s="62" t="s">
        <v>81</v>
      </c>
      <c r="I2" s="62" t="s">
        <v>82</v>
      </c>
      <c r="J2" s="62" t="s">
        <v>57</v>
      </c>
      <c r="K2" s="62" t="s">
        <v>83</v>
      </c>
      <c r="M2" s="62" t="s">
        <v>81</v>
      </c>
      <c r="N2" s="62" t="s">
        <v>82</v>
      </c>
      <c r="O2" s="62" t="s">
        <v>57</v>
      </c>
      <c r="P2" s="62" t="s">
        <v>97</v>
      </c>
      <c r="Q2" s="62" t="s">
        <v>96</v>
      </c>
      <c r="S2" s="62" t="s">
        <v>81</v>
      </c>
      <c r="T2" s="62" t="s">
        <v>82</v>
      </c>
      <c r="U2" s="62" t="s">
        <v>57</v>
      </c>
      <c r="V2" s="62" t="s">
        <v>97</v>
      </c>
      <c r="W2" s="62" t="s">
        <v>96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$F3*Outputs_Internal!$D$56/12</f>
        <v>0</v>
      </c>
      <c r="N3" s="63">
        <f>$F3*Outputs_Internal!K$56/12</f>
        <v>0</v>
      </c>
      <c r="O3" s="63">
        <f>$F3*Outputs_Internal!L$56/12</f>
        <v>0</v>
      </c>
      <c r="P3" s="63">
        <f>$F3*Outputs_Internal!M$56/12</f>
        <v>0</v>
      </c>
      <c r="Q3" s="63">
        <f>$F3*Outputs_Internal!N$56/12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$F4*Outputs_Internal!$D$56/12</f>
        <v>0</v>
      </c>
      <c r="N4" s="63">
        <f>$F4*Outputs_Internal!K$56/12</f>
        <v>0</v>
      </c>
      <c r="O4" s="63">
        <f>$F4*Outputs_Internal!L$56/12</f>
        <v>0</v>
      </c>
      <c r="P4" s="63">
        <f>$F4*Outputs_Internal!M$56/12</f>
        <v>0</v>
      </c>
      <c r="Q4" s="63">
        <f>$F4*Outputs_Internal!N$56/12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$F5*Outputs_Internal!$D$56/12</f>
        <v>0</v>
      </c>
      <c r="N5" s="63">
        <f>$F5*Outputs_Internal!K$56/12</f>
        <v>0</v>
      </c>
      <c r="O5" s="63">
        <f>$F5*Outputs_Internal!L$56/12</f>
        <v>0</v>
      </c>
      <c r="P5" s="63">
        <f>$F5*Outputs_Internal!M$56/12</f>
        <v>0</v>
      </c>
      <c r="Q5" s="63">
        <f>$F5*Outputs_Internal!N$56/12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$F6*Outputs_Internal!$D$56/12</f>
        <v>0</v>
      </c>
      <c r="N6" s="63">
        <f>$F6*Outputs_Internal!K$56/12</f>
        <v>0</v>
      </c>
      <c r="O6" s="63">
        <f>$F6*Outputs_Internal!L$56/12</f>
        <v>0</v>
      </c>
      <c r="P6" s="63">
        <f>$F6*Outputs_Internal!M$56/12</f>
        <v>0</v>
      </c>
      <c r="Q6" s="63">
        <f>$F6*Outputs_Internal!N$56/12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$F7*Outputs_Internal!$D$56/12</f>
        <v>0</v>
      </c>
      <c r="N7" s="63">
        <f>$F7*Outputs_Internal!K$56/12</f>
        <v>0</v>
      </c>
      <c r="O7" s="63">
        <f>$F7*Outputs_Internal!L$56/12</f>
        <v>0</v>
      </c>
      <c r="P7" s="63">
        <f>$F7*Outputs_Internal!M$56/12</f>
        <v>0</v>
      </c>
      <c r="Q7" s="63">
        <f>$F7*Outputs_Internal!N$56/12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$F8*Outputs_Internal!$D$56/12</f>
        <v>0</v>
      </c>
      <c r="N8" s="63">
        <f>$F8*Outputs_Internal!K$56/12</f>
        <v>0</v>
      </c>
      <c r="O8" s="63">
        <f>$F8*Outputs_Internal!L$56/12</f>
        <v>0</v>
      </c>
      <c r="P8" s="63">
        <f>$F8*Outputs_Internal!M$56/12</f>
        <v>0</v>
      </c>
      <c r="Q8" s="63">
        <f>$F8*Outputs_Internal!N$56/12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42750</v>
      </c>
      <c r="I9" s="63">
        <f>IF($B9=Inputs!$C$1,SUM(Outputs_Internal!K$4, Outputs_Internal!K$5),0)*$D9</f>
        <v>8275</v>
      </c>
      <c r="J9" s="63">
        <f>IF($B9=Inputs!$C$1,SUM(Outputs_Internal!L$4, Outputs_Internal!L$5),0)*$D9</f>
        <v>34475</v>
      </c>
      <c r="K9" s="63">
        <f>IF($B9=Inputs!$C$1,SUM(Outputs_Internal!M$4, Outputs_Internal!$M$5),0)*$D9</f>
        <v>0</v>
      </c>
      <c r="M9" s="63">
        <f>$F9*Outputs_Internal!$D$56/12</f>
        <v>16813.739583333332</v>
      </c>
      <c r="N9" s="63">
        <f>$F9*Outputs_Internal!K$56/12</f>
        <v>3567.4768116264108</v>
      </c>
      <c r="O9" s="63">
        <f>$F9*Outputs_Internal!L$56/12</f>
        <v>12982.073973716373</v>
      </c>
      <c r="P9" s="63">
        <f>$F9*Outputs_Internal!M$56/12</f>
        <v>243.8665827605096</v>
      </c>
      <c r="Q9" s="63">
        <f>$F9*Outputs_Internal!N$56/12</f>
        <v>20.322215230041976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$F10*Outputs_Internal!$D$56/12</f>
        <v>16813.739583333332</v>
      </c>
      <c r="N10" s="63">
        <f>$F10*Outputs_Internal!K$56/12</f>
        <v>3567.4768116264108</v>
      </c>
      <c r="O10" s="63">
        <f>$F10*Outputs_Internal!L$56/12</f>
        <v>12982.073973716373</v>
      </c>
      <c r="P10" s="63">
        <f>$F10*Outputs_Internal!M$56/12</f>
        <v>243.8665827605096</v>
      </c>
      <c r="Q10" s="63">
        <f>$F10*Outputs_Internal!N$56/12</f>
        <v>20.322215230041976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$F11*Outputs_Internal!$D$56/12</f>
        <v>16813.739583333332</v>
      </c>
      <c r="N11" s="63">
        <f>$F11*Outputs_Internal!K$56/12</f>
        <v>3567.4768116264108</v>
      </c>
      <c r="O11" s="63">
        <f>$F11*Outputs_Internal!L$56/12</f>
        <v>12982.073973716373</v>
      </c>
      <c r="P11" s="63">
        <f>$F11*Outputs_Internal!M$56/12</f>
        <v>243.8665827605096</v>
      </c>
      <c r="Q11" s="63">
        <f>$F11*Outputs_Internal!N$56/12</f>
        <v>20.322215230041976</v>
      </c>
      <c r="S11" s="63">
        <f t="shared" si="1"/>
        <v>93191.218749999985</v>
      </c>
      <c r="T11" s="63">
        <f t="shared" si="2"/>
        <v>18977.430434879232</v>
      </c>
      <c r="U11" s="63">
        <f>IF(MOD(MONTH($B11),3)=0,SUM(J9:J11,O9:O11),0)</f>
        <v>73421.221921149117</v>
      </c>
      <c r="V11" s="63">
        <f t="shared" si="4"/>
        <v>731.59974828152883</v>
      </c>
      <c r="W11" s="63">
        <f t="shared" si="5"/>
        <v>60.966645690125929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$F12*Outputs_Internal!$D$56/12</f>
        <v>16813.739583333332</v>
      </c>
      <c r="N12" s="63">
        <f>$F12*Outputs_Internal!K$56/12</f>
        <v>3567.4768116264108</v>
      </c>
      <c r="O12" s="63">
        <f>$F12*Outputs_Internal!L$56/12</f>
        <v>12982.073973716373</v>
      </c>
      <c r="P12" s="63">
        <f>$F12*Outputs_Internal!M$56/12</f>
        <v>243.8665827605096</v>
      </c>
      <c r="Q12" s="63">
        <f>$F12*Outputs_Internal!N$56/12</f>
        <v>20.322215230041976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$F13*Outputs_Internal!$D$56/12</f>
        <v>16813.739583333332</v>
      </c>
      <c r="N13" s="63">
        <f>$F13*Outputs_Internal!K$56/12</f>
        <v>3567.4768116264108</v>
      </c>
      <c r="O13" s="63">
        <f>$F13*Outputs_Internal!L$56/12</f>
        <v>12982.073973716373</v>
      </c>
      <c r="P13" s="63">
        <f>$F13*Outputs_Internal!M$56/12</f>
        <v>243.8665827605096</v>
      </c>
      <c r="Q13" s="63">
        <f>$F13*Outputs_Internal!N$56/12</f>
        <v>20.322215230041976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$F14*Outputs_Internal!$D$56/12</f>
        <v>16813.739583333332</v>
      </c>
      <c r="N14" s="63">
        <f>$F14*Outputs_Internal!K$56/12</f>
        <v>3567.4768116264108</v>
      </c>
      <c r="O14" s="63">
        <f>$F14*Outputs_Internal!L$56/12</f>
        <v>12982.073973716373</v>
      </c>
      <c r="P14" s="63">
        <f>$F14*Outputs_Internal!M$56/12</f>
        <v>243.8665827605096</v>
      </c>
      <c r="Q14" s="63">
        <f>$F14*Outputs_Internal!N$56/12</f>
        <v>20.322215230041976</v>
      </c>
      <c r="S14" s="63">
        <f t="shared" si="1"/>
        <v>50441.21875</v>
      </c>
      <c r="T14" s="63">
        <f t="shared" si="2"/>
        <v>10702.430434879232</v>
      </c>
      <c r="U14" s="63">
        <f t="shared" si="3"/>
        <v>38946.221921149117</v>
      </c>
      <c r="V14" s="63">
        <f t="shared" si="4"/>
        <v>731.59974828152883</v>
      </c>
      <c r="W14" s="63">
        <f t="shared" si="5"/>
        <v>60.966645690125929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$F15*Outputs_Internal!$D$56/12</f>
        <v>16813.739583333332</v>
      </c>
      <c r="N15" s="63">
        <f>$F15*Outputs_Internal!K$56/12</f>
        <v>3567.4768116264108</v>
      </c>
      <c r="O15" s="63">
        <f>$F15*Outputs_Internal!L$56/12</f>
        <v>12982.073973716373</v>
      </c>
      <c r="P15" s="63">
        <f>$F15*Outputs_Internal!M$56/12</f>
        <v>243.8665827605096</v>
      </c>
      <c r="Q15" s="63">
        <f>$F15*Outputs_Internal!N$56/12</f>
        <v>20.322215230041976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$F16*Outputs_Internal!$D$56/12</f>
        <v>16813.739583333332</v>
      </c>
      <c r="N16" s="63">
        <f>$F16*Outputs_Internal!K$56/12</f>
        <v>3567.4768116264108</v>
      </c>
      <c r="O16" s="63">
        <f>$F16*Outputs_Internal!L$56/12</f>
        <v>12982.073973716373</v>
      </c>
      <c r="P16" s="63">
        <f>$F16*Outputs_Internal!M$56/12</f>
        <v>243.8665827605096</v>
      </c>
      <c r="Q16" s="63">
        <f>$F16*Outputs_Internal!N$56/12</f>
        <v>20.322215230041976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$F17*Outputs_Internal!$D$56/12</f>
        <v>16813.739583333332</v>
      </c>
      <c r="N17" s="63">
        <f>$F17*Outputs_Internal!K$56/12</f>
        <v>3567.4768116264108</v>
      </c>
      <c r="O17" s="63">
        <f>$F17*Outputs_Internal!L$56/12</f>
        <v>12982.073973716373</v>
      </c>
      <c r="P17" s="63">
        <f>$F17*Outputs_Internal!M$56/12</f>
        <v>243.8665827605096</v>
      </c>
      <c r="Q17" s="63">
        <f>$F17*Outputs_Internal!N$56/12</f>
        <v>20.322215230041976</v>
      </c>
      <c r="S17" s="63">
        <f t="shared" si="1"/>
        <v>50441.21875</v>
      </c>
      <c r="T17" s="63">
        <f t="shared" si="2"/>
        <v>10702.430434879232</v>
      </c>
      <c r="U17" s="63">
        <f t="shared" si="3"/>
        <v>38946.221921149117</v>
      </c>
      <c r="V17" s="63">
        <f t="shared" si="4"/>
        <v>731.59974828152883</v>
      </c>
      <c r="W17" s="63">
        <f t="shared" si="5"/>
        <v>60.966645690125929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$F18*Outputs_Internal!$D$56/12</f>
        <v>16813.739583333332</v>
      </c>
      <c r="N18" s="63">
        <f>$F18*Outputs_Internal!K$56/12</f>
        <v>3567.4768116264108</v>
      </c>
      <c r="O18" s="63">
        <f>$F18*Outputs_Internal!L$56/12</f>
        <v>12982.073973716373</v>
      </c>
      <c r="P18" s="63">
        <f>$F18*Outputs_Internal!M$56/12</f>
        <v>243.8665827605096</v>
      </c>
      <c r="Q18" s="63">
        <f>$F18*Outputs_Internal!N$56/12</f>
        <v>20.322215230041976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$F19*Outputs_Internal!$D$56/12</f>
        <v>16813.739583333332</v>
      </c>
      <c r="N19" s="63">
        <f>$F19*Outputs_Internal!K$56/12</f>
        <v>3567.4768116264108</v>
      </c>
      <c r="O19" s="63">
        <f>$F19*Outputs_Internal!L$56/12</f>
        <v>12982.073973716373</v>
      </c>
      <c r="P19" s="63">
        <f>$F19*Outputs_Internal!M$56/12</f>
        <v>243.8665827605096</v>
      </c>
      <c r="Q19" s="63">
        <f>$F19*Outputs_Internal!N$56/12</f>
        <v>20.322215230041976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$F20*Outputs_Internal!$D$56/12</f>
        <v>16813.739583333332</v>
      </c>
      <c r="N20" s="63">
        <f>$F20*Outputs_Internal!K$56/12</f>
        <v>3567.4768116264108</v>
      </c>
      <c r="O20" s="63">
        <f>$F20*Outputs_Internal!L$56/12</f>
        <v>12982.073973716373</v>
      </c>
      <c r="P20" s="63">
        <f>$F20*Outputs_Internal!M$56/12</f>
        <v>243.8665827605096</v>
      </c>
      <c r="Q20" s="63">
        <f>$F20*Outputs_Internal!N$56/12</f>
        <v>20.322215230041976</v>
      </c>
      <c r="S20" s="63">
        <f t="shared" si="1"/>
        <v>50441.21875</v>
      </c>
      <c r="T20" s="63">
        <f t="shared" si="2"/>
        <v>10702.430434879232</v>
      </c>
      <c r="U20" s="63">
        <f t="shared" si="3"/>
        <v>38946.221921149117</v>
      </c>
      <c r="V20" s="63">
        <f t="shared" si="4"/>
        <v>731.59974828152883</v>
      </c>
      <c r="W20" s="63">
        <f t="shared" si="5"/>
        <v>60.966645690125929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$F21*Outputs_Internal!$D$56/12</f>
        <v>16813.739583333332</v>
      </c>
      <c r="N21" s="63">
        <f>$F21*Outputs_Internal!K$56/12</f>
        <v>3567.4768116264108</v>
      </c>
      <c r="O21" s="63">
        <f>$F21*Outputs_Internal!L$56/12</f>
        <v>12982.073973716373</v>
      </c>
      <c r="P21" s="63">
        <f>$F21*Outputs_Internal!M$56/12</f>
        <v>243.8665827605096</v>
      </c>
      <c r="Q21" s="63">
        <f>$F21*Outputs_Internal!N$56/12</f>
        <v>20.322215230041976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$F22*Outputs_Internal!$D$56/12</f>
        <v>16813.739583333332</v>
      </c>
      <c r="N22" s="63">
        <f>$F22*Outputs_Internal!K$56/12</f>
        <v>3567.4768116264108</v>
      </c>
      <c r="O22" s="63">
        <f>$F22*Outputs_Internal!L$56/12</f>
        <v>12982.073973716373</v>
      </c>
      <c r="P22" s="63">
        <f>$F22*Outputs_Internal!M$56/12</f>
        <v>243.8665827605096</v>
      </c>
      <c r="Q22" s="63">
        <f>$F22*Outputs_Internal!N$56/12</f>
        <v>20.322215230041976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$F23*Outputs_Internal!$D$56/12</f>
        <v>16813.739583333332</v>
      </c>
      <c r="N23" s="63">
        <f>$F23*Outputs_Internal!K$56/12</f>
        <v>3567.4768116264108</v>
      </c>
      <c r="O23" s="63">
        <f>$F23*Outputs_Internal!L$56/12</f>
        <v>12982.073973716373</v>
      </c>
      <c r="P23" s="63">
        <f>$F23*Outputs_Internal!M$56/12</f>
        <v>243.8665827605096</v>
      </c>
      <c r="Q23" s="63">
        <f>$F23*Outputs_Internal!N$56/12</f>
        <v>20.322215230041976</v>
      </c>
      <c r="S23" s="63">
        <f t="shared" si="1"/>
        <v>50441.21875</v>
      </c>
      <c r="T23" s="63">
        <f t="shared" si="2"/>
        <v>10702.430434879232</v>
      </c>
      <c r="U23" s="63">
        <f t="shared" si="3"/>
        <v>38946.221921149117</v>
      </c>
      <c r="V23" s="63">
        <f t="shared" si="4"/>
        <v>731.59974828152883</v>
      </c>
      <c r="W23" s="63">
        <f t="shared" si="5"/>
        <v>60.966645690125929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$F24*Outputs_Internal!$D$56/12</f>
        <v>16813.739583333332</v>
      </c>
      <c r="N24" s="63">
        <f>$F24*Outputs_Internal!K$56/12</f>
        <v>3567.4768116264108</v>
      </c>
      <c r="O24" s="63">
        <f>$F24*Outputs_Internal!L$56/12</f>
        <v>12982.073973716373</v>
      </c>
      <c r="P24" s="63">
        <f>$F24*Outputs_Internal!M$56/12</f>
        <v>243.8665827605096</v>
      </c>
      <c r="Q24" s="63">
        <f>$F24*Outputs_Internal!N$56/12</f>
        <v>20.322215230041976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$F25*Outputs_Internal!$D$56/12</f>
        <v>16813.739583333332</v>
      </c>
      <c r="N25" s="63">
        <f>$F25*Outputs_Internal!K$56/12</f>
        <v>3567.4768116264108</v>
      </c>
      <c r="O25" s="63">
        <f>$F25*Outputs_Internal!L$56/12</f>
        <v>12982.073973716373</v>
      </c>
      <c r="P25" s="63">
        <f>$F25*Outputs_Internal!M$56/12</f>
        <v>243.8665827605096</v>
      </c>
      <c r="Q25" s="63">
        <f>$F25*Outputs_Internal!N$56/12</f>
        <v>20.322215230041976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$F26*Outputs_Internal!$D$56/12</f>
        <v>16813.739583333332</v>
      </c>
      <c r="N26" s="63">
        <f>$F26*Outputs_Internal!K$56/12</f>
        <v>3567.4768116264108</v>
      </c>
      <c r="O26" s="63">
        <f>$F26*Outputs_Internal!L$56/12</f>
        <v>12982.073973716373</v>
      </c>
      <c r="P26" s="63">
        <f>$F26*Outputs_Internal!M$56/12</f>
        <v>243.8665827605096</v>
      </c>
      <c r="Q26" s="63">
        <f>$F26*Outputs_Internal!N$56/12</f>
        <v>20.322215230041976</v>
      </c>
      <c r="S26" s="63">
        <f t="shared" si="1"/>
        <v>50441.21875</v>
      </c>
      <c r="T26" s="63">
        <f t="shared" si="2"/>
        <v>10702.430434879232</v>
      </c>
      <c r="U26" s="63">
        <f t="shared" si="3"/>
        <v>38946.221921149117</v>
      </c>
      <c r="V26" s="63">
        <f t="shared" si="4"/>
        <v>731.59974828152883</v>
      </c>
      <c r="W26" s="63">
        <f t="shared" si="5"/>
        <v>60.966645690125929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$F27*Outputs_Internal!$D$56/12</f>
        <v>16813.739583333332</v>
      </c>
      <c r="N27" s="63">
        <f>$F27*Outputs_Internal!K$56/12</f>
        <v>3567.4768116264108</v>
      </c>
      <c r="O27" s="63">
        <f>$F27*Outputs_Internal!L$56/12</f>
        <v>12982.073973716373</v>
      </c>
      <c r="P27" s="63">
        <f>$F27*Outputs_Internal!M$56/12</f>
        <v>243.8665827605096</v>
      </c>
      <c r="Q27" s="63">
        <f>$F27*Outputs_Internal!N$56/12</f>
        <v>20.322215230041976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$F28*Outputs_Internal!$D$56/12</f>
        <v>16813.739583333332</v>
      </c>
      <c r="N28" s="63">
        <f>$F28*Outputs_Internal!K$56/12</f>
        <v>3567.4768116264108</v>
      </c>
      <c r="O28" s="63">
        <f>$F28*Outputs_Internal!L$56/12</f>
        <v>12982.073973716373</v>
      </c>
      <c r="P28" s="63">
        <f>$F28*Outputs_Internal!M$56/12</f>
        <v>243.8665827605096</v>
      </c>
      <c r="Q28" s="63">
        <f>$F28*Outputs_Internal!N$56/12</f>
        <v>20.322215230041976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$F29*Outputs_Internal!$D$56/12</f>
        <v>16813.739583333332</v>
      </c>
      <c r="N29" s="63">
        <f>$F29*Outputs_Internal!K$56/12</f>
        <v>3567.4768116264108</v>
      </c>
      <c r="O29" s="63">
        <f>$F29*Outputs_Internal!L$56/12</f>
        <v>12982.073973716373</v>
      </c>
      <c r="P29" s="63">
        <f>$F29*Outputs_Internal!M$56/12</f>
        <v>243.8665827605096</v>
      </c>
      <c r="Q29" s="63">
        <f>$F29*Outputs_Internal!N$56/12</f>
        <v>20.322215230041976</v>
      </c>
      <c r="S29" s="63">
        <f t="shared" si="1"/>
        <v>50441.21875</v>
      </c>
      <c r="T29" s="63">
        <f t="shared" si="2"/>
        <v>10702.430434879232</v>
      </c>
      <c r="U29" s="63">
        <f t="shared" si="3"/>
        <v>38946.221921149117</v>
      </c>
      <c r="V29" s="63">
        <f t="shared" si="4"/>
        <v>731.59974828152883</v>
      </c>
      <c r="W29" s="63">
        <f t="shared" si="5"/>
        <v>60.966645690125929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$F30*Outputs_Internal!$D$56/12</f>
        <v>16813.739583333332</v>
      </c>
      <c r="N30" s="63">
        <f>$F30*Outputs_Internal!K$56/12</f>
        <v>3567.4768116264108</v>
      </c>
      <c r="O30" s="63">
        <f>$F30*Outputs_Internal!L$56/12</f>
        <v>12982.073973716373</v>
      </c>
      <c r="P30" s="63">
        <f>$F30*Outputs_Internal!M$56/12</f>
        <v>243.8665827605096</v>
      </c>
      <c r="Q30" s="63">
        <f>$F30*Outputs_Internal!N$56/12</f>
        <v>20.322215230041976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$F31*Outputs_Internal!$D$56/12</f>
        <v>16813.739583333332</v>
      </c>
      <c r="N31" s="63">
        <f>$F31*Outputs_Internal!K$56/12</f>
        <v>3567.4768116264108</v>
      </c>
      <c r="O31" s="63">
        <f>$F31*Outputs_Internal!L$56/12</f>
        <v>12982.073973716373</v>
      </c>
      <c r="P31" s="63">
        <f>$F31*Outputs_Internal!M$56/12</f>
        <v>243.8665827605096</v>
      </c>
      <c r="Q31" s="63">
        <f>$F31*Outputs_Internal!N$56/12</f>
        <v>20.322215230041976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$F32*Outputs_Internal!$D$56/12</f>
        <v>16813.739583333332</v>
      </c>
      <c r="N32" s="63">
        <f>$F32*Outputs_Internal!K$56/12</f>
        <v>3567.4768116264108</v>
      </c>
      <c r="O32" s="63">
        <f>$F32*Outputs_Internal!L$56/12</f>
        <v>12982.073973716373</v>
      </c>
      <c r="P32" s="63">
        <f>$F32*Outputs_Internal!M$56/12</f>
        <v>243.8665827605096</v>
      </c>
      <c r="Q32" s="63">
        <f>$F32*Outputs_Internal!N$56/12</f>
        <v>20.322215230041976</v>
      </c>
      <c r="S32" s="63">
        <f t="shared" si="1"/>
        <v>50441.21875</v>
      </c>
      <c r="T32" s="63">
        <f t="shared" si="2"/>
        <v>10702.430434879232</v>
      </c>
      <c r="U32" s="63">
        <f t="shared" si="3"/>
        <v>38946.221921149117</v>
      </c>
      <c r="V32" s="63">
        <f t="shared" si="4"/>
        <v>731.59974828152883</v>
      </c>
      <c r="W32" s="63">
        <f t="shared" si="5"/>
        <v>60.966645690125929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$F33*Outputs_Internal!$D$56/12</f>
        <v>16813.739583333332</v>
      </c>
      <c r="N33" s="63">
        <f>$F33*Outputs_Internal!K$56/12</f>
        <v>3567.4768116264108</v>
      </c>
      <c r="O33" s="63">
        <f>$F33*Outputs_Internal!L$56/12</f>
        <v>12982.073973716373</v>
      </c>
      <c r="P33" s="63">
        <f>$F33*Outputs_Internal!M$56/12</f>
        <v>243.8665827605096</v>
      </c>
      <c r="Q33" s="63">
        <f>$F33*Outputs_Internal!N$56/12</f>
        <v>20.322215230041976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$F34*Outputs_Internal!$D$56/12</f>
        <v>16813.739583333332</v>
      </c>
      <c r="N34" s="63">
        <f>$F34*Outputs_Internal!K$56/12</f>
        <v>3567.4768116264108</v>
      </c>
      <c r="O34" s="63">
        <f>$F34*Outputs_Internal!L$56/12</f>
        <v>12982.073973716373</v>
      </c>
      <c r="P34" s="63">
        <f>$F34*Outputs_Internal!M$56/12</f>
        <v>243.8665827605096</v>
      </c>
      <c r="Q34" s="63">
        <f>$F34*Outputs_Internal!N$56/12</f>
        <v>20.322215230041976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$F35*Outputs_Internal!$D$56/12</f>
        <v>16813.739583333332</v>
      </c>
      <c r="N35" s="63">
        <f>$F35*Outputs_Internal!K$56/12</f>
        <v>3567.4768116264108</v>
      </c>
      <c r="O35" s="63">
        <f>$F35*Outputs_Internal!L$56/12</f>
        <v>12982.073973716373</v>
      </c>
      <c r="P35" s="63">
        <f>$F35*Outputs_Internal!M$56/12</f>
        <v>243.8665827605096</v>
      </c>
      <c r="Q35" s="63">
        <f>$F35*Outputs_Internal!N$56/12</f>
        <v>20.322215230041976</v>
      </c>
      <c r="S35" s="63">
        <f t="shared" si="1"/>
        <v>50441.21875</v>
      </c>
      <c r="T35" s="63">
        <f t="shared" si="2"/>
        <v>10702.430434879232</v>
      </c>
      <c r="U35" s="63">
        <f t="shared" si="3"/>
        <v>38946.221921149117</v>
      </c>
      <c r="V35" s="63">
        <f t="shared" si="4"/>
        <v>731.59974828152883</v>
      </c>
      <c r="W35" s="63">
        <f t="shared" si="5"/>
        <v>60.966645690125929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$F36*Outputs_Internal!$D$56/12</f>
        <v>16813.739583333332</v>
      </c>
      <c r="N36" s="63">
        <f>$F36*Outputs_Internal!K$56/12</f>
        <v>3567.4768116264108</v>
      </c>
      <c r="O36" s="63">
        <f>$F36*Outputs_Internal!L$56/12</f>
        <v>12982.073973716373</v>
      </c>
      <c r="P36" s="63">
        <f>$F36*Outputs_Internal!M$56/12</f>
        <v>243.8665827605096</v>
      </c>
      <c r="Q36" s="63">
        <f>$F36*Outputs_Internal!N$56/12</f>
        <v>20.322215230041976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$F37*Outputs_Internal!$D$56/12</f>
        <v>16813.739583333332</v>
      </c>
      <c r="N37" s="63">
        <f>$F37*Outputs_Internal!K$56/12</f>
        <v>3567.4768116264108</v>
      </c>
      <c r="O37" s="63">
        <f>$F37*Outputs_Internal!L$56/12</f>
        <v>12982.073973716373</v>
      </c>
      <c r="P37" s="63">
        <f>$F37*Outputs_Internal!M$56/12</f>
        <v>243.8665827605096</v>
      </c>
      <c r="Q37" s="63">
        <f>$F37*Outputs_Internal!N$56/12</f>
        <v>20.322215230041976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$F38*Outputs_Internal!$D$56/12</f>
        <v>16813.739583333332</v>
      </c>
      <c r="N38" s="63">
        <f>$F38*Outputs_Internal!K$56/12</f>
        <v>3567.4768116264108</v>
      </c>
      <c r="O38" s="63">
        <f>$F38*Outputs_Internal!L$56/12</f>
        <v>12982.073973716373</v>
      </c>
      <c r="P38" s="63">
        <f>$F38*Outputs_Internal!M$56/12</f>
        <v>243.8665827605096</v>
      </c>
      <c r="Q38" s="63">
        <f>$F38*Outputs_Internal!N$56/12</f>
        <v>20.322215230041976</v>
      </c>
      <c r="S38" s="63">
        <f t="shared" si="1"/>
        <v>50441.21875</v>
      </c>
      <c r="T38" s="63">
        <f t="shared" si="2"/>
        <v>10702.430434879232</v>
      </c>
      <c r="U38" s="63">
        <f t="shared" si="3"/>
        <v>38946.221921149117</v>
      </c>
      <c r="V38" s="63">
        <f t="shared" si="4"/>
        <v>731.59974828152883</v>
      </c>
      <c r="W38" s="63">
        <f t="shared" si="5"/>
        <v>60.966645690125929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$F39*Outputs_Internal!$D$56/12</f>
        <v>16813.739583333332</v>
      </c>
      <c r="N39" s="63">
        <f>$F39*Outputs_Internal!K$56/12</f>
        <v>3567.4768116264108</v>
      </c>
      <c r="O39" s="63">
        <f>$F39*Outputs_Internal!L$56/12</f>
        <v>12982.073973716373</v>
      </c>
      <c r="P39" s="63">
        <f>$F39*Outputs_Internal!M$56/12</f>
        <v>243.8665827605096</v>
      </c>
      <c r="Q39" s="63">
        <f>$F39*Outputs_Internal!N$56/12</f>
        <v>20.322215230041976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$F40*Outputs_Internal!$D$56/12</f>
        <v>16813.739583333332</v>
      </c>
      <c r="N40" s="63">
        <f>$F40*Outputs_Internal!K$56/12</f>
        <v>3567.4768116264108</v>
      </c>
      <c r="O40" s="63">
        <f>$F40*Outputs_Internal!L$56/12</f>
        <v>12982.073973716373</v>
      </c>
      <c r="P40" s="63">
        <f>$F40*Outputs_Internal!M$56/12</f>
        <v>243.8665827605096</v>
      </c>
      <c r="Q40" s="63">
        <f>$F40*Outputs_Internal!N$56/12</f>
        <v>20.322215230041976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$F41*Outputs_Internal!$D$56/12</f>
        <v>16813.739583333332</v>
      </c>
      <c r="N41" s="63">
        <f>$F41*Outputs_Internal!K$56/12</f>
        <v>3567.4768116264108</v>
      </c>
      <c r="O41" s="63">
        <f>$F41*Outputs_Internal!L$56/12</f>
        <v>12982.073973716373</v>
      </c>
      <c r="P41" s="63">
        <f>$F41*Outputs_Internal!M$56/12</f>
        <v>243.8665827605096</v>
      </c>
      <c r="Q41" s="63">
        <f>$F41*Outputs_Internal!N$56/12</f>
        <v>20.322215230041976</v>
      </c>
      <c r="S41" s="63">
        <f t="shared" si="1"/>
        <v>50441.21875</v>
      </c>
      <c r="T41" s="63">
        <f t="shared" si="2"/>
        <v>10702.430434879232</v>
      </c>
      <c r="U41" s="63">
        <f t="shared" si="3"/>
        <v>38946.221921149117</v>
      </c>
      <c r="V41" s="63">
        <f t="shared" si="4"/>
        <v>731.59974828152883</v>
      </c>
      <c r="W41" s="63">
        <f t="shared" si="5"/>
        <v>60.966645690125929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$F42*Outputs_Internal!$D$56/12</f>
        <v>16813.739583333332</v>
      </c>
      <c r="N42" s="63">
        <f>$F42*Outputs_Internal!K$56/12</f>
        <v>3567.4768116264108</v>
      </c>
      <c r="O42" s="63">
        <f>$F42*Outputs_Internal!L$56/12</f>
        <v>12982.073973716373</v>
      </c>
      <c r="P42" s="63">
        <f>$F42*Outputs_Internal!M$56/12</f>
        <v>243.8665827605096</v>
      </c>
      <c r="Q42" s="63">
        <f>$F42*Outputs_Internal!N$56/12</f>
        <v>20.322215230041976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$F43*Outputs_Internal!$D$56/12</f>
        <v>16813.739583333332</v>
      </c>
      <c r="N43" s="63">
        <f>$F43*Outputs_Internal!K$56/12</f>
        <v>3567.4768116264108</v>
      </c>
      <c r="O43" s="63">
        <f>$F43*Outputs_Internal!L$56/12</f>
        <v>12982.073973716373</v>
      </c>
      <c r="P43" s="63">
        <f>$F43*Outputs_Internal!M$56/12</f>
        <v>243.8665827605096</v>
      </c>
      <c r="Q43" s="63">
        <f>$F43*Outputs_Internal!N$56/12</f>
        <v>20.322215230041976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$F44*Outputs_Internal!$D$56/12</f>
        <v>16813.739583333332</v>
      </c>
      <c r="N44" s="63">
        <f>$F44*Outputs_Internal!K$56/12</f>
        <v>3567.4768116264108</v>
      </c>
      <c r="O44" s="63">
        <f>$F44*Outputs_Internal!L$56/12</f>
        <v>12982.073973716373</v>
      </c>
      <c r="P44" s="63">
        <f>$F44*Outputs_Internal!M$56/12</f>
        <v>243.8665827605096</v>
      </c>
      <c r="Q44" s="63">
        <f>$F44*Outputs_Internal!N$56/12</f>
        <v>20.322215230041976</v>
      </c>
      <c r="S44" s="63">
        <f>IF(MOD(MONTH($B44),3)=0,SUM(H42:H44,M42:M44),0)</f>
        <v>50441.21875</v>
      </c>
      <c r="T44" s="63">
        <f t="shared" si="2"/>
        <v>10702.430434879232</v>
      </c>
      <c r="U44" s="63">
        <f t="shared" si="3"/>
        <v>38946.221921149117</v>
      </c>
      <c r="V44" s="63">
        <f t="shared" si="4"/>
        <v>731.59974828152883</v>
      </c>
      <c r="W44" s="63">
        <f t="shared" si="5"/>
        <v>60.966645690125929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$F45*Outputs_Internal!$D$56/12</f>
        <v>0</v>
      </c>
      <c r="N45" s="63">
        <f>$F45*Outputs_Internal!K$56/12</f>
        <v>0</v>
      </c>
      <c r="O45" s="63">
        <f>$F45*Outputs_Internal!L$56/12</f>
        <v>0</v>
      </c>
      <c r="P45" s="63">
        <f>$F45*Outputs_Internal!M$56/12</f>
        <v>0</v>
      </c>
      <c r="Q45" s="63">
        <f>$F45*Outputs_Internal!N$56/12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$F46*Outputs_Internal!$D$56/12</f>
        <v>0</v>
      </c>
      <c r="N46" s="63">
        <f>$F46*Outputs_Internal!K$56/12</f>
        <v>0</v>
      </c>
      <c r="O46" s="63">
        <f>$F46*Outputs_Internal!L$56/12</f>
        <v>0</v>
      </c>
      <c r="P46" s="63">
        <f>$F46*Outputs_Internal!M$56/12</f>
        <v>0</v>
      </c>
      <c r="Q46" s="63">
        <f>$F46*Outputs_Internal!N$56/12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$F47*Outputs_Internal!$D$56/12</f>
        <v>0</v>
      </c>
      <c r="N47" s="63">
        <f>$F47*Outputs_Internal!K$56/12</f>
        <v>0</v>
      </c>
      <c r="O47" s="63">
        <f>$F47*Outputs_Internal!L$56/12</f>
        <v>0</v>
      </c>
      <c r="P47" s="63">
        <f>$F47*Outputs_Internal!M$56/12</f>
        <v>0</v>
      </c>
      <c r="Q47" s="63">
        <f>$F47*Outputs_Internal!N$56/12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$F48*Outputs_Internal!$D$56/12</f>
        <v>0</v>
      </c>
      <c r="N48" s="63">
        <f>$F48*Outputs_Internal!K$56/12</f>
        <v>0</v>
      </c>
      <c r="O48" s="63">
        <f>$F48*Outputs_Internal!L$56/12</f>
        <v>0</v>
      </c>
      <c r="P48" s="63">
        <f>$F48*Outputs_Internal!M$56/12</f>
        <v>0</v>
      </c>
      <c r="Q48" s="63">
        <f>$F48*Outputs_Internal!N$56/12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$F49*Outputs_Internal!$D$56/12</f>
        <v>0</v>
      </c>
      <c r="N49" s="63">
        <f>$F49*Outputs_Internal!K$56/12</f>
        <v>0</v>
      </c>
      <c r="O49" s="63">
        <f>$F49*Outputs_Internal!L$56/12</f>
        <v>0</v>
      </c>
      <c r="P49" s="63">
        <f>$F49*Outputs_Internal!M$56/12</f>
        <v>0</v>
      </c>
      <c r="Q49" s="63">
        <f>$F49*Outputs_Internal!N$56/12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$F50*Outputs_Internal!$D$56/12</f>
        <v>0</v>
      </c>
      <c r="N50" s="63">
        <f>$F50*Outputs_Internal!K$56/12</f>
        <v>0</v>
      </c>
      <c r="O50" s="63">
        <f>$F50*Outputs_Internal!L$56/12</f>
        <v>0</v>
      </c>
      <c r="P50" s="63">
        <f>$F50*Outputs_Internal!M$56/12</f>
        <v>0</v>
      </c>
      <c r="Q50" s="63">
        <f>$F50*Outputs_Internal!N$56/12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$F51*Outputs_Internal!$D$56/12</f>
        <v>0</v>
      </c>
      <c r="N51" s="63">
        <f>$F51*Outputs_Internal!K$56/12</f>
        <v>0</v>
      </c>
      <c r="O51" s="63">
        <f>$F51*Outputs_Internal!L$56/12</f>
        <v>0</v>
      </c>
      <c r="P51" s="63">
        <f>$F51*Outputs_Internal!M$56/12</f>
        <v>0</v>
      </c>
      <c r="Q51" s="63">
        <f>$F51*Outputs_Internal!N$56/12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$F52*Outputs_Internal!$D$56/12</f>
        <v>0</v>
      </c>
      <c r="N52" s="63">
        <f>$F52*Outputs_Internal!K$56/12</f>
        <v>0</v>
      </c>
      <c r="O52" s="63">
        <f>$F52*Outputs_Internal!L$56/12</f>
        <v>0</v>
      </c>
      <c r="P52" s="63">
        <f>$F52*Outputs_Internal!M$56/12</f>
        <v>0</v>
      </c>
      <c r="Q52" s="63">
        <f>$F52*Outputs_Internal!N$56/12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$F53*Outputs_Internal!$D$56/12</f>
        <v>0</v>
      </c>
      <c r="N53" s="63">
        <f>$F53*Outputs_Internal!K$56/12</f>
        <v>0</v>
      </c>
      <c r="O53" s="63">
        <f>$F53*Outputs_Internal!L$56/12</f>
        <v>0</v>
      </c>
      <c r="P53" s="63">
        <f>$F53*Outputs_Internal!M$56/12</f>
        <v>0</v>
      </c>
      <c r="Q53" s="63">
        <f>$F53*Outputs_Internal!N$56/12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$F54*Outputs_Internal!$D$56/12</f>
        <v>0</v>
      </c>
      <c r="N54" s="63">
        <f>$F54*Outputs_Internal!K$56/12</f>
        <v>0</v>
      </c>
      <c r="O54" s="63">
        <f>$F54*Outputs_Internal!L$56/12</f>
        <v>0</v>
      </c>
      <c r="P54" s="63">
        <f>$F54*Outputs_Internal!M$56/12</f>
        <v>0</v>
      </c>
      <c r="Q54" s="63">
        <f>$F54*Outputs_Internal!N$56/12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$F55*Outputs_Internal!$D$56/12</f>
        <v>0</v>
      </c>
      <c r="N55" s="63">
        <f>$F55*Outputs_Internal!K$56/12</f>
        <v>0</v>
      </c>
      <c r="O55" s="63">
        <f>$F55*Outputs_Internal!L$56/12</f>
        <v>0</v>
      </c>
      <c r="P55" s="63">
        <f>$F55*Outputs_Internal!M$56/12</f>
        <v>0</v>
      </c>
      <c r="Q55" s="63">
        <f>$F55*Outputs_Internal!N$56/12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$F56*Outputs_Internal!$D$56/12</f>
        <v>0</v>
      </c>
      <c r="N56" s="63">
        <f>$F56*Outputs_Internal!K$56/12</f>
        <v>0</v>
      </c>
      <c r="O56" s="63">
        <f>$F56*Outputs_Internal!L$56/12</f>
        <v>0</v>
      </c>
      <c r="P56" s="63">
        <f>$F56*Outputs_Internal!M$56/12</f>
        <v>0</v>
      </c>
      <c r="Q56" s="63">
        <f>$F56*Outputs_Internal!N$56/12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$F57*Outputs_Internal!$D$56/12</f>
        <v>0</v>
      </c>
      <c r="N57" s="63">
        <f>$F57*Outputs_Internal!K$56/12</f>
        <v>0</v>
      </c>
      <c r="O57" s="63">
        <f>$F57*Outputs_Internal!L$56/12</f>
        <v>0</v>
      </c>
      <c r="P57" s="63">
        <f>$F57*Outputs_Internal!M$56/12</f>
        <v>0</v>
      </c>
      <c r="Q57" s="63">
        <f>$F57*Outputs_Internal!N$56/12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$F58*Outputs_Internal!$D$56/12</f>
        <v>0</v>
      </c>
      <c r="N58" s="63">
        <f>$F58*Outputs_Internal!K$56/12</f>
        <v>0</v>
      </c>
      <c r="O58" s="63">
        <f>$F58*Outputs_Internal!L$56/12</f>
        <v>0</v>
      </c>
      <c r="P58" s="63">
        <f>$F58*Outputs_Internal!M$56/12</f>
        <v>0</v>
      </c>
      <c r="Q58" s="63">
        <f>$F58*Outputs_Internal!N$56/12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$F59*Outputs_Internal!$D$56/12</f>
        <v>0</v>
      </c>
      <c r="N59" s="63">
        <f>$F59*Outputs_Internal!K$56/12</f>
        <v>0</v>
      </c>
      <c r="O59" s="63">
        <f>$F59*Outputs_Internal!L$56/12</f>
        <v>0</v>
      </c>
      <c r="P59" s="63">
        <f>$F59*Outputs_Internal!M$56/12</f>
        <v>0</v>
      </c>
      <c r="Q59" s="63">
        <f>$F59*Outputs_Internal!N$56/12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$F60*Outputs_Internal!$D$56/12</f>
        <v>0</v>
      </c>
      <c r="N60" s="63">
        <f>$F60*Outputs_Internal!K$56/12</f>
        <v>0</v>
      </c>
      <c r="O60" s="63">
        <f>$F60*Outputs_Internal!L$56/12</f>
        <v>0</v>
      </c>
      <c r="P60" s="63">
        <f>$F60*Outputs_Internal!M$56/12</f>
        <v>0</v>
      </c>
      <c r="Q60" s="63">
        <f>$F60*Outputs_Internal!N$56/12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$F61*Outputs_Internal!$D$56/12</f>
        <v>0</v>
      </c>
      <c r="N61" s="63">
        <f>$F61*Outputs_Internal!K$56/12</f>
        <v>0</v>
      </c>
      <c r="O61" s="63">
        <f>$F61*Outputs_Internal!L$56/12</f>
        <v>0</v>
      </c>
      <c r="P61" s="63">
        <f>$F61*Outputs_Internal!M$56/12</f>
        <v>0</v>
      </c>
      <c r="Q61" s="63">
        <f>$F61*Outputs_Internal!N$56/12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$F62*Outputs_Internal!$D$56/12</f>
        <v>0</v>
      </c>
      <c r="N62" s="63">
        <f>$F62*Outputs_Internal!K$56/12</f>
        <v>0</v>
      </c>
      <c r="O62" s="63">
        <f>$F62*Outputs_Internal!L$56/12</f>
        <v>0</v>
      </c>
      <c r="P62" s="63">
        <f>$F62*Outputs_Internal!M$56/12</f>
        <v>0</v>
      </c>
      <c r="Q62" s="63">
        <f>$F62*Outputs_Internal!N$56/12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$F63*Outputs_Internal!$D$56/12</f>
        <v>0</v>
      </c>
      <c r="N63" s="63">
        <f>$F63*Outputs_Internal!K$56/12</f>
        <v>0</v>
      </c>
      <c r="O63" s="63">
        <f>$F63*Outputs_Internal!L$56/12</f>
        <v>0</v>
      </c>
      <c r="P63" s="63">
        <f>$F63*Outputs_Internal!M$56/12</f>
        <v>0</v>
      </c>
      <c r="Q63" s="63">
        <f>$F63*Outputs_Internal!N$56/12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$F64*Outputs_Internal!$D$56/12</f>
        <v>0</v>
      </c>
      <c r="N64" s="63">
        <f>$F64*Outputs_Internal!K$56/12</f>
        <v>0</v>
      </c>
      <c r="O64" s="63">
        <f>$F64*Outputs_Internal!L$56/12</f>
        <v>0</v>
      </c>
      <c r="P64" s="63">
        <f>$F64*Outputs_Internal!M$56/12</f>
        <v>0</v>
      </c>
      <c r="Q64" s="63">
        <f>$F64*Outputs_Internal!N$56/12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$F65*Outputs_Internal!$D$56/12</f>
        <v>0</v>
      </c>
      <c r="N65" s="63">
        <f>$F65*Outputs_Internal!K$56/12</f>
        <v>0</v>
      </c>
      <c r="O65" s="63">
        <f>$F65*Outputs_Internal!L$56/12</f>
        <v>0</v>
      </c>
      <c r="P65" s="63">
        <f>$F65*Outputs_Internal!M$56/12</f>
        <v>0</v>
      </c>
      <c r="Q65" s="63">
        <f>$F65*Outputs_Internal!N$56/12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$F66*Outputs_Internal!$D$56/12</f>
        <v>0</v>
      </c>
      <c r="N66" s="63">
        <f>$F66*Outputs_Internal!K$56/12</f>
        <v>0</v>
      </c>
      <c r="O66" s="63">
        <f>$F66*Outputs_Internal!L$56/12</f>
        <v>0</v>
      </c>
      <c r="P66" s="63">
        <f>$F66*Outputs_Internal!M$56/12</f>
        <v>0</v>
      </c>
      <c r="Q66" s="63">
        <f>$F66*Outputs_Internal!N$56/12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$F67*Outputs_Internal!$D$56/12</f>
        <v>0</v>
      </c>
      <c r="N67" s="63">
        <f>$F67*Outputs_Internal!K$56/12</f>
        <v>0</v>
      </c>
      <c r="O67" s="63">
        <f>$F67*Outputs_Internal!L$56/12</f>
        <v>0</v>
      </c>
      <c r="P67" s="63">
        <f>$F67*Outputs_Internal!M$56/12</f>
        <v>0</v>
      </c>
      <c r="Q67" s="63">
        <f>$F67*Outputs_Internal!N$56/12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$F68*Outputs_Internal!$D$56/12</f>
        <v>0</v>
      </c>
      <c r="N68" s="63">
        <f>$F68*Outputs_Internal!K$56/12</f>
        <v>0</v>
      </c>
      <c r="O68" s="63">
        <f>$F68*Outputs_Internal!L$56/12</f>
        <v>0</v>
      </c>
      <c r="P68" s="63">
        <f>$F68*Outputs_Internal!M$56/12</f>
        <v>0</v>
      </c>
      <c r="Q68" s="63">
        <f>$F68*Outputs_Internal!N$56/12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$F69*Outputs_Internal!$D$56/12</f>
        <v>0</v>
      </c>
      <c r="N69" s="63">
        <f>$F69*Outputs_Internal!K$56/12</f>
        <v>0</v>
      </c>
      <c r="O69" s="63">
        <f>$F69*Outputs_Internal!L$56/12</f>
        <v>0</v>
      </c>
      <c r="P69" s="63">
        <f>$F69*Outputs_Internal!M$56/12</f>
        <v>0</v>
      </c>
      <c r="Q69" s="63">
        <f>$F69*Outputs_Internal!N$56/12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$F70*Outputs_Internal!$D$56/12</f>
        <v>0</v>
      </c>
      <c r="N70" s="63">
        <f>$F70*Outputs_Internal!K$56/12</f>
        <v>0</v>
      </c>
      <c r="O70" s="63">
        <f>$F70*Outputs_Internal!L$56/12</f>
        <v>0</v>
      </c>
      <c r="P70" s="63">
        <f>$F70*Outputs_Internal!M$56/12</f>
        <v>0</v>
      </c>
      <c r="Q70" s="63">
        <f>$F70*Outputs_Internal!N$56/12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$F71*Outputs_Internal!$D$56/12</f>
        <v>0</v>
      </c>
      <c r="N71" s="63">
        <f>$F71*Outputs_Internal!K$56/12</f>
        <v>0</v>
      </c>
      <c r="O71" s="63">
        <f>$F71*Outputs_Internal!L$56/12</f>
        <v>0</v>
      </c>
      <c r="P71" s="63">
        <f>$F71*Outputs_Internal!M$56/12</f>
        <v>0</v>
      </c>
      <c r="Q71" s="63">
        <f>$F71*Outputs_Internal!N$56/12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$F72*Outputs_Internal!$D$56/12</f>
        <v>0</v>
      </c>
      <c r="N72" s="63">
        <f>$F72*Outputs_Internal!K$56/12</f>
        <v>0</v>
      </c>
      <c r="O72" s="63">
        <f>$F72*Outputs_Internal!L$56/12</f>
        <v>0</v>
      </c>
      <c r="P72" s="63">
        <f>$F72*Outputs_Internal!M$56/12</f>
        <v>0</v>
      </c>
      <c r="Q72" s="63">
        <f>$F72*Outputs_Internal!N$56/12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$F73*Outputs_Internal!$D$56/12</f>
        <v>0</v>
      </c>
      <c r="N73" s="63">
        <f>$F73*Outputs_Internal!K$56/12</f>
        <v>0</v>
      </c>
      <c r="O73" s="63">
        <f>$F73*Outputs_Internal!L$56/12</f>
        <v>0</v>
      </c>
      <c r="P73" s="63">
        <f>$F73*Outputs_Internal!M$56/12</f>
        <v>0</v>
      </c>
      <c r="Q73" s="63">
        <f>$F73*Outputs_Internal!N$56/12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$F74*Outputs_Internal!$D$56/12</f>
        <v>0</v>
      </c>
      <c r="N74" s="63">
        <f>$F74*Outputs_Internal!K$56/12</f>
        <v>0</v>
      </c>
      <c r="O74" s="63">
        <f>$F74*Outputs_Internal!L$56/12</f>
        <v>0</v>
      </c>
      <c r="P74" s="63">
        <f>$F74*Outputs_Internal!M$56/12</f>
        <v>0</v>
      </c>
      <c r="Q74" s="63">
        <f>$F74*Outputs_Internal!N$56/12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$F75*Outputs_Internal!$D$56/12</f>
        <v>0</v>
      </c>
      <c r="N75" s="63">
        <f>$F75*Outputs_Internal!K$56/12</f>
        <v>0</v>
      </c>
      <c r="O75" s="63">
        <f>$F75*Outputs_Internal!L$56/12</f>
        <v>0</v>
      </c>
      <c r="P75" s="63">
        <f>$F75*Outputs_Internal!M$56/12</f>
        <v>0</v>
      </c>
      <c r="Q75" s="63">
        <f>$F75*Outputs_Internal!N$56/12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$F76*Outputs_Internal!$D$56/12</f>
        <v>0</v>
      </c>
      <c r="N76" s="63">
        <f>$F76*Outputs_Internal!K$56/12</f>
        <v>0</v>
      </c>
      <c r="O76" s="63">
        <f>$F76*Outputs_Internal!L$56/12</f>
        <v>0</v>
      </c>
      <c r="P76" s="63">
        <f>$F76*Outputs_Internal!M$56/12</f>
        <v>0</v>
      </c>
      <c r="Q76" s="63">
        <f>$F76*Outputs_Internal!N$56/12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$F77*Outputs_Internal!$D$56/12</f>
        <v>0</v>
      </c>
      <c r="N77" s="63">
        <f>$F77*Outputs_Internal!K$56/12</f>
        <v>0</v>
      </c>
      <c r="O77" s="63">
        <f>$F77*Outputs_Internal!L$56/12</f>
        <v>0</v>
      </c>
      <c r="P77" s="63">
        <f>$F77*Outputs_Internal!M$56/12</f>
        <v>0</v>
      </c>
      <c r="Q77" s="63">
        <f>$F77*Outputs_Internal!N$56/12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$F78*Outputs_Internal!$D$56/12</f>
        <v>0</v>
      </c>
      <c r="N78" s="63">
        <f>$F78*Outputs_Internal!K$56/12</f>
        <v>0</v>
      </c>
      <c r="O78" s="63">
        <f>$F78*Outputs_Internal!L$56/12</f>
        <v>0</v>
      </c>
      <c r="P78" s="63">
        <f>$F78*Outputs_Internal!M$56/12</f>
        <v>0</v>
      </c>
      <c r="Q78" s="63">
        <f>$F78*Outputs_Internal!N$56/12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$F79*Outputs_Internal!$D$56/12</f>
        <v>0</v>
      </c>
      <c r="N79" s="63">
        <f>$F79*Outputs_Internal!K$56/12</f>
        <v>0</v>
      </c>
      <c r="O79" s="63">
        <f>$F79*Outputs_Internal!L$56/12</f>
        <v>0</v>
      </c>
      <c r="P79" s="63">
        <f>$F79*Outputs_Internal!M$56/12</f>
        <v>0</v>
      </c>
      <c r="Q79" s="63">
        <f>$F79*Outputs_Internal!N$56/12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$F80*Outputs_Internal!$D$56/12</f>
        <v>0</v>
      </c>
      <c r="N80" s="63">
        <f>$F80*Outputs_Internal!K$56/12</f>
        <v>0</v>
      </c>
      <c r="O80" s="63">
        <f>$F80*Outputs_Internal!L$56/12</f>
        <v>0</v>
      </c>
      <c r="P80" s="63">
        <f>$F80*Outputs_Internal!M$56/12</f>
        <v>0</v>
      </c>
      <c r="Q80" s="63">
        <f>$F80*Outputs_Internal!N$56/12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$F81*Outputs_Internal!$D$56/12</f>
        <v>0</v>
      </c>
      <c r="N81" s="63">
        <f>$F81*Outputs_Internal!K$56/12</f>
        <v>0</v>
      </c>
      <c r="O81" s="63">
        <f>$F81*Outputs_Internal!L$56/12</f>
        <v>0</v>
      </c>
      <c r="P81" s="63">
        <f>$F81*Outputs_Internal!M$56/12</f>
        <v>0</v>
      </c>
      <c r="Q81" s="63">
        <f>$F81*Outputs_Internal!N$56/12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$F82*Outputs_Internal!$D$56/12</f>
        <v>0</v>
      </c>
      <c r="N82" s="63">
        <f>$F82*Outputs_Internal!K$56/12</f>
        <v>0</v>
      </c>
      <c r="O82" s="63">
        <f>$F82*Outputs_Internal!L$56/12</f>
        <v>0</v>
      </c>
      <c r="P82" s="63">
        <f>$F82*Outputs_Internal!M$56/12</f>
        <v>0</v>
      </c>
      <c r="Q82" s="63">
        <f>$F82*Outputs_Internal!N$56/12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$F83*Outputs_Internal!$D$56/12</f>
        <v>0</v>
      </c>
      <c r="N83" s="63">
        <f>$F83*Outputs_Internal!K$56/12</f>
        <v>0</v>
      </c>
      <c r="O83" s="63">
        <f>$F83*Outputs_Internal!L$56/12</f>
        <v>0</v>
      </c>
      <c r="P83" s="63">
        <f>$F83*Outputs_Internal!M$56/12</f>
        <v>0</v>
      </c>
      <c r="Q83" s="63">
        <f>$F83*Outputs_Internal!N$56/12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$F84*Outputs_Internal!$D$56/12</f>
        <v>0</v>
      </c>
      <c r="N84" s="63">
        <f>$F84*Outputs_Internal!K$56/12</f>
        <v>0</v>
      </c>
      <c r="O84" s="63">
        <f>$F84*Outputs_Internal!L$56/12</f>
        <v>0</v>
      </c>
      <c r="P84" s="63">
        <f>$F84*Outputs_Internal!M$56/12</f>
        <v>0</v>
      </c>
      <c r="Q84" s="63">
        <f>$F84*Outputs_Internal!N$56/12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$F85*Outputs_Internal!$D$56/12</f>
        <v>0</v>
      </c>
      <c r="N85" s="63">
        <f>$F85*Outputs_Internal!K$56/12</f>
        <v>0</v>
      </c>
      <c r="O85" s="63">
        <f>$F85*Outputs_Internal!L$56/12</f>
        <v>0</v>
      </c>
      <c r="P85" s="63">
        <f>$F85*Outputs_Internal!M$56/12</f>
        <v>0</v>
      </c>
      <c r="Q85" s="63">
        <f>$F85*Outputs_Internal!N$56/12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$F86*Outputs_Internal!$D$56/12</f>
        <v>0</v>
      </c>
      <c r="N86" s="63">
        <f>$F86*Outputs_Internal!K$56/12</f>
        <v>0</v>
      </c>
      <c r="O86" s="63">
        <f>$F86*Outputs_Internal!L$56/12</f>
        <v>0</v>
      </c>
      <c r="P86" s="63">
        <f>$F86*Outputs_Internal!M$56/12</f>
        <v>0</v>
      </c>
      <c r="Q86" s="63">
        <f>$F86*Outputs_Internal!N$56/12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$F87*Outputs_Internal!$D$56/12</f>
        <v>0</v>
      </c>
      <c r="N87" s="63">
        <f>$F87*Outputs_Internal!K$56/12</f>
        <v>0</v>
      </c>
      <c r="O87" s="63">
        <f>$F87*Outputs_Internal!L$56/12</f>
        <v>0</v>
      </c>
      <c r="P87" s="63">
        <f>$F87*Outputs_Internal!M$56/12</f>
        <v>0</v>
      </c>
      <c r="Q87" s="63">
        <f>$F87*Outputs_Internal!N$56/12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$F88*Outputs_Internal!$D$56/12</f>
        <v>0</v>
      </c>
      <c r="N88" s="63">
        <f>$F88*Outputs_Internal!K$56/12</f>
        <v>0</v>
      </c>
      <c r="O88" s="63">
        <f>$F88*Outputs_Internal!L$56/12</f>
        <v>0</v>
      </c>
      <c r="P88" s="63">
        <f>$F88*Outputs_Internal!M$56/12</f>
        <v>0</v>
      </c>
      <c r="Q88" s="63">
        <f>$F88*Outputs_Internal!N$56/12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$F89*Outputs_Internal!$D$56/12</f>
        <v>0</v>
      </c>
      <c r="N89" s="63">
        <f>$F89*Outputs_Internal!K$56/12</f>
        <v>0</v>
      </c>
      <c r="O89" s="63">
        <f>$F89*Outputs_Internal!L$56/12</f>
        <v>0</v>
      </c>
      <c r="P89" s="63">
        <f>$F89*Outputs_Internal!M$56/12</f>
        <v>0</v>
      </c>
      <c r="Q89" s="63">
        <f>$F89*Outputs_Internal!N$56/12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$F90*Outputs_Internal!$D$56/12</f>
        <v>0</v>
      </c>
      <c r="N90" s="63">
        <f>$F90*Outputs_Internal!K$56/12</f>
        <v>0</v>
      </c>
      <c r="O90" s="63">
        <f>$F90*Outputs_Internal!L$56/12</f>
        <v>0</v>
      </c>
      <c r="P90" s="63">
        <f>$F90*Outputs_Internal!M$56/12</f>
        <v>0</v>
      </c>
      <c r="Q90" s="63">
        <f>$F90*Outputs_Internal!N$56/12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$F91*Outputs_Internal!$D$56/12</f>
        <v>0</v>
      </c>
      <c r="N91" s="63">
        <f>$F91*Outputs_Internal!K$56/12</f>
        <v>0</v>
      </c>
      <c r="O91" s="63">
        <f>$F91*Outputs_Internal!L$56/12</f>
        <v>0</v>
      </c>
      <c r="P91" s="63">
        <f>$F91*Outputs_Internal!M$56/12</f>
        <v>0</v>
      </c>
      <c r="Q91" s="63">
        <f>$F91*Outputs_Internal!N$56/12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$F92*Outputs_Internal!$D$56/12</f>
        <v>0</v>
      </c>
      <c r="N92" s="63">
        <f>$F92*Outputs_Internal!K$56/12</f>
        <v>0</v>
      </c>
      <c r="O92" s="63">
        <f>$F92*Outputs_Internal!L$56/12</f>
        <v>0</v>
      </c>
      <c r="P92" s="63">
        <f>$F92*Outputs_Internal!M$56/12</f>
        <v>0</v>
      </c>
      <c r="Q92" s="63">
        <f>$F92*Outputs_Internal!N$56/12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$F93*Outputs_Internal!$D$56/12</f>
        <v>0</v>
      </c>
      <c r="N93" s="63">
        <f>$F93*Outputs_Internal!K$56/12</f>
        <v>0</v>
      </c>
      <c r="O93" s="63">
        <f>$F93*Outputs_Internal!L$56/12</f>
        <v>0</v>
      </c>
      <c r="P93" s="63">
        <f>$F93*Outputs_Internal!M$56/12</f>
        <v>0</v>
      </c>
      <c r="Q93" s="63">
        <f>$F93*Outputs_Internal!N$56/12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$F94*Outputs_Internal!$D$56/12</f>
        <v>0</v>
      </c>
      <c r="N94" s="63">
        <f>$F94*Outputs_Internal!K$56/12</f>
        <v>0</v>
      </c>
      <c r="O94" s="63">
        <f>$F94*Outputs_Internal!L$56/12</f>
        <v>0</v>
      </c>
      <c r="P94" s="63">
        <f>$F94*Outputs_Internal!M$56/12</f>
        <v>0</v>
      </c>
      <c r="Q94" s="63">
        <f>$F94*Outputs_Internal!N$56/12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6"/>
  <sheetViews>
    <sheetView workbookViewId="0">
      <pane xSplit="3" ySplit="2" topLeftCell="D69" activePane="bottomRight" state="frozen"/>
      <selection pane="topRight" activeCell="D1" sqref="D1"/>
      <selection pane="bottomLeft" activeCell="A3" sqref="A3"/>
      <selection pane="bottomRight" activeCell="M91" sqref="M91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18</v>
      </c>
      <c r="E2" t="s">
        <v>19</v>
      </c>
      <c r="F2" t="s">
        <v>20</v>
      </c>
      <c r="G2" t="s">
        <v>21</v>
      </c>
      <c r="H2" t="s">
        <v>22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10000</v>
      </c>
      <c r="E4" s="1">
        <f>IF(AND(Inputs!E5="Y",Inputs!E4="Y"), 0, IF(Inputs!E4="Y", SUM(Prices!$C$3, IF(Inputs!E$6 ="Y", Prices!$C$4, 0)), IF(Inputs!E4="N", Prices!$D$3, 0)))</f>
        <v>32750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  <c r="K5" s="22" t="s">
        <v>111</v>
      </c>
      <c r="L5" s="22" t="s">
        <v>110</v>
      </c>
      <c r="M5" s="22" t="s">
        <v>112</v>
      </c>
    </row>
    <row r="6" spans="2:15" x14ac:dyDescent="0.25">
      <c r="B6" s="6" t="s">
        <v>105</v>
      </c>
      <c r="D6" s="5">
        <f>IF(Inputs!D$4="N",MIN(MAX(Inputs!D$7-$K6,0),$L6-$K6),0)</f>
        <v>0</v>
      </c>
      <c r="E6" s="5">
        <f>IF(Inputs!E$4="N",MIN(MAX(Inputs!E$7-$K6,0),$L6-$K6),0)</f>
        <v>25000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106</v>
      </c>
      <c r="D7" s="5">
        <f>IF(Inputs!D$4="N",MIN(MAX(Inputs!D$7-$K7,0),$L7-$K7),0)</f>
        <v>0</v>
      </c>
      <c r="E7" s="5">
        <f>IF(Inputs!E$4="N",MIN(MAX(Inputs!E$7-$K7,0),$L7-$K7),0)</f>
        <v>50000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107</v>
      </c>
      <c r="D8" s="5">
        <f>IF(Inputs!D$4="N",MIN(MAX(Inputs!D$7-$K8,0),$L8-$K8),0)</f>
        <v>0</v>
      </c>
      <c r="E8" s="5">
        <f>IF(Inputs!E$4="N",MIN(MAX(Inputs!E$7-$K8,0),$L8-$K8),0)</f>
        <v>150000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109</v>
      </c>
      <c r="D9" s="5">
        <f>IF(Inputs!D$4="N",MIN(MAX(Inputs!D$7-$K9,0),$L9-$K9),0)</f>
        <v>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113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114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65</v>
      </c>
    </row>
    <row r="14" spans="2:15" x14ac:dyDescent="0.25">
      <c r="C14" s="15" t="s">
        <v>2</v>
      </c>
      <c r="D14" s="16">
        <f>IF(Inputs!D4="Y", Prices!$C$6, IF(Inputs!D4="N", Prices!$D$6, 0))</f>
        <v>15000</v>
      </c>
      <c r="E14" s="16">
        <f>IF(Inputs!E4="Y", Prices!$C$6, IF(Inputs!E4="N", Prices!$D$6, 0))</f>
        <v>30000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25">
      <c r="C15" s="17" t="s">
        <v>27</v>
      </c>
      <c r="D15" s="18">
        <f xml:space="preserve"> IF(OR(Inputs!D9="Y",Inputs!D$19="Y"), Prices!$C10, 0)</f>
        <v>1000</v>
      </c>
      <c r="E15" s="18">
        <f xml:space="preserve"> IF(OR(Inputs!E9="Y",Inputs!E$19="Y"), Prices!$C10, 0)</f>
        <v>0</v>
      </c>
      <c r="F15" s="18">
        <f xml:space="preserve"> IF(OR(Inputs!F9="Y",Inputs!F$19="Y"), Prices!$C10, 0)</f>
        <v>0</v>
      </c>
      <c r="G15" s="18">
        <f xml:space="preserve"> IF(OR(Inputs!G9="Y",Inputs!G$19="Y"), Prices!$C10, 0)</f>
        <v>0</v>
      </c>
      <c r="H15" s="18">
        <f xml:space="preserve"> IF(OR(Inputs!H9="Y",Inputs!H$19="Y"), Prices!$C10, 0)</f>
        <v>0</v>
      </c>
    </row>
    <row r="16" spans="2:15" x14ac:dyDescent="0.25">
      <c r="C16" s="17" t="s">
        <v>8</v>
      </c>
      <c r="D16" s="18">
        <f xml:space="preserve"> IF(OR(Inputs!D10="Y",Inputs!D$19="Y"), Prices!$C11, 0)</f>
        <v>4000</v>
      </c>
      <c r="E16" s="18">
        <f xml:space="preserve"> IF(OR(Inputs!E10="Y",Inputs!E$19="Y"), Prices!$C11, 0)</f>
        <v>0</v>
      </c>
      <c r="F16" s="18">
        <f xml:space="preserve"> IF(OR(Inputs!F10="Y",Inputs!F$19="Y"), Prices!$C11, 0)</f>
        <v>0</v>
      </c>
      <c r="G16" s="18">
        <f xml:space="preserve"> IF(OR(Inputs!G10="Y",Inputs!G$19="Y"), Prices!$C11, 0)</f>
        <v>0</v>
      </c>
      <c r="H16" s="18">
        <f xml:space="preserve"> IF(OR(Inputs!H10="Y",Inputs!H$19="Y"), Prices!$C11, 0)</f>
        <v>0</v>
      </c>
    </row>
    <row r="17" spans="2:8" x14ac:dyDescent="0.25">
      <c r="C17" s="17" t="s">
        <v>28</v>
      </c>
      <c r="D17" s="18">
        <f xml:space="preserve"> IF(OR(Inputs!D11="Y",Inputs!D$19="Y"), Prices!$C12, 0)</f>
        <v>2000</v>
      </c>
      <c r="E17" s="18">
        <f xml:space="preserve"> IF(OR(Inputs!E11="Y",Inputs!E$19="Y"), Prices!$C12, 0)</f>
        <v>0</v>
      </c>
      <c r="F17" s="18">
        <f xml:space="preserve"> IF(OR(Inputs!F11="Y",Inputs!F$19="Y"), Prices!$C12, 0)</f>
        <v>0</v>
      </c>
      <c r="G17" s="18">
        <f xml:space="preserve"> IF(OR(Inputs!G11="Y",Inputs!G$19="Y"), Prices!$C12, 0)</f>
        <v>0</v>
      </c>
      <c r="H17" s="18">
        <f xml:space="preserve"> IF(OR(Inputs!H11="Y",Inputs!H$19="Y"), Prices!$C12, 0)</f>
        <v>0</v>
      </c>
    </row>
    <row r="18" spans="2:8" x14ac:dyDescent="0.25">
      <c r="C18" s="17" t="s">
        <v>9</v>
      </c>
      <c r="D18" s="18">
        <f xml:space="preserve"> IF(OR(Inputs!D12="Y",Inputs!D$19="Y"), Prices!$C13, 0)</f>
        <v>2000</v>
      </c>
      <c r="E18" s="18">
        <f xml:space="preserve"> IF(OR(Inputs!E12="Y",Inputs!E$19="Y"), Prices!$C13, 0)</f>
        <v>0</v>
      </c>
      <c r="F18" s="18">
        <f xml:space="preserve"> IF(OR(Inputs!F12="Y",Inputs!F$19="Y"), Prices!$C13, 0)</f>
        <v>0</v>
      </c>
      <c r="G18" s="18">
        <f xml:space="preserve"> IF(OR(Inputs!G12="Y",Inputs!G$19="Y"), Prices!$C13, 0)</f>
        <v>0</v>
      </c>
      <c r="H18" s="18">
        <f xml:space="preserve"> IF(OR(Inputs!H12="Y",Inputs!H$19="Y"), Prices!$C13, 0)</f>
        <v>0</v>
      </c>
    </row>
    <row r="19" spans="2:8" x14ac:dyDescent="0.25">
      <c r="C19" s="17" t="s">
        <v>10</v>
      </c>
      <c r="D19" s="18">
        <f xml:space="preserve"> IF(OR(Inputs!D13="Y",Inputs!D$19="Y"), Prices!$C14, 0)</f>
        <v>6000</v>
      </c>
      <c r="E19" s="18">
        <f xml:space="preserve"> IF(OR(Inputs!E13="Y",Inputs!E$19="Y"), Prices!$C14, 0)</f>
        <v>0</v>
      </c>
      <c r="F19" s="18">
        <f xml:space="preserve"> IF(OR(Inputs!F13="Y",Inputs!F$19="Y"), Prices!$C14, 0)</f>
        <v>0</v>
      </c>
      <c r="G19" s="18">
        <f xml:space="preserve"> IF(OR(Inputs!G13="Y",Inputs!G$19="Y"), Prices!$C14, 0)</f>
        <v>0</v>
      </c>
      <c r="H19" s="18">
        <f xml:space="preserve"> IF(OR(Inputs!H13="Y",Inputs!H$19="Y"), Prices!$C14, 0)</f>
        <v>0</v>
      </c>
    </row>
    <row r="20" spans="2:8" x14ac:dyDescent="0.25">
      <c r="C20" s="17" t="s">
        <v>95</v>
      </c>
      <c r="D20" s="18">
        <f xml:space="preserve"> IF(OR(Inputs!D14="Y",Inputs!D$19="Y"), Prices!$C15, 0)</f>
        <v>4000</v>
      </c>
      <c r="E20" s="18">
        <f xml:space="preserve"> IF(OR(Inputs!E14="Y",Inputs!E$19="Y"), Prices!$C15, 0)</f>
        <v>0</v>
      </c>
      <c r="F20" s="18">
        <f xml:space="preserve"> IF(OR(Inputs!F14="Y",Inputs!F$19="Y"), Prices!$C15, 0)</f>
        <v>0</v>
      </c>
      <c r="G20" s="18">
        <f xml:space="preserve"> IF(OR(Inputs!G14="Y",Inputs!G$19="Y"), Prices!$C15, 0)</f>
        <v>0</v>
      </c>
      <c r="H20" s="18">
        <f xml:space="preserve"> IF(OR(Inputs!H14="Y",Inputs!H$19="Y"), Prices!$C15, 0)</f>
        <v>0</v>
      </c>
    </row>
    <row r="21" spans="2:8" x14ac:dyDescent="0.25">
      <c r="C21" s="19" t="s">
        <v>11</v>
      </c>
      <c r="D21" s="20">
        <f xml:space="preserve"> IF(OR(Inputs!D15="Y",Inputs!D$20="Y"), Prices!$C16, 0)</f>
        <v>0</v>
      </c>
      <c r="E21" s="20">
        <f xml:space="preserve"> IF(OR(Inputs!E15="Y",Inputs!E$20="Y"), Prices!$C16, 0)</f>
        <v>0</v>
      </c>
      <c r="F21" s="20">
        <f xml:space="preserve"> IF(OR(Inputs!F15="Y",Inputs!F$20="Y"), Prices!$C16, 0)</f>
        <v>0</v>
      </c>
      <c r="G21" s="20">
        <f xml:space="preserve"> IF(OR(Inputs!G15="Y",Inputs!G$20="Y"), Prices!$C16, 0)</f>
        <v>0</v>
      </c>
      <c r="H21" s="20">
        <f xml:space="preserve"> IF(OR(Inputs!H15="Y",Inputs!H$20="Y"), Prices!$C16, 0)</f>
        <v>0</v>
      </c>
    </row>
    <row r="22" spans="2:8" x14ac:dyDescent="0.25">
      <c r="C22" s="19" t="s">
        <v>12</v>
      </c>
      <c r="D22" s="20">
        <f xml:space="preserve"> IF(OR(Inputs!D16="Y",Inputs!D$20="Y"), Prices!$C17, 0)</f>
        <v>0</v>
      </c>
      <c r="E22" s="20">
        <f xml:space="preserve"> IF(OR(Inputs!E16="Y",Inputs!E$20="Y"), Prices!$C17, 0)</f>
        <v>0</v>
      </c>
      <c r="F22" s="20">
        <f xml:space="preserve"> IF(OR(Inputs!F16="Y",Inputs!F$20="Y"), Prices!$C17, 0)</f>
        <v>0</v>
      </c>
      <c r="G22" s="20">
        <f xml:space="preserve"> IF(OR(Inputs!G16="Y",Inputs!G$20="Y"), Prices!$C17, 0)</f>
        <v>0</v>
      </c>
      <c r="H22" s="20">
        <f xml:space="preserve"> IF(OR(Inputs!H16="Y",Inputs!H$20="Y"), Prices!$C17, 0)</f>
        <v>0</v>
      </c>
    </row>
    <row r="23" spans="2:8" x14ac:dyDescent="0.25">
      <c r="C23" s="19" t="s">
        <v>29</v>
      </c>
      <c r="D23" s="20">
        <f xml:space="preserve"> IF(OR(Inputs!D17="Y",Inputs!D$20="Y"), Prices!$C18, 0)</f>
        <v>0</v>
      </c>
      <c r="E23" s="20">
        <f xml:space="preserve"> IF(OR(Inputs!E17="Y",Inputs!E$20="Y"), Prices!$C18, 0)</f>
        <v>0</v>
      </c>
      <c r="F23" s="20">
        <f xml:space="preserve"> IF(OR(Inputs!F17="Y",Inputs!F$20="Y"), Prices!$C18, 0)</f>
        <v>0</v>
      </c>
      <c r="G23" s="20">
        <f xml:space="preserve"> IF(OR(Inputs!G17="Y",Inputs!G$20="Y"), Prices!$C18, 0)</f>
        <v>0</v>
      </c>
      <c r="H23" s="20">
        <f xml:space="preserve"> IF(OR(Inputs!H17="Y",Inputs!H$20="Y"), Prices!$C18, 0)</f>
        <v>0</v>
      </c>
    </row>
    <row r="25" spans="2:8" x14ac:dyDescent="0.25">
      <c r="B25" s="6" t="s">
        <v>66</v>
      </c>
    </row>
    <row r="26" spans="2:8" x14ac:dyDescent="0.25">
      <c r="C26" s="15" t="s">
        <v>2</v>
      </c>
      <c r="D26" s="16">
        <f>IF(Inputs!D$4="Y", 0, IF(D$11 = "", "", PRODUCT(D$11, Prices!$E$6)))*D$10</f>
        <v>0</v>
      </c>
      <c r="E26" s="16">
        <f>IF(Inputs!E$4="Y", 0, IF(E$11 = "", "", PRODUCT(E$11, Prices!$E$6)))*E$10</f>
        <v>24570.000000000004</v>
      </c>
      <c r="F26" s="16">
        <f>IF(Inputs!F$4="Y", 0, IF(F$11 = "", "", PRODUCT(F$11, Prices!$E$6)))*F$10</f>
        <v>0</v>
      </c>
      <c r="G26" s="16">
        <f>IF(Inputs!G$4="Y", 0, IF(G$11 = "", "", PRODUCT(G$11, Prices!$E$6)))*G$10</f>
        <v>0</v>
      </c>
      <c r="H26" s="16">
        <f>IF(Inputs!H$4="Y", 0, IF(H$11 = "", "", PRODUCT(H$11, Prices!$E$6)))*H$10</f>
        <v>0</v>
      </c>
    </row>
    <row r="27" spans="2:8" x14ac:dyDescent="0.25">
      <c r="C27" s="17" t="s">
        <v>27</v>
      </c>
      <c r="D27" s="18">
        <f>IF(OR(Inputs!D$4="Y", D$11 = 0), 0, IF(OR(Inputs!D9="Y",Inputs!D$19="Y"),PRODUCT(D$11, Prices!$E10),0))*D$10</f>
        <v>0</v>
      </c>
      <c r="E27" s="18">
        <f>IF(OR(Inputs!E$4="Y", E$11 = 0), 0, IF(OR(Inputs!E9="Y",Inputs!E$19="Y"),PRODUCT(E$11, Prices!$E10),0))*E$10</f>
        <v>0</v>
      </c>
      <c r="F27" s="18">
        <f>IF(OR(Inputs!F$4="Y", F$11 = 0), 0, IF(OR(Inputs!F9="Y",Inputs!F$19="Y"),PRODUCT(F$11, Prices!$E10),0))*F$10</f>
        <v>0</v>
      </c>
      <c r="G27" s="18">
        <f>IF(OR(Inputs!G$4="Y", G$11 = 0), 0, IF(OR(Inputs!G9="Y",Inputs!G$19="Y"),PRODUCT(G$11, Prices!$E10),0))*G$10</f>
        <v>0</v>
      </c>
      <c r="H27" s="18">
        <f>IF(OR(Inputs!H$4="Y", H$11 = 0), 0, IF(OR(Inputs!H9="Y",Inputs!H$19="Y"),PRODUCT(H$11, Prices!$E10),0))*H$10</f>
        <v>0</v>
      </c>
    </row>
    <row r="28" spans="2:8" x14ac:dyDescent="0.25">
      <c r="C28" s="17" t="s">
        <v>8</v>
      </c>
      <c r="D28" s="18">
        <f>IF(OR(Inputs!D$4="Y", D$11 = 0), 0, IF(OR(Inputs!D10="Y",Inputs!D$19="Y"),PRODUCT(D$11, Prices!$E11),0))*D$10</f>
        <v>0</v>
      </c>
      <c r="E28" s="18">
        <f>IF(OR(Inputs!E$4="Y", E$11 = 0), 0, IF(OR(Inputs!E10="Y",Inputs!E$19="Y"),PRODUCT(E$11, Prices!$E11),0))*E$10</f>
        <v>0</v>
      </c>
      <c r="F28" s="18">
        <f>IF(OR(Inputs!F$4="Y", F$11 = 0), 0, IF(OR(Inputs!F10="Y",Inputs!F$19="Y"),PRODUCT(F$11, Prices!$E11),0))*F$10</f>
        <v>0</v>
      </c>
      <c r="G28" s="18">
        <f>IF(OR(Inputs!G$4="Y", G$11 = 0), 0, IF(OR(Inputs!G10="Y",Inputs!G$19="Y"),PRODUCT(G$11, Prices!$E11),0))*G$10</f>
        <v>0</v>
      </c>
      <c r="H28" s="18">
        <f>IF(OR(Inputs!H$4="Y", H$11 = 0), 0, IF(OR(Inputs!H10="Y",Inputs!H$19="Y"),PRODUCT(H$11, Prices!$E11),0))*H$10</f>
        <v>0</v>
      </c>
    </row>
    <row r="29" spans="2:8" x14ac:dyDescent="0.25">
      <c r="C29" s="17" t="s">
        <v>28</v>
      </c>
      <c r="D29" s="18">
        <f>IF(OR(Inputs!D$4="Y", D$11 = 0), 0, IF(OR(Inputs!D11="Y",Inputs!D$19="Y"),PRODUCT(D$11, Prices!$E12),0))*D$10</f>
        <v>0</v>
      </c>
      <c r="E29" s="18">
        <f>IF(OR(Inputs!E$4="Y", E$11 = 0), 0, IF(OR(Inputs!E11="Y",Inputs!E$19="Y"),PRODUCT(E$11, Prices!$E12),0))*E$10</f>
        <v>0</v>
      </c>
      <c r="F29" s="18">
        <f>IF(OR(Inputs!F$4="Y", F$11 = 0), 0, IF(OR(Inputs!F11="Y",Inputs!F$19="Y"),PRODUCT(F$11, Prices!$E12),0))*F$10</f>
        <v>0</v>
      </c>
      <c r="G29" s="18">
        <f>IF(OR(Inputs!G$4="Y", G$11 = 0), 0, IF(OR(Inputs!G11="Y",Inputs!G$19="Y"),PRODUCT(G$11, Prices!$E12),0))*G$10</f>
        <v>0</v>
      </c>
      <c r="H29" s="18">
        <f>IF(OR(Inputs!H$4="Y", H$11 = 0), 0, IF(OR(Inputs!H11="Y",Inputs!H$19="Y"),PRODUCT(H$11, Prices!$E12),0))*H$10</f>
        <v>0</v>
      </c>
    </row>
    <row r="30" spans="2:8" x14ac:dyDescent="0.25">
      <c r="C30" s="17" t="s">
        <v>9</v>
      </c>
      <c r="D30" s="18">
        <f>IF(OR(Inputs!D$4="Y", D$11 = 0), 0, IF(OR(Inputs!D12="Y",Inputs!D$19="Y"),PRODUCT(D$11, Prices!$E13),0))*D$10</f>
        <v>0</v>
      </c>
      <c r="E30" s="18">
        <f>IF(OR(Inputs!E$4="Y", E$11 = 0), 0, IF(OR(Inputs!E12="Y",Inputs!E$19="Y"),PRODUCT(E$11, Prices!$E13),0))*E$10</f>
        <v>0</v>
      </c>
      <c r="F30" s="18">
        <f>IF(OR(Inputs!F$4="Y", F$11 = 0), 0, IF(OR(Inputs!F12="Y",Inputs!F$19="Y"),PRODUCT(F$11, Prices!$E13),0))*F$10</f>
        <v>0</v>
      </c>
      <c r="G30" s="18">
        <f>IF(OR(Inputs!G$4="Y", G$11 = 0), 0, IF(OR(Inputs!G12="Y",Inputs!G$19="Y"),PRODUCT(G$11, Prices!$E13),0))*G$10</f>
        <v>0</v>
      </c>
      <c r="H30" s="18">
        <f>IF(OR(Inputs!H$4="Y", H$11 = 0), 0, IF(OR(Inputs!H12="Y",Inputs!H$19="Y"),PRODUCT(H$11, Prices!$E13),0))*H$10</f>
        <v>0</v>
      </c>
    </row>
    <row r="31" spans="2:8" x14ac:dyDescent="0.25">
      <c r="C31" s="17" t="s">
        <v>10</v>
      </c>
      <c r="D31" s="18">
        <f>IF(OR(Inputs!D$4="Y", D$11 = 0), 0, IF(OR(Inputs!D13="Y",Inputs!D$19="Y"),PRODUCT(D$11, Prices!$E14),0))*D$10</f>
        <v>0</v>
      </c>
      <c r="E31" s="18">
        <f>IF(OR(Inputs!E$4="Y", E$11 = 0), 0, IF(OR(Inputs!E13="Y",Inputs!E$19="Y"),PRODUCT(E$11, Prices!$E14),0))*E$10</f>
        <v>0</v>
      </c>
      <c r="F31" s="18">
        <f>IF(OR(Inputs!F$4="Y", F$11 = 0), 0, IF(OR(Inputs!F13="Y",Inputs!F$19="Y"),PRODUCT(F$11, Prices!$E14),0))*F$10</f>
        <v>0</v>
      </c>
      <c r="G31" s="18">
        <f>IF(OR(Inputs!G$4="Y", G$11 = 0), 0, IF(OR(Inputs!G13="Y",Inputs!G$19="Y"),PRODUCT(G$11, Prices!$E14),0))*G$10</f>
        <v>0</v>
      </c>
      <c r="H31" s="18">
        <f>IF(OR(Inputs!H$4="Y", H$11 = 0), 0, IF(OR(Inputs!H13="Y",Inputs!H$19="Y"),PRODUCT(H$11, Prices!$E14),0))*H$10</f>
        <v>0</v>
      </c>
    </row>
    <row r="32" spans="2:8" x14ac:dyDescent="0.25">
      <c r="C32" s="17" t="s">
        <v>95</v>
      </c>
      <c r="D32" s="18">
        <f>IF(OR(Inputs!D$4="Y", D$11 = 0), 0, IF(OR(Inputs!D14="Y",Inputs!D$19="Y"),PRODUCT(D$11, Prices!$E15),0))*D$10</f>
        <v>0</v>
      </c>
      <c r="E32" s="18">
        <f>IF(OR(Inputs!E$4="Y", E$11 = 0), 0, IF(OR(Inputs!E14="Y",Inputs!E$19="Y"),PRODUCT(E$11, Prices!$E15),0))*E$10</f>
        <v>0</v>
      </c>
      <c r="F32" s="18">
        <f>IF(OR(Inputs!F$4="Y", F$11 = 0), 0, IF(OR(Inputs!F14="Y",Inputs!F$19="Y"),PRODUCT(F$11, Prices!$E15),0))*F$10</f>
        <v>0</v>
      </c>
      <c r="G32" s="18">
        <f>IF(OR(Inputs!G$4="Y", G$11 = 0), 0, IF(OR(Inputs!G14="Y",Inputs!G$19="Y"),PRODUCT(G$11, Prices!$E15),0))*G$10</f>
        <v>0</v>
      </c>
      <c r="H32" s="18">
        <f>IF(OR(Inputs!H$4="Y", H$11 = 0), 0, IF(OR(Inputs!H14="Y",Inputs!H$19="Y"),PRODUCT(H$11, Prices!$E15),0))*H$10</f>
        <v>0</v>
      </c>
    </row>
    <row r="33" spans="2:8" x14ac:dyDescent="0.25">
      <c r="C33" s="19" t="s">
        <v>11</v>
      </c>
      <c r="D33" s="20">
        <f>IF(OR(Inputs!D$4="Y", D$11 = 0), 0, IF(OR(Inputs!D15="Y",Inputs!D$20="Y"),PRODUCT(D$11, Prices!$E16),0))*D$10</f>
        <v>0</v>
      </c>
      <c r="E33" s="20">
        <f>IF(OR(Inputs!E$4="Y", E$11 = 0), 0, IF(OR(Inputs!E15="Y",Inputs!E$20="Y"),PRODUCT(E$11, Prices!$E16),0))*E$10</f>
        <v>0</v>
      </c>
      <c r="F33" s="20">
        <f>IF(OR(Inputs!F$4="Y", F$11 = 0), 0, IF(OR(Inputs!F15="Y",Inputs!F$20="Y"),PRODUCT(F$11, Prices!$E16),0))*F$10</f>
        <v>0</v>
      </c>
      <c r="G33" s="20">
        <f>IF(OR(Inputs!G$4="Y", G$11 = 0), 0, IF(OR(Inputs!G15="Y",Inputs!G$20="Y"),PRODUCT(G$11, Prices!$E16),0))*G$10</f>
        <v>0</v>
      </c>
      <c r="H33" s="20">
        <f>IF(OR(Inputs!H$4="Y", H$11 = 0), 0, IF(OR(Inputs!H15="Y",Inputs!H$20="Y"),PRODUCT(H$11, Prices!$E16),0))*H$10</f>
        <v>0</v>
      </c>
    </row>
    <row r="34" spans="2:8" x14ac:dyDescent="0.25">
      <c r="C34" s="19" t="s">
        <v>12</v>
      </c>
      <c r="D34" s="20">
        <f>IF(OR(Inputs!D$4="Y", D$11 = 0), 0, IF(OR(Inputs!D16="Y",Inputs!D$20="Y"),PRODUCT(D$11, Prices!$E17),0))*D$10</f>
        <v>0</v>
      </c>
      <c r="E34" s="20">
        <f>IF(OR(Inputs!E$4="Y", E$11 = 0), 0, IF(OR(Inputs!E16="Y",Inputs!E$20="Y"),PRODUCT(E$11, Prices!$E17),0))*E$10</f>
        <v>0</v>
      </c>
      <c r="F34" s="20">
        <f>IF(OR(Inputs!F$4="Y", F$11 = 0), 0, IF(OR(Inputs!F16="Y",Inputs!F$20="Y"),PRODUCT(F$11, Prices!$E17),0))*F$10</f>
        <v>0</v>
      </c>
      <c r="G34" s="20">
        <f>IF(OR(Inputs!G$4="Y", G$11 = 0), 0, IF(OR(Inputs!G16="Y",Inputs!G$20="Y"),PRODUCT(G$11, Prices!$E17),0))*G$10</f>
        <v>0</v>
      </c>
      <c r="H34" s="20">
        <f>IF(OR(Inputs!H$4="Y", H$11 = 0), 0, IF(OR(Inputs!H16="Y",Inputs!H$20="Y"),PRODUCT(H$11, Prices!$E17),0))*H$10</f>
        <v>0</v>
      </c>
    </row>
    <row r="35" spans="2:8" x14ac:dyDescent="0.25">
      <c r="C35" s="28" t="s">
        <v>29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67</v>
      </c>
    </row>
    <row r="38" spans="2:8" x14ac:dyDescent="0.25">
      <c r="C38" s="15" t="s">
        <v>2</v>
      </c>
      <c r="D38" s="16">
        <f>IF(Inputs!D4="Y", Prices!$C$6, IF(Inputs!D4="N", Prices!$D$6, 0))</f>
        <v>15000</v>
      </c>
      <c r="E38" s="16">
        <f>IF(Inputs!E4="Y", Prices!$C$6, IF(Inputs!E4="N", Prices!$D$6, 0))</f>
        <v>30000</v>
      </c>
      <c r="F38" s="16">
        <f>IF(Inputs!F4="Y", Prices!$C$6, IF(Inputs!F4="N", Prices!$D$6, 0))</f>
        <v>0</v>
      </c>
      <c r="G38" s="16">
        <f>IF(Inputs!G4="Y", Prices!$C$6, IF(Inputs!G4="N", Prices!$D$6, 0))</f>
        <v>0</v>
      </c>
      <c r="H38" s="16">
        <f>IF(Inputs!H4="Y", Prices!$C$6, IF(Inputs!H4="N", Prices!$D$6, 0))</f>
        <v>0</v>
      </c>
    </row>
    <row r="39" spans="2:8" x14ac:dyDescent="0.25">
      <c r="C39" s="17" t="s">
        <v>27</v>
      </c>
      <c r="D39" s="18">
        <f>IF(AND(Inputs!D9="Y",Inputs!D$19="N"),Prices!$C10,0)</f>
        <v>0</v>
      </c>
      <c r="E39" s="18">
        <f>IF(AND(Inputs!E9="Y",Inputs!E$19="N"),Prices!$C10,0)</f>
        <v>0</v>
      </c>
      <c r="F39" s="18">
        <f>IF(AND(Inputs!F9="Y",Inputs!F$19="N"),Prices!$C10,0)</f>
        <v>0</v>
      </c>
      <c r="G39" s="18">
        <f>IF(AND(Inputs!G9="Y",Inputs!G$19="N"),Prices!$C10,0)</f>
        <v>0</v>
      </c>
      <c r="H39" s="18">
        <f>IF(AND(Inputs!H9="Y",Inputs!H$19="N"),Prices!$C10,0)</f>
        <v>0</v>
      </c>
    </row>
    <row r="40" spans="2:8" x14ac:dyDescent="0.25">
      <c r="C40" s="17" t="s">
        <v>8</v>
      </c>
      <c r="D40" s="18">
        <f>IF(AND(Inputs!D10="Y",Inputs!D$19="N"),Prices!$C11,0)</f>
        <v>0</v>
      </c>
      <c r="E40" s="18">
        <f>IF(AND(Inputs!E10="Y",Inputs!E$19="N"),Prices!$C11,0)</f>
        <v>0</v>
      </c>
      <c r="F40" s="18">
        <f>IF(AND(Inputs!F10="Y",Inputs!F$19="N"),Prices!$C11,0)</f>
        <v>0</v>
      </c>
      <c r="G40" s="18">
        <f>IF(AND(Inputs!G10="Y",Inputs!G$19="N"),Prices!$C11,0)</f>
        <v>0</v>
      </c>
      <c r="H40" s="18">
        <f>IF(AND(Inputs!H10="Y",Inputs!H$19="N"),Prices!$C11,0)</f>
        <v>0</v>
      </c>
    </row>
    <row r="41" spans="2:8" x14ac:dyDescent="0.25">
      <c r="C41" s="17" t="s">
        <v>28</v>
      </c>
      <c r="D41" s="18">
        <f>IF(AND(Inputs!D11="Y",Inputs!D$19="N"),Prices!$C12,0)</f>
        <v>0</v>
      </c>
      <c r="E41" s="18">
        <f>IF(AND(Inputs!E11="Y",Inputs!E$19="N"),Prices!$C12,0)</f>
        <v>0</v>
      </c>
      <c r="F41" s="18">
        <f>IF(AND(Inputs!F11="Y",Inputs!F$19="N"),Prices!$C12,0)</f>
        <v>0</v>
      </c>
      <c r="G41" s="18">
        <f>IF(AND(Inputs!G11="Y",Inputs!G$19="N"),Prices!$C12,0)</f>
        <v>0</v>
      </c>
      <c r="H41" s="18">
        <f>IF(AND(Inputs!H11="Y",Inputs!H$19="N"),Prices!$C12,0)</f>
        <v>0</v>
      </c>
    </row>
    <row r="42" spans="2:8" x14ac:dyDescent="0.25">
      <c r="C42" s="17" t="s">
        <v>9</v>
      </c>
      <c r="D42" s="18">
        <f>IF(AND(Inputs!D12="Y",Inputs!D$19="N"),Prices!$C13,0)</f>
        <v>0</v>
      </c>
      <c r="E42" s="18">
        <f>IF(AND(Inputs!E12="Y",Inputs!E$19="N"),Prices!$C13,0)</f>
        <v>0</v>
      </c>
      <c r="F42" s="18">
        <f>IF(AND(Inputs!F12="Y",Inputs!F$19="N"),Prices!$C13,0)</f>
        <v>0</v>
      </c>
      <c r="G42" s="18">
        <f>IF(AND(Inputs!G12="Y",Inputs!G$19="N"),Prices!$C13,0)</f>
        <v>0</v>
      </c>
      <c r="H42" s="18">
        <f>IF(AND(Inputs!H12="Y",Inputs!H$19="N"),Prices!$C13,0)</f>
        <v>0</v>
      </c>
    </row>
    <row r="43" spans="2:8" x14ac:dyDescent="0.25">
      <c r="C43" s="17" t="s">
        <v>10</v>
      </c>
      <c r="D43" s="18">
        <f>IF(AND(Inputs!D13="Y",Inputs!D$19="N"),Prices!$C14,0)</f>
        <v>0</v>
      </c>
      <c r="E43" s="18">
        <f>IF(AND(Inputs!E13="Y",Inputs!E$19="N"),Prices!$C14,0)</f>
        <v>0</v>
      </c>
      <c r="F43" s="18">
        <f>IF(AND(Inputs!F13="Y",Inputs!F$19="N"),Prices!$C14,0)</f>
        <v>0</v>
      </c>
      <c r="G43" s="18">
        <f>IF(AND(Inputs!G13="Y",Inputs!G$19="N"),Prices!$C14,0)</f>
        <v>0</v>
      </c>
      <c r="H43" s="18">
        <f>IF(AND(Inputs!H13="Y",Inputs!H$19="N"),Prices!$C14,0)</f>
        <v>0</v>
      </c>
    </row>
    <row r="44" spans="2:8" x14ac:dyDescent="0.25">
      <c r="C44" s="17" t="s">
        <v>95</v>
      </c>
      <c r="D44" s="18">
        <f>IF(AND(Inputs!D14="Y",Inputs!D$19="N"),Prices!$C15,0)</f>
        <v>0</v>
      </c>
      <c r="E44" s="18">
        <f>IF(AND(Inputs!E14="Y",Inputs!E$19="N"),Prices!$C15,0)</f>
        <v>0</v>
      </c>
      <c r="F44" s="18">
        <f>IF(AND(Inputs!F14="Y",Inputs!F$19="N"),Prices!$C15,0)</f>
        <v>0</v>
      </c>
      <c r="G44" s="18">
        <f>IF(AND(Inputs!G14="Y",Inputs!G$19="N"),Prices!$C15,0)</f>
        <v>0</v>
      </c>
      <c r="H44" s="18">
        <f>IF(AND(Inputs!H14="Y",Inputs!H$19="N"),Prices!$C15,0)</f>
        <v>0</v>
      </c>
    </row>
    <row r="45" spans="2:8" x14ac:dyDescent="0.25">
      <c r="C45" s="19" t="s">
        <v>11</v>
      </c>
      <c r="D45" s="20">
        <f>IF(AND(Inputs!D15="Y",Inputs!D$20="N"),Prices!$C16,0)</f>
        <v>0</v>
      </c>
      <c r="E45" s="20">
        <f>IF(AND(Inputs!E15="Y",Inputs!E$20="N"),Prices!$C16,0)</f>
        <v>0</v>
      </c>
      <c r="F45" s="20">
        <f>IF(AND(Inputs!F15="Y",Inputs!F$20="N"),Prices!$C16,0)</f>
        <v>0</v>
      </c>
      <c r="G45" s="20">
        <f>IF(AND(Inputs!G15="Y",Inputs!G$20="N"),Prices!$C16,0)</f>
        <v>0</v>
      </c>
      <c r="H45" s="20">
        <f>IF(AND(Inputs!H15="Y",Inputs!H$20="N"),Prices!$C16,0)</f>
        <v>0</v>
      </c>
    </row>
    <row r="46" spans="2:8" x14ac:dyDescent="0.25">
      <c r="C46" s="19" t="s">
        <v>12</v>
      </c>
      <c r="D46" s="20">
        <f>IF(AND(Inputs!D16="Y",Inputs!D$20="N"),Prices!$C17,0)</f>
        <v>0</v>
      </c>
      <c r="E46" s="20">
        <f>IF(AND(Inputs!E16="Y",Inputs!E$20="N"),Prices!$C17,0)</f>
        <v>0</v>
      </c>
      <c r="F46" s="20">
        <f>IF(AND(Inputs!F16="Y",Inputs!F$20="N"),Prices!$C17,0)</f>
        <v>0</v>
      </c>
      <c r="G46" s="20">
        <f>IF(AND(Inputs!G16="Y",Inputs!G$20="N"),Prices!$C17,0)</f>
        <v>0</v>
      </c>
      <c r="H46" s="20">
        <f>IF(AND(Inputs!H16="Y",Inputs!H$20="N"),Prices!$C17,0)</f>
        <v>0</v>
      </c>
    </row>
    <row r="47" spans="2:8" x14ac:dyDescent="0.25">
      <c r="C47" s="19" t="s">
        <v>29</v>
      </c>
      <c r="D47" s="20">
        <f>IF(AND(Inputs!D17="Y",Inputs!D$20="N"),Prices!$C18,0)</f>
        <v>0</v>
      </c>
      <c r="E47" s="20">
        <f>IF(AND(Inputs!E17="Y",Inputs!E$20="N"),Prices!$C18,0)</f>
        <v>0</v>
      </c>
      <c r="F47" s="20">
        <f>IF(AND(Inputs!F17="Y",Inputs!F$20="N"),Prices!$C18,0)</f>
        <v>0</v>
      </c>
      <c r="G47" s="20">
        <f>IF(AND(Inputs!G17="Y",Inputs!G$20="N"),Prices!$C18,0)</f>
        <v>0</v>
      </c>
      <c r="H47" s="20">
        <f>IF(AND(Inputs!H17="Y",Inputs!H$20="N"),Prices!$C18,0)</f>
        <v>0</v>
      </c>
    </row>
    <row r="49" spans="2:8" x14ac:dyDescent="0.25">
      <c r="B49" s="6" t="s">
        <v>68</v>
      </c>
    </row>
    <row r="50" spans="2:8" x14ac:dyDescent="0.25">
      <c r="C50" s="15" t="s">
        <v>2</v>
      </c>
      <c r="D50" s="16">
        <f>IF(Inputs!D$4="Y", 0, IF(D$11 = "", "", PRODUCT(D$11, Prices!$E$6)*D$10))</f>
        <v>0</v>
      </c>
      <c r="E50" s="16">
        <f>IF(Inputs!E$4="Y", 0, IF(E$11 = "", "", PRODUCT(E$11, Prices!$E$6)*E$10))</f>
        <v>24570.000000000004</v>
      </c>
      <c r="F50" s="16">
        <f>IF(Inputs!F$4="Y", 0, IF(F$11 = "", "", PRODUCT(F$11, Prices!$E$6)*F$10))</f>
        <v>0</v>
      </c>
      <c r="G50" s="16">
        <f>IF(Inputs!G$4="Y", 0, IF(G$11 = "", "", PRODUCT(G$11, Prices!$E$6)*G$10))</f>
        <v>0</v>
      </c>
      <c r="H50" s="16">
        <f>IF(Inputs!H$4="Y", 0, IF(H$11 = "", "", PRODUCT(H$11, Prices!$E$6)*H$10))</f>
        <v>0</v>
      </c>
    </row>
    <row r="51" spans="2:8" x14ac:dyDescent="0.25">
      <c r="C51" s="17" t="s">
        <v>27</v>
      </c>
      <c r="D51" s="18">
        <f>IF(OR(Inputs!D$4="Y", D$11 = 0), 0, IF(AND(Inputs!D9="Y",Inputs!D$19="N"),PRODUCT(D$11, Prices!$E10)*D$10,0))</f>
        <v>0</v>
      </c>
      <c r="E51" s="18">
        <f>IF(OR(Inputs!E$4="Y", E$11 = 0), 0, IF(AND(Inputs!E9="Y",Inputs!E$19="N"),PRODUCT(E$11, Prices!$E10)*E$10,0))</f>
        <v>0</v>
      </c>
      <c r="F51" s="18">
        <f>IF(OR(Inputs!F$4="Y", F$11 = 0), 0, IF(AND(Inputs!F9="Y",Inputs!F$19="N"),PRODUCT(F$11, Prices!$E10)*F$10,0))</f>
        <v>0</v>
      </c>
      <c r="G51" s="18">
        <f>IF(OR(Inputs!G$4="Y", G$11 = 0), 0, IF(AND(Inputs!G9="Y",Inputs!G$19="N"),PRODUCT(G$11, Prices!$E10)*G$10,0))</f>
        <v>0</v>
      </c>
      <c r="H51" s="18">
        <f>IF(OR(Inputs!H$4="Y", H$11 = 0), 0, IF(AND(Inputs!H9="Y",Inputs!H$19="N"),PRODUCT(H$11, Prices!$E10)*H$10,0))</f>
        <v>0</v>
      </c>
    </row>
    <row r="52" spans="2:8" x14ac:dyDescent="0.25">
      <c r="C52" s="17" t="s">
        <v>8</v>
      </c>
      <c r="D52" s="18">
        <f>IF(OR(Inputs!D$4="Y", D$11 = 0), 0, IF(AND(Inputs!D10="Y",Inputs!D$19="N"),PRODUCT(D$11, Prices!$E11)*D$10,0))</f>
        <v>0</v>
      </c>
      <c r="E52" s="18">
        <f>IF(OR(Inputs!E$4="Y", E$11 = 0), 0, IF(AND(Inputs!E10="Y",Inputs!E$19="N"),PRODUCT(E$11, Prices!$E11)*E$10,0))</f>
        <v>0</v>
      </c>
      <c r="F52" s="18">
        <f>IF(OR(Inputs!F$4="Y", F$11 = 0), 0, IF(AND(Inputs!F10="Y",Inputs!F$19="N"),PRODUCT(F$11, Prices!$E11)*F$10,0))</f>
        <v>0</v>
      </c>
      <c r="G52" s="18">
        <f>IF(OR(Inputs!G$4="Y", G$11 = 0), 0, IF(AND(Inputs!G10="Y",Inputs!G$19="N"),PRODUCT(G$11, Prices!$E11)*G$10,0))</f>
        <v>0</v>
      </c>
      <c r="H52" s="18">
        <f>IF(OR(Inputs!H$4="Y", H$11 = 0), 0, IF(AND(Inputs!H10="Y",Inputs!H$19="N"),PRODUCT(H$11, Prices!$E11)*H$10,0))</f>
        <v>0</v>
      </c>
    </row>
    <row r="53" spans="2:8" x14ac:dyDescent="0.25">
      <c r="C53" s="17" t="s">
        <v>28</v>
      </c>
      <c r="D53" s="18">
        <f>IF(OR(Inputs!D$4="Y", D$11 = 0), 0, IF(AND(Inputs!D11="Y",Inputs!D$19="N"),PRODUCT(D$11, Prices!$E12)*D$10,0))</f>
        <v>0</v>
      </c>
      <c r="E53" s="18">
        <f>IF(OR(Inputs!E$4="Y", E$11 = 0), 0, IF(AND(Inputs!E11="Y",Inputs!E$19="N"),PRODUCT(E$11, Prices!$E12)*E$10,0))</f>
        <v>0</v>
      </c>
      <c r="F53" s="18">
        <f>IF(OR(Inputs!F$4="Y", F$11 = 0), 0, IF(AND(Inputs!F11="Y",Inputs!F$19="N"),PRODUCT(F$11, Prices!$E12)*F$10,0))</f>
        <v>0</v>
      </c>
      <c r="G53" s="18">
        <f>IF(OR(Inputs!G$4="Y", G$11 = 0), 0, IF(AND(Inputs!G11="Y",Inputs!G$19="N"),PRODUCT(G$11, Prices!$E12)*G$10,0))</f>
        <v>0</v>
      </c>
      <c r="H53" s="18">
        <f>IF(OR(Inputs!H$4="Y", H$11 = 0), 0, IF(AND(Inputs!H11="Y",Inputs!H$19="N"),PRODUCT(H$11, Prices!$E12)*H$10,0))</f>
        <v>0</v>
      </c>
    </row>
    <row r="54" spans="2:8" x14ac:dyDescent="0.25">
      <c r="C54" s="17" t="s">
        <v>9</v>
      </c>
      <c r="D54" s="18">
        <f>IF(OR(Inputs!D$4="Y", D$11 = 0), 0, IF(AND(Inputs!D12="Y",Inputs!D$19="N"),PRODUCT(D$11, Prices!$E13)*D$10,0))</f>
        <v>0</v>
      </c>
      <c r="E54" s="18">
        <f>IF(OR(Inputs!E$4="Y", E$11 = 0), 0, IF(AND(Inputs!E12="Y",Inputs!E$19="N"),PRODUCT(E$11, Prices!$E13)*E$10,0))</f>
        <v>0</v>
      </c>
      <c r="F54" s="18">
        <f>IF(OR(Inputs!F$4="Y", F$11 = 0), 0, IF(AND(Inputs!F12="Y",Inputs!F$19="N"),PRODUCT(F$11, Prices!$E13)*F$10,0))</f>
        <v>0</v>
      </c>
      <c r="G54" s="18">
        <f>IF(OR(Inputs!G$4="Y", G$11 = 0), 0, IF(AND(Inputs!G12="Y",Inputs!G$19="N"),PRODUCT(G$11, Prices!$E13)*G$10,0))</f>
        <v>0</v>
      </c>
      <c r="H54" s="18">
        <f>IF(OR(Inputs!H$4="Y", H$11 = 0), 0, IF(AND(Inputs!H12="Y",Inputs!H$19="N"),PRODUCT(H$11, Prices!$E13)*H$10,0))</f>
        <v>0</v>
      </c>
    </row>
    <row r="55" spans="2:8" x14ac:dyDescent="0.25">
      <c r="C55" s="17" t="s">
        <v>10</v>
      </c>
      <c r="D55" s="18">
        <f>IF(OR(Inputs!D$4="Y", D$11 = 0), 0, IF(AND(Inputs!D13="Y",Inputs!D$19="N"),PRODUCT(D$11, Prices!$E14)*D$10,0))</f>
        <v>0</v>
      </c>
      <c r="E55" s="18">
        <f>IF(OR(Inputs!E$4="Y", E$11 = 0), 0, IF(AND(Inputs!E13="Y",Inputs!E$19="N"),PRODUCT(E$11, Prices!$E14)*E$10,0))</f>
        <v>0</v>
      </c>
      <c r="F55" s="18">
        <f>IF(OR(Inputs!F$4="Y", F$11 = 0), 0, IF(AND(Inputs!F13="Y",Inputs!F$19="N"),PRODUCT(F$11, Prices!$E14)*F$10,0))</f>
        <v>0</v>
      </c>
      <c r="G55" s="18">
        <f>IF(OR(Inputs!G$4="Y", G$11 = 0), 0, IF(AND(Inputs!G13="Y",Inputs!G$19="N"),PRODUCT(G$11, Prices!$E14)*G$10,0))</f>
        <v>0</v>
      </c>
      <c r="H55" s="18">
        <f>IF(OR(Inputs!H$4="Y", H$11 = 0), 0, IF(AND(Inputs!H13="Y",Inputs!H$19="N"),PRODUCT(H$11, Prices!$E14)*H$10,0))</f>
        <v>0</v>
      </c>
    </row>
    <row r="56" spans="2:8" x14ac:dyDescent="0.25">
      <c r="C56" s="17" t="s">
        <v>95</v>
      </c>
      <c r="D56" s="18">
        <f>IF(OR(Inputs!D$4="Y", D$11 = 0), 0, IF(AND(Inputs!D14="Y",Inputs!D$19="N"),PRODUCT(D$11, Prices!$E15)*D$10,0))</f>
        <v>0</v>
      </c>
      <c r="E56" s="18">
        <f>IF(OR(Inputs!E$4="Y", E$11 = 0), 0, IF(AND(Inputs!E14="Y",Inputs!E$19="N"),PRODUCT(E$11, Prices!$E15)*E$10,0))</f>
        <v>0</v>
      </c>
      <c r="F56" s="18">
        <f>IF(OR(Inputs!F$4="Y", F$11 = 0), 0, IF(AND(Inputs!F14="Y",Inputs!F$19="N"),PRODUCT(F$11, Prices!$E15)*F$10,0))</f>
        <v>0</v>
      </c>
      <c r="G56" s="18">
        <f>IF(OR(Inputs!G$4="Y", G$11 = 0), 0, IF(AND(Inputs!G14="Y",Inputs!G$19="N"),PRODUCT(G$11, Prices!$E15)*G$10,0))</f>
        <v>0</v>
      </c>
      <c r="H56" s="18">
        <f>IF(OR(Inputs!H$4="Y", H$11 = 0), 0, IF(AND(Inputs!H14="Y",Inputs!H$19="N"),PRODUCT(H$11, Prices!$E15)*H$10,0))</f>
        <v>0</v>
      </c>
    </row>
    <row r="57" spans="2:8" x14ac:dyDescent="0.25">
      <c r="C57" s="19" t="s">
        <v>11</v>
      </c>
      <c r="D57" s="20">
        <f>IF(OR(Inputs!D$4="Y", D$11 = 0), 0, IF(AND(Inputs!D15="Y",Inputs!D$20="N"),PRODUCT(D$11, Prices!$E16)*D$10,0))</f>
        <v>0</v>
      </c>
      <c r="E57" s="20">
        <f>IF(OR(Inputs!E$4="Y", E$11 = 0), 0, IF(AND(Inputs!E15="Y",Inputs!E$20="N"),PRODUCT(E$11, Prices!$E16)*E$10,0))</f>
        <v>0</v>
      </c>
      <c r="F57" s="20">
        <f>IF(OR(Inputs!F$4="Y", F$11 = 0), 0, IF(AND(Inputs!F15="Y",Inputs!F$20="N"),PRODUCT(F$11, Prices!$E16)*F$10,0))</f>
        <v>0</v>
      </c>
      <c r="G57" s="20">
        <f>IF(OR(Inputs!G$4="Y", G$11 = 0), 0, IF(AND(Inputs!G15="Y",Inputs!G$20="N"),PRODUCT(G$11, Prices!$E16)*G$10,0))</f>
        <v>0</v>
      </c>
      <c r="H57" s="20">
        <f>IF(OR(Inputs!H$4="Y", H$11 = 0), 0, IF(AND(Inputs!H15="Y",Inputs!H$20="N"),PRODUCT(H$11, Prices!$E16)*H$10,0))</f>
        <v>0</v>
      </c>
    </row>
    <row r="58" spans="2:8" x14ac:dyDescent="0.25">
      <c r="C58" s="19" t="s">
        <v>12</v>
      </c>
      <c r="D58" s="20">
        <f>IF(OR(Inputs!D$4="Y", D$11 = 0), 0, IF(AND(Inputs!D16="Y",Inputs!D$20="N"),PRODUCT(D$11, Prices!$E17)*D$10,0))</f>
        <v>0</v>
      </c>
      <c r="E58" s="20">
        <f>IF(OR(Inputs!E$4="Y", E$11 = 0), 0, IF(AND(Inputs!E16="Y",Inputs!E$20="N"),PRODUCT(E$11, Prices!$E17)*E$10,0))</f>
        <v>0</v>
      </c>
      <c r="F58" s="20">
        <f>IF(OR(Inputs!F$4="Y", F$11 = 0), 0, IF(AND(Inputs!F16="Y",Inputs!F$20="N"),PRODUCT(F$11, Prices!$E17)*F$10,0))</f>
        <v>0</v>
      </c>
      <c r="G58" s="20">
        <f>IF(OR(Inputs!G$4="Y", G$11 = 0), 0, IF(AND(Inputs!G16="Y",Inputs!G$20="N"),PRODUCT(G$11, Prices!$E17)*G$10,0))</f>
        <v>0</v>
      </c>
      <c r="H58" s="20">
        <f>IF(OR(Inputs!H$4="Y", H$11 = 0), 0, IF(AND(Inputs!H16="Y",Inputs!H$20="N"),PRODUCT(H$11, Prices!$E17)*H$10,0))</f>
        <v>0</v>
      </c>
    </row>
    <row r="59" spans="2:8" x14ac:dyDescent="0.25">
      <c r="C59" s="28" t="s">
        <v>29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61</v>
      </c>
    </row>
    <row r="62" spans="2:8" x14ac:dyDescent="0.25">
      <c r="C62" s="17" t="s">
        <v>14</v>
      </c>
      <c r="D62" s="18">
        <f>IF(Inputs!D$19 = "Y", 0, IF(Inputs!D18="Y", Prices!$C20, 0))</f>
        <v>0</v>
      </c>
      <c r="E62" s="18">
        <f>IF(Inputs!E$19 = "Y", 0, IF(Inputs!E18="Y", Prices!$C20, 0))</f>
        <v>0</v>
      </c>
      <c r="F62" s="18">
        <f>IF(Inputs!F$19 = "Y", 0, IF(Inputs!F18="Y", Prices!$C20, 0))</f>
        <v>0</v>
      </c>
      <c r="G62" s="18">
        <f>IF(Inputs!G$19 = "Y", 0, IF(Inputs!G18="Y", Prices!$C20, 0))</f>
        <v>0</v>
      </c>
      <c r="H62" s="18">
        <f>IF(Inputs!H$19 = "Y", 0, IF(Inputs!H18="Y", Prices!$C20, 0))</f>
        <v>0</v>
      </c>
    </row>
    <row r="63" spans="2:8" x14ac:dyDescent="0.25">
      <c r="C63" s="17" t="s">
        <v>15</v>
      </c>
      <c r="D63" s="18">
        <f>IF(Inputs!D19="Y", Prices!$C21, 0)</f>
        <v>33000</v>
      </c>
      <c r="E63" s="18">
        <f>IF(Inputs!E19="Y", Prices!$C21, 0)</f>
        <v>0</v>
      </c>
      <c r="F63" s="18">
        <f>IF(Inputs!F19="Y", Prices!$C21, 0)</f>
        <v>0</v>
      </c>
      <c r="G63" s="18">
        <f>IF(Inputs!G19="Y", Prices!$C21, 0)</f>
        <v>0</v>
      </c>
      <c r="H63" s="18">
        <f>IF(Inputs!H19="Y", Prices!$C21, 0)</f>
        <v>0</v>
      </c>
    </row>
    <row r="64" spans="2:8" x14ac:dyDescent="0.25">
      <c r="C64" s="19" t="s">
        <v>16</v>
      </c>
      <c r="D64" s="20">
        <f>IF(Inputs!D20="Y", Prices!$C22, 0)</f>
        <v>0</v>
      </c>
      <c r="E64" s="20">
        <f>IF(Inputs!E20="Y", Prices!$C22, 0)</f>
        <v>0</v>
      </c>
      <c r="F64" s="20">
        <f>IF(Inputs!F20="Y", Prices!$C22, 0)</f>
        <v>0</v>
      </c>
      <c r="G64" s="20">
        <f>IF(Inputs!G20="Y", Prices!$C22, 0)</f>
        <v>0</v>
      </c>
      <c r="H64" s="20">
        <f>IF(Inputs!H20="Y", Prices!$C22, 0)</f>
        <v>0</v>
      </c>
    </row>
    <row r="65" spans="2:15" x14ac:dyDescent="0.25">
      <c r="C65" s="19" t="s">
        <v>17</v>
      </c>
      <c r="D65" s="20">
        <f>IF(Inputs!D21="Y", Prices!$C23, 0)</f>
        <v>28000</v>
      </c>
      <c r="E65" s="20">
        <f>IF(Inputs!E21="Y", Prices!$C23, 0)</f>
        <v>28000</v>
      </c>
      <c r="F65" s="20">
        <f>IF(Inputs!F21="Y", Prices!$C23, 0)</f>
        <v>0</v>
      </c>
      <c r="G65" s="20">
        <f>IF(Inputs!G21="Y", Prices!$C23, 0)</f>
        <v>0</v>
      </c>
      <c r="H65" s="20">
        <f>IF(Inputs!H21="Y", Prices!$C23, 0)</f>
        <v>0</v>
      </c>
    </row>
    <row r="66" spans="2:15" x14ac:dyDescent="0.25">
      <c r="C66" s="19" t="s">
        <v>118</v>
      </c>
      <c r="D66" s="20">
        <f>IF(Inputs!D22="Y", Prices!$C24 * IF(Inputs!D21="Y",1-Prices!$L$20,1), 0)</f>
        <v>28000</v>
      </c>
      <c r="E66" s="20">
        <f>IF(Inputs!E22="Y", Prices!$C24 * IF(Inputs!E21="Y",1-Prices!$L$20,1), 0)</f>
        <v>28000</v>
      </c>
      <c r="F66" s="20">
        <f>IF(Inputs!F22="Y", Prices!$C24 * IF(Inputs!F21="Y",1-Prices!$L$20,1), 0)</f>
        <v>0</v>
      </c>
      <c r="G66" s="20">
        <f>IF(Inputs!G22="Y", Prices!$C24 * IF(Inputs!G21="Y",1-Prices!$L$20,1), 0)</f>
        <v>0</v>
      </c>
      <c r="H66" s="20">
        <f>IF(Inputs!H22="Y", Prices!$C24 * IF(Inputs!H21="Y",1-Prices!$L$20,1), 0)</f>
        <v>0</v>
      </c>
    </row>
    <row r="67" spans="2:15" x14ac:dyDescent="0.25">
      <c r="C67" s="19" t="s">
        <v>117</v>
      </c>
      <c r="D67" s="20">
        <f>IF(Inputs!D23="Y", Prices!$C25, 0)</f>
        <v>20000</v>
      </c>
      <c r="E67" s="20">
        <f>IF(Inputs!E23="Y", Prices!$C25, 0)</f>
        <v>20000</v>
      </c>
      <c r="F67" s="20">
        <f>IF(Inputs!F23="Y", Prices!$C25, 0)</f>
        <v>0</v>
      </c>
      <c r="G67" s="20">
        <f>IF(Inputs!G23="Y", Prices!$C25, 0)</f>
        <v>0</v>
      </c>
      <c r="H67" s="20">
        <f>IF(Inputs!H23="Y", Prices!$C25, 0)</f>
        <v>0</v>
      </c>
    </row>
    <row r="68" spans="2:15" x14ac:dyDescent="0.25">
      <c r="C68" s="81" t="s">
        <v>115</v>
      </c>
      <c r="D68" s="84">
        <f>IF(Inputs!D8="Y", Prices!$C26, 0)</f>
        <v>6750</v>
      </c>
      <c r="E68" s="84">
        <f>IF(Inputs!E8="Y", Prices!$C26, 0)</f>
        <v>0</v>
      </c>
      <c r="F68" s="84">
        <f>IF(Inputs!F8="Y", Prices!$C26, 0)</f>
        <v>0</v>
      </c>
      <c r="G68" s="84">
        <f>IF(Inputs!G8="Y", Prices!$C26, 0)</f>
        <v>0</v>
      </c>
      <c r="H68" s="84">
        <f>IF(Inputs!H8="Y", Prices!$C26, 0)</f>
        <v>0</v>
      </c>
    </row>
    <row r="70" spans="2:15" x14ac:dyDescent="0.25">
      <c r="B70" s="6" t="s">
        <v>62</v>
      </c>
      <c r="J70" s="89" t="s">
        <v>123</v>
      </c>
    </row>
    <row r="71" spans="2:15" x14ac:dyDescent="0.25">
      <c r="C71" s="28" t="s">
        <v>14</v>
      </c>
      <c r="D71" s="29">
        <v>0</v>
      </c>
      <c r="E71" s="29">
        <v>0</v>
      </c>
      <c r="F71" s="29">
        <v>0</v>
      </c>
      <c r="G71" s="29">
        <v>0</v>
      </c>
      <c r="H71" s="29">
        <v>0</v>
      </c>
      <c r="J71" s="90">
        <v>1E-3</v>
      </c>
      <c r="K71" s="23">
        <f>D62+D71+$J71</f>
        <v>1E-3</v>
      </c>
      <c r="L71" s="23">
        <f t="shared" ref="L71:O71" si="2">E62+E71+$J71</f>
        <v>1E-3</v>
      </c>
      <c r="M71" s="23">
        <f t="shared" si="2"/>
        <v>1E-3</v>
      </c>
      <c r="N71" s="23">
        <f t="shared" si="2"/>
        <v>1E-3</v>
      </c>
      <c r="O71" s="23">
        <f t="shared" si="2"/>
        <v>1E-3</v>
      </c>
    </row>
    <row r="72" spans="2:15" x14ac:dyDescent="0.25">
      <c r="C72" s="17" t="s">
        <v>15</v>
      </c>
      <c r="D72" s="18">
        <f>IF(Inputs!D$4="Y", 0, IF(D$11 = "", 0, IF(Inputs!D19 = "Y", D$11*Prices!$E21, 0)))*D$10</f>
        <v>0</v>
      </c>
      <c r="E72" s="18">
        <f>IF(Inputs!E$4="Y", 0, IF(E$11 = "", 0, IF(Inputs!E19 = "Y", E$11*Prices!$E21, 0)))*E$10</f>
        <v>0</v>
      </c>
      <c r="F72" s="18">
        <f>IF(Inputs!F$4="Y", 0, IF(F$11 = "", 0, IF(Inputs!F19 = "Y", F$11*Prices!$E21, 0)))*F$10</f>
        <v>0</v>
      </c>
      <c r="G72" s="18">
        <f>IF(Inputs!G$4="Y", 0, IF(G$11 = "", 0, IF(Inputs!G19 = "Y", G$11*Prices!$E21, 0)))*G$10</f>
        <v>0</v>
      </c>
      <c r="H72" s="18">
        <f>IF(Inputs!H$4="Y", 0, IF(H$11 = "", 0, IF(Inputs!H19 = "Y", H$11*Prices!$E21, 0)))*H$10</f>
        <v>0</v>
      </c>
      <c r="J72" s="90">
        <f>J71+0.0001</f>
        <v>1.1000000000000001E-3</v>
      </c>
      <c r="K72" s="23">
        <f t="shared" ref="K72:O72" si="3">D63+D72+$J72</f>
        <v>33000.001100000001</v>
      </c>
      <c r="L72" s="23">
        <f t="shared" si="3"/>
        <v>1.1000000000000001E-3</v>
      </c>
      <c r="M72" s="23">
        <f t="shared" si="3"/>
        <v>1.1000000000000001E-3</v>
      </c>
      <c r="N72" s="23">
        <f t="shared" si="3"/>
        <v>1.1000000000000001E-3</v>
      </c>
      <c r="O72" s="23">
        <f t="shared" si="3"/>
        <v>1.1000000000000001E-3</v>
      </c>
    </row>
    <row r="73" spans="2:15" x14ac:dyDescent="0.25">
      <c r="C73" s="19" t="s">
        <v>16</v>
      </c>
      <c r="D73" s="20">
        <f>IF(Inputs!D$4="Y", 0, IF(D$11 = "", 0, IF(Inputs!D20 = "Y", D$11*Prices!$E22, 0)))*D$10</f>
        <v>0</v>
      </c>
      <c r="E73" s="20">
        <f>IF(Inputs!E$4="Y", 0, IF(E$11 = "", 0, IF(Inputs!E20 = "Y", E$11*Prices!$E22, 0)))*E$10</f>
        <v>0</v>
      </c>
      <c r="F73" s="20">
        <f>IF(Inputs!F$4="Y", 0, IF(F$11 = "", 0, IF(Inputs!F20 = "Y", F$11*Prices!$E22, 0)))*F$10</f>
        <v>0</v>
      </c>
      <c r="G73" s="20">
        <f>IF(Inputs!G$4="Y", 0, IF(G$11 = "", 0, IF(Inputs!G20 = "Y", G$11*Prices!$E22, 0)))*G$10</f>
        <v>0</v>
      </c>
      <c r="H73" s="20">
        <f>IF(Inputs!H$4="Y", 0, IF(H$11 = "", 0, IF(Inputs!H20 = "Y", H$11*Prices!$E22, 0)))*H$10</f>
        <v>0</v>
      </c>
      <c r="J73" s="90">
        <f t="shared" ref="J73:J77" si="4">J72+0.0001</f>
        <v>1.2000000000000001E-3</v>
      </c>
      <c r="K73" s="23">
        <f t="shared" ref="K73:O73" si="5">D64+D73+$J73</f>
        <v>1.2000000000000001E-3</v>
      </c>
      <c r="L73" s="23">
        <f t="shared" si="5"/>
        <v>1.2000000000000001E-3</v>
      </c>
      <c r="M73" s="23">
        <f t="shared" si="5"/>
        <v>1.2000000000000001E-3</v>
      </c>
      <c r="N73" s="23">
        <f t="shared" si="5"/>
        <v>1.2000000000000001E-3</v>
      </c>
      <c r="O73" s="23">
        <f t="shared" si="5"/>
        <v>1.2000000000000001E-3</v>
      </c>
    </row>
    <row r="74" spans="2:15" x14ac:dyDescent="0.25">
      <c r="C74" s="19" t="s">
        <v>17</v>
      </c>
      <c r="D74" s="20">
        <f>IF(Inputs!D$4="Y", 0, IF(D$11 = "", 0, IF(Inputs!D21 = "Y", D$11*Prices!$E23, 0)))*D$10</f>
        <v>0</v>
      </c>
      <c r="E74" s="20">
        <f>IF(Inputs!E$4="Y", 0, IF(E$11 = "", 0, IF(Inputs!E21 = "Y", E$11*Prices!$E23, 0)))*E$10</f>
        <v>16380</v>
      </c>
      <c r="F74" s="20">
        <f>IF(Inputs!F$4="Y", 0, IF(F$11 = "", 0, IF(Inputs!F21 = "Y", F$11*Prices!$E23, 0)))*F$10</f>
        <v>0</v>
      </c>
      <c r="G74" s="20">
        <f>IF(Inputs!G$4="Y", 0, IF(G$11 = "", 0, IF(Inputs!G21 = "Y", G$11*Prices!$E23, 0)))*G$10</f>
        <v>0</v>
      </c>
      <c r="H74" s="20">
        <f>IF(Inputs!H$4="Y", 0, IF(H$11 = "", 0, IF(Inputs!H21 = "Y", H$11*Prices!$E23, 0)))*H$10</f>
        <v>0</v>
      </c>
      <c r="J74" s="90">
        <f t="shared" si="4"/>
        <v>1.3000000000000002E-3</v>
      </c>
      <c r="K74" s="23">
        <f t="shared" ref="K74:O74" si="6">D65+D74+$J74</f>
        <v>28000.0013</v>
      </c>
      <c r="L74" s="23">
        <f t="shared" si="6"/>
        <v>44380.001300000004</v>
      </c>
      <c r="M74" s="23">
        <f t="shared" si="6"/>
        <v>1.3000000000000002E-3</v>
      </c>
      <c r="N74" s="23">
        <f t="shared" si="6"/>
        <v>1.3000000000000002E-3</v>
      </c>
      <c r="O74" s="23">
        <f t="shared" si="6"/>
        <v>1.3000000000000002E-3</v>
      </c>
    </row>
    <row r="75" spans="2:15" x14ac:dyDescent="0.25">
      <c r="C75" s="19" t="s">
        <v>118</v>
      </c>
      <c r="D75" s="20">
        <f>IF(Inputs!D$4="Y", 0, IF(D$11 = "", 0, IF(Inputs!D22 = "Y", D$11*Prices!$E24 * IF(Inputs!D21="Y",1-Prices!$L$20,1), 0)))*D$10</f>
        <v>0</v>
      </c>
      <c r="E75" s="20">
        <f>IF(Inputs!E$4="Y", 0, IF(E$11 = "", 0, IF(Inputs!E22 = "Y", E$11*Prices!$E24 * IF(Inputs!E21="Y",1-Prices!$L$20,1), 0)))*E$10</f>
        <v>16380</v>
      </c>
      <c r="F75" s="20">
        <f>IF(Inputs!F$4="Y", 0, IF(F$11 = "", 0, IF(Inputs!F22 = "Y", F$11*Prices!$E24 * IF(Inputs!F21="Y",1-Prices!$L$20,1), 0)))*F$10</f>
        <v>0</v>
      </c>
      <c r="G75" s="20">
        <f>IF(Inputs!G$4="Y", 0, IF(G$11 = "", 0, IF(Inputs!G22 = "Y", G$11*Prices!$E24 * IF(Inputs!G21="Y",1-Prices!$L$20,1), 0)))*G$10</f>
        <v>0</v>
      </c>
      <c r="H75" s="20">
        <f>IF(Inputs!H$4="Y", 0, IF(H$11 = "", 0, IF(Inputs!H22 = "Y", H$11*Prices!$E24 * IF(Inputs!H21="Y",1-Prices!$L$20,1), 0)))*H$10</f>
        <v>0</v>
      </c>
      <c r="J75" s="90">
        <f t="shared" si="4"/>
        <v>1.4000000000000002E-3</v>
      </c>
      <c r="K75" s="23">
        <f t="shared" ref="K75:O75" si="7">D66+D75+$J75</f>
        <v>28000.001400000001</v>
      </c>
      <c r="L75" s="23">
        <f t="shared" si="7"/>
        <v>44380.001400000001</v>
      </c>
      <c r="M75" s="23">
        <f t="shared" si="7"/>
        <v>1.4000000000000002E-3</v>
      </c>
      <c r="N75" s="23">
        <f t="shared" si="7"/>
        <v>1.4000000000000002E-3</v>
      </c>
      <c r="O75" s="23">
        <f t="shared" si="7"/>
        <v>1.4000000000000002E-3</v>
      </c>
    </row>
    <row r="76" spans="2:15" x14ac:dyDescent="0.25">
      <c r="C76" s="19" t="s">
        <v>117</v>
      </c>
      <c r="D76" s="20">
        <f>IF(Inputs!D$4="Y", 0, IF(D$11 = "", 0, IF(Inputs!D23 = "Y", D$11*Prices!$E25, 0)))*D$10</f>
        <v>0</v>
      </c>
      <c r="E76" s="20">
        <f>IF(Inputs!E$4="Y", 0, IF(E$11 = "", 0, IF(Inputs!E23 = "Y", E$11*Prices!$E25, 0)))*E$10</f>
        <v>12740.000000000002</v>
      </c>
      <c r="F76" s="20">
        <f>IF(Inputs!F$4="Y", 0, IF(F$11 = "", 0, IF(Inputs!F23 = "Y", F$11*Prices!$E25, 0)))*F$10</f>
        <v>0</v>
      </c>
      <c r="G76" s="20">
        <f>IF(Inputs!G$4="Y", 0, IF(G$11 = "", 0, IF(Inputs!G23 = "Y", G$11*Prices!$E25, 0)))*G$10</f>
        <v>0</v>
      </c>
      <c r="H76" s="20">
        <f>IF(Inputs!H$4="Y", 0, IF(H$11 = "", 0, IF(Inputs!H23 = "Y", H$11*Prices!$E25, 0)))*H$10</f>
        <v>0</v>
      </c>
      <c r="J76" s="90">
        <f t="shared" si="4"/>
        <v>1.5000000000000002E-3</v>
      </c>
      <c r="K76" s="23">
        <f t="shared" ref="K76:O76" si="8">D67+D76+$J76</f>
        <v>20000.001499999998</v>
      </c>
      <c r="L76" s="23">
        <f t="shared" si="8"/>
        <v>32740.001499999998</v>
      </c>
      <c r="M76" s="23">
        <f t="shared" si="8"/>
        <v>1.5000000000000002E-3</v>
      </c>
      <c r="N76" s="23">
        <f t="shared" si="8"/>
        <v>1.5000000000000002E-3</v>
      </c>
      <c r="O76" s="23">
        <f t="shared" si="8"/>
        <v>1.5000000000000002E-3</v>
      </c>
    </row>
    <row r="77" spans="2:15" x14ac:dyDescent="0.25">
      <c r="C77" s="81" t="s">
        <v>115</v>
      </c>
      <c r="D77" s="84">
        <f>IF(Inputs!D$4="Y", 0, IF(D$11 = "", 0, IF(Inputs!D8 = "Y", D$11*Prices!$E26, 0)))*D$10</f>
        <v>0</v>
      </c>
      <c r="E77" s="84">
        <f>IF(Inputs!E$4="Y", 0, IF(E$11 = "", 0, IF(Inputs!E8 = "Y", E$11*Prices!$E26, 0)))*E$10</f>
        <v>0</v>
      </c>
      <c r="F77" s="84">
        <f>IF(Inputs!F$4="Y", 0, IF(F$11 = "", 0, IF(Inputs!F8 = "Y", F$11*Prices!$E26, 0)))*F$10</f>
        <v>0</v>
      </c>
      <c r="G77" s="84">
        <f>IF(Inputs!G$4="Y", 0, IF(G$11 = "", 0, IF(Inputs!G8 = "Y", G$11*Prices!$E26, 0)))*G$10</f>
        <v>0</v>
      </c>
      <c r="H77" s="84">
        <f>IF(Inputs!H$4="Y", 0, IF(H$11 = "", 0, IF(Inputs!H8 = "Y", H$11*Prices!$E26, 0)))*H$10</f>
        <v>0</v>
      </c>
      <c r="J77" s="90">
        <f t="shared" si="4"/>
        <v>1.6000000000000003E-3</v>
      </c>
      <c r="K77" s="23">
        <f t="shared" ref="K77:O77" si="9">D68+D77+$J77</f>
        <v>6750.0015999999996</v>
      </c>
      <c r="L77" s="23">
        <f t="shared" si="9"/>
        <v>1.6000000000000003E-3</v>
      </c>
      <c r="M77" s="23">
        <f t="shared" si="9"/>
        <v>1.6000000000000003E-3</v>
      </c>
      <c r="N77" s="23">
        <f t="shared" si="9"/>
        <v>1.6000000000000003E-3</v>
      </c>
      <c r="O77" s="23">
        <f t="shared" si="9"/>
        <v>1.6000000000000003E-3</v>
      </c>
    </row>
    <row r="78" spans="2:15" x14ac:dyDescent="0.25">
      <c r="D78" s="1"/>
      <c r="E78" s="1"/>
      <c r="F78" s="1"/>
      <c r="G78" s="1"/>
      <c r="H78" s="1"/>
    </row>
    <row r="79" spans="2:15" x14ac:dyDescent="0.25">
      <c r="B79" s="6" t="s">
        <v>63</v>
      </c>
    </row>
    <row r="80" spans="2:15" x14ac:dyDescent="0.25">
      <c r="C80" s="17" t="s">
        <v>14</v>
      </c>
      <c r="D80" s="18">
        <f>D62</f>
        <v>0</v>
      </c>
      <c r="E80" s="18">
        <f t="shared" ref="E80:H80" si="10">E62</f>
        <v>0</v>
      </c>
      <c r="F80" s="18">
        <f t="shared" si="10"/>
        <v>0</v>
      </c>
      <c r="G80" s="18">
        <f t="shared" si="10"/>
        <v>0</v>
      </c>
      <c r="H80" s="18">
        <f t="shared" si="10"/>
        <v>0</v>
      </c>
      <c r="K80" s="21">
        <f>IF(COUNTIF(K$71:K$77,"")&gt;2,"",IFERROR(RANK(K71,K$71:K$77),5))</f>
        <v>7</v>
      </c>
      <c r="L80" s="21">
        <f t="shared" ref="L80:O80" si="11">IF(COUNTIF(L$71:L$77,"")&gt;2,"",IFERROR(RANK(L71,L$71:L$77),5))</f>
        <v>7</v>
      </c>
      <c r="M80" s="21">
        <f t="shared" si="11"/>
        <v>7</v>
      </c>
      <c r="N80" s="21">
        <f t="shared" si="11"/>
        <v>7</v>
      </c>
      <c r="O80" s="21">
        <f t="shared" si="11"/>
        <v>7</v>
      </c>
    </row>
    <row r="81" spans="2:15" x14ac:dyDescent="0.25">
      <c r="C81" s="17" t="s">
        <v>15</v>
      </c>
      <c r="D81" s="18">
        <f>IF(D63=0,0,D63-SUM(D15:D20))</f>
        <v>14000</v>
      </c>
      <c r="E81" s="18">
        <f>IF(E63=0,0,E63-SUM(E15:E20))</f>
        <v>0</v>
      </c>
      <c r="F81" s="18">
        <f>IF(F63=0,0,F63-SUM(F15:F20))</f>
        <v>0</v>
      </c>
      <c r="G81" s="18">
        <f>IF(G63=0,0,G63-SUM(G15:G20))</f>
        <v>0</v>
      </c>
      <c r="H81" s="18">
        <f>IF(H63=0,0,H63-SUM(H15:H20))</f>
        <v>0</v>
      </c>
      <c r="K81" s="21">
        <f t="shared" ref="K81:O81" si="12">IF(COUNTIF(K$71:K$77,"")&gt;2,"",IFERROR(RANK(K72,K$71:K$77),5))</f>
        <v>1</v>
      </c>
      <c r="L81" s="21">
        <f t="shared" si="12"/>
        <v>6</v>
      </c>
      <c r="M81" s="21">
        <f t="shared" si="12"/>
        <v>6</v>
      </c>
      <c r="N81" s="21">
        <f t="shared" si="12"/>
        <v>6</v>
      </c>
      <c r="O81" s="21">
        <f t="shared" si="12"/>
        <v>6</v>
      </c>
    </row>
    <row r="82" spans="2:15" x14ac:dyDescent="0.25">
      <c r="C82" s="19" t="s">
        <v>16</v>
      </c>
      <c r="D82" s="20">
        <f>IF(D64=0,0,D64-SUM(D21:D23))</f>
        <v>0</v>
      </c>
      <c r="E82" s="20">
        <f>IF(E64=0,0,E64-SUM(E21:E23))</f>
        <v>0</v>
      </c>
      <c r="F82" s="20">
        <f>IF(F64=0,0,F64-SUM(F21:F23))</f>
        <v>0</v>
      </c>
      <c r="G82" s="20">
        <f>IF(G64=0,0,G64-SUM(G21:G23))</f>
        <v>0</v>
      </c>
      <c r="H82" s="20">
        <f>IF(H64=0,0,H64-SUM(H21:H23))</f>
        <v>0</v>
      </c>
      <c r="K82" s="21">
        <f t="shared" ref="K82:O82" si="13">IF(COUNTIF(K$71:K$77,"")&gt;2,"",IFERROR(RANK(K73,K$71:K$77),5))</f>
        <v>6</v>
      </c>
      <c r="L82" s="21">
        <f t="shared" si="13"/>
        <v>5</v>
      </c>
      <c r="M82" s="21">
        <f t="shared" si="13"/>
        <v>5</v>
      </c>
      <c r="N82" s="21">
        <f t="shared" si="13"/>
        <v>5</v>
      </c>
      <c r="O82" s="21">
        <f t="shared" si="13"/>
        <v>5</v>
      </c>
    </row>
    <row r="83" spans="2:15" x14ac:dyDescent="0.25">
      <c r="C83" s="19" t="s">
        <v>17</v>
      </c>
      <c r="D83" s="20">
        <f>D65</f>
        <v>28000</v>
      </c>
      <c r="E83" s="20">
        <f>E65</f>
        <v>28000</v>
      </c>
      <c r="F83" s="20">
        <f>F65</f>
        <v>0</v>
      </c>
      <c r="G83" s="20">
        <f>G65</f>
        <v>0</v>
      </c>
      <c r="H83" s="20">
        <f>H65</f>
        <v>0</v>
      </c>
      <c r="K83" s="21">
        <f t="shared" ref="K83:O83" si="14">IF(COUNTIF(K$71:K$77,"")&gt;2,"",IFERROR(RANK(K74,K$71:K$77),5))</f>
        <v>3</v>
      </c>
      <c r="L83" s="21">
        <f t="shared" si="14"/>
        <v>2</v>
      </c>
      <c r="M83" s="21">
        <f t="shared" si="14"/>
        <v>4</v>
      </c>
      <c r="N83" s="21">
        <f t="shared" si="14"/>
        <v>4</v>
      </c>
      <c r="O83" s="21">
        <f t="shared" si="14"/>
        <v>4</v>
      </c>
    </row>
    <row r="84" spans="2:15" x14ac:dyDescent="0.25">
      <c r="C84" s="19" t="s">
        <v>118</v>
      </c>
      <c r="D84" s="20">
        <f t="shared" ref="D84:H84" si="15">D66</f>
        <v>28000</v>
      </c>
      <c r="E84" s="20">
        <f t="shared" si="15"/>
        <v>28000</v>
      </c>
      <c r="F84" s="20">
        <f t="shared" si="15"/>
        <v>0</v>
      </c>
      <c r="G84" s="20">
        <f t="shared" si="15"/>
        <v>0</v>
      </c>
      <c r="H84" s="20">
        <f t="shared" si="15"/>
        <v>0</v>
      </c>
      <c r="K84" s="21">
        <f t="shared" ref="K84:O84" si="16">IF(COUNTIF(K$71:K$77,"")&gt;2,"",IFERROR(RANK(K75,K$71:K$77),5))</f>
        <v>2</v>
      </c>
      <c r="L84" s="21">
        <f t="shared" si="16"/>
        <v>1</v>
      </c>
      <c r="M84" s="21">
        <f t="shared" si="16"/>
        <v>3</v>
      </c>
      <c r="N84" s="21">
        <f t="shared" si="16"/>
        <v>3</v>
      </c>
      <c r="O84" s="21">
        <f t="shared" si="16"/>
        <v>3</v>
      </c>
    </row>
    <row r="85" spans="2:15" x14ac:dyDescent="0.25">
      <c r="C85" s="19" t="s">
        <v>117</v>
      </c>
      <c r="D85" s="20">
        <f t="shared" ref="D85:H85" si="17">D67</f>
        <v>20000</v>
      </c>
      <c r="E85" s="20">
        <f t="shared" si="17"/>
        <v>20000</v>
      </c>
      <c r="F85" s="20">
        <f t="shared" si="17"/>
        <v>0</v>
      </c>
      <c r="G85" s="20">
        <f t="shared" si="17"/>
        <v>0</v>
      </c>
      <c r="H85" s="20">
        <f t="shared" si="17"/>
        <v>0</v>
      </c>
      <c r="K85" s="21">
        <f t="shared" ref="K85:O85" si="18">IF(COUNTIF(K$71:K$77,"")&gt;2,"",IFERROR(RANK(K76,K$71:K$77),5))</f>
        <v>4</v>
      </c>
      <c r="L85" s="21">
        <f t="shared" si="18"/>
        <v>3</v>
      </c>
      <c r="M85" s="21">
        <f t="shared" si="18"/>
        <v>2</v>
      </c>
      <c r="N85" s="21">
        <f t="shared" si="18"/>
        <v>2</v>
      </c>
      <c r="O85" s="21">
        <f t="shared" si="18"/>
        <v>2</v>
      </c>
    </row>
    <row r="86" spans="2:15" x14ac:dyDescent="0.25">
      <c r="C86" s="81" t="s">
        <v>115</v>
      </c>
      <c r="D86" s="84">
        <f t="shared" ref="D86:H86" si="19">D68</f>
        <v>6750</v>
      </c>
      <c r="E86" s="84">
        <f t="shared" si="19"/>
        <v>0</v>
      </c>
      <c r="F86" s="84">
        <f t="shared" si="19"/>
        <v>0</v>
      </c>
      <c r="G86" s="84">
        <f t="shared" si="19"/>
        <v>0</v>
      </c>
      <c r="H86" s="84">
        <f t="shared" si="19"/>
        <v>0</v>
      </c>
      <c r="K86" s="21">
        <f t="shared" ref="K86:O86" si="20">IF(COUNTIF(K$71:K$77,"")&gt;2,"",IFERROR(RANK(K77,K$71:K$77),5))</f>
        <v>5</v>
      </c>
      <c r="L86" s="21">
        <f t="shared" si="20"/>
        <v>4</v>
      </c>
      <c r="M86" s="21">
        <f t="shared" si="20"/>
        <v>1</v>
      </c>
      <c r="N86" s="21">
        <f t="shared" si="20"/>
        <v>1</v>
      </c>
      <c r="O86" s="21">
        <f t="shared" si="20"/>
        <v>1</v>
      </c>
    </row>
    <row r="88" spans="2:15" x14ac:dyDescent="0.25">
      <c r="B88" s="6" t="s">
        <v>64</v>
      </c>
    </row>
    <row r="89" spans="2:15" x14ac:dyDescent="0.25">
      <c r="C89" s="28" t="s">
        <v>14</v>
      </c>
      <c r="D89" s="29">
        <v>0</v>
      </c>
      <c r="E89" s="29">
        <v>0</v>
      </c>
      <c r="F89" s="29">
        <v>0</v>
      </c>
      <c r="G89" s="29">
        <v>0</v>
      </c>
      <c r="H89" s="29">
        <v>0</v>
      </c>
    </row>
    <row r="90" spans="2:15" x14ac:dyDescent="0.25">
      <c r="C90" s="17" t="s">
        <v>15</v>
      </c>
      <c r="D90" s="18">
        <f>IF(D72=0,0,D72-SUM(D27:D32))</f>
        <v>0</v>
      </c>
      <c r="E90" s="18">
        <f>IF(E72=0,0,E72-SUM(E27:E32))</f>
        <v>0</v>
      </c>
      <c r="F90" s="18">
        <f>IF(F72=0,0,F72-SUM(F27:F32))</f>
        <v>0</v>
      </c>
      <c r="G90" s="18">
        <f>IF(G72=0,0,G72-SUM(G27:G32))</f>
        <v>0</v>
      </c>
      <c r="H90" s="18">
        <f>IF(H72=0,0,H72-SUM(H27:H32))</f>
        <v>0</v>
      </c>
    </row>
    <row r="91" spans="2:15" x14ac:dyDescent="0.25">
      <c r="C91" s="19" t="s">
        <v>16</v>
      </c>
      <c r="D91" s="20">
        <f>IF(D73=0,0,D73-SUM(D33:D34))</f>
        <v>0</v>
      </c>
      <c r="E91" s="20">
        <f>IF(E73=0,0,E73-SUM(E33:E34))</f>
        <v>0</v>
      </c>
      <c r="F91" s="20">
        <f>IF(F73=0,0,F73-SUM(F33:F34))</f>
        <v>0</v>
      </c>
      <c r="G91" s="20">
        <f>IF(G73=0,0,G73-SUM(G33:G34))</f>
        <v>0</v>
      </c>
      <c r="H91" s="20">
        <f>IF(H73=0,0,H73-SUM(H33:H34))</f>
        <v>0</v>
      </c>
    </row>
    <row r="92" spans="2:15" x14ac:dyDescent="0.25">
      <c r="C92" s="19" t="s">
        <v>17</v>
      </c>
      <c r="D92" s="20">
        <f>D74</f>
        <v>0</v>
      </c>
      <c r="E92" s="20">
        <f>E74</f>
        <v>16380</v>
      </c>
      <c r="F92" s="20">
        <f>F74</f>
        <v>0</v>
      </c>
      <c r="G92" s="20">
        <f>G74</f>
        <v>0</v>
      </c>
      <c r="H92" s="20">
        <f>H74</f>
        <v>0</v>
      </c>
    </row>
    <row r="93" spans="2:15" x14ac:dyDescent="0.25">
      <c r="C93" s="19" t="s">
        <v>118</v>
      </c>
      <c r="D93" s="20">
        <f t="shared" ref="D93:H93" si="21">D75</f>
        <v>0</v>
      </c>
      <c r="E93" s="20">
        <f t="shared" si="21"/>
        <v>16380</v>
      </c>
      <c r="F93" s="20">
        <f t="shared" si="21"/>
        <v>0</v>
      </c>
      <c r="G93" s="20">
        <f t="shared" si="21"/>
        <v>0</v>
      </c>
      <c r="H93" s="20">
        <f t="shared" si="21"/>
        <v>0</v>
      </c>
    </row>
    <row r="94" spans="2:15" x14ac:dyDescent="0.25">
      <c r="C94" s="19" t="s">
        <v>117</v>
      </c>
      <c r="D94" s="20">
        <f t="shared" ref="D94:H94" si="22">D76</f>
        <v>0</v>
      </c>
      <c r="E94" s="20">
        <f t="shared" si="22"/>
        <v>12740.000000000002</v>
      </c>
      <c r="F94" s="20">
        <f t="shared" si="22"/>
        <v>0</v>
      </c>
      <c r="G94" s="20">
        <f t="shared" si="22"/>
        <v>0</v>
      </c>
      <c r="H94" s="20">
        <f t="shared" si="22"/>
        <v>0</v>
      </c>
    </row>
    <row r="95" spans="2:15" x14ac:dyDescent="0.25">
      <c r="C95" s="81" t="s">
        <v>115</v>
      </c>
      <c r="D95" s="84">
        <f t="shared" ref="D95:H95" si="23">D77</f>
        <v>0</v>
      </c>
      <c r="E95" s="84">
        <f t="shared" si="23"/>
        <v>0</v>
      </c>
      <c r="F95" s="84">
        <f t="shared" si="23"/>
        <v>0</v>
      </c>
      <c r="G95" s="84">
        <f t="shared" si="23"/>
        <v>0</v>
      </c>
      <c r="H95" s="84">
        <f t="shared" si="23"/>
        <v>0</v>
      </c>
    </row>
    <row r="97" spans="1:8" x14ac:dyDescent="0.25">
      <c r="B97" s="6" t="s">
        <v>40</v>
      </c>
    </row>
    <row r="98" spans="1:8" x14ac:dyDescent="0.25">
      <c r="A98" s="88">
        <v>2</v>
      </c>
      <c r="C98" t="s">
        <v>32</v>
      </c>
      <c r="D98" s="1">
        <f>_xlfn.IFNA(SUM(INDEX(D$62:D$68, MATCH($A98, K$80:K$86, 0)), INDEX(D$71:D$77, MATCH($A98, K$80:K$86, 0)))*Prices!$L$5*-1, 0)</f>
        <v>-8400</v>
      </c>
      <c r="E98" s="1">
        <f>_xlfn.IFNA(SUM(INDEX(E$62:E$68, MATCH($A98, L$80:L$86, 0)), INDEX(E$71:E$77, MATCH($A98, L$80:L$86, 0)))*Prices!$L$5*-1, 0)</f>
        <v>-13314</v>
      </c>
      <c r="F98" s="1">
        <f>_xlfn.IFNA(SUM(INDEX(F$62:F$68, MATCH($A98, M$80:M$86, 0)), INDEX(F$71:F$77, MATCH($A98, M$80:M$86, 0)))*Prices!$L$5*-1, 0)</f>
        <v>0</v>
      </c>
      <c r="G98" s="1">
        <f>_xlfn.IFNA(SUM(INDEX(G$62:G$68, MATCH($A98, N$80:N$86, 0)), INDEX(G$71:G$77, MATCH($A98, N$80:N$86, 0)))*Prices!$L$5*-1, 0)</f>
        <v>0</v>
      </c>
      <c r="H98" s="1">
        <f>_xlfn.IFNA(SUM(INDEX(H$62:H$68, MATCH($A98, O$80:O$86, 0)), INDEX(H$71:H$77, MATCH($A98, O$80:O$86, 0)))*Prices!$L$5*-1, 0)</f>
        <v>0</v>
      </c>
    </row>
    <row r="99" spans="1:8" x14ac:dyDescent="0.25">
      <c r="A99" s="88">
        <v>3</v>
      </c>
      <c r="C99" t="s">
        <v>33</v>
      </c>
      <c r="D99" s="1">
        <f>_xlfn.IFNA(SUM(INDEX(D$62:D$68, MATCH($A99, K$80:K$86, 0)), INDEX(D$71:D$77, MATCH($A99, K$80:K$86, 0)))*Prices!$L$6*-1, 0)</f>
        <v>-12600</v>
      </c>
      <c r="E99" s="1">
        <f>_xlfn.IFNA(SUM(INDEX(E$62:E$68, MATCH($A99, L$80:L$86, 0)), INDEX(E$71:E$77, MATCH($A99, L$80:L$86, 0)))*Prices!$L$6*-1, 0)</f>
        <v>-14733</v>
      </c>
      <c r="F99" s="1">
        <f>_xlfn.IFNA(SUM(INDEX(F$62:F$68, MATCH($A99, M$80:M$86, 0)), INDEX(F$71:F$77, MATCH($A99, M$80:M$86, 0)))*Prices!$L$6*-1, 0)</f>
        <v>0</v>
      </c>
      <c r="G99" s="1">
        <f>_xlfn.IFNA(SUM(INDEX(G$62:G$68, MATCH($A99, N$80:N$86, 0)), INDEX(G$71:G$77, MATCH($A99, N$80:N$86, 0)))*Prices!$L$6*-1, 0)</f>
        <v>0</v>
      </c>
      <c r="H99" s="1">
        <f>_xlfn.IFNA(SUM(INDEX(H$62:H$68, MATCH($A99, O$80:O$86, 0)), INDEX(H$71:H$77, MATCH($A99, O$80:O$86, 0)))*Prices!$L$6*-1, 0)</f>
        <v>0</v>
      </c>
    </row>
    <row r="100" spans="1:8" x14ac:dyDescent="0.25">
      <c r="A100" s="88">
        <v>4</v>
      </c>
      <c r="C100" t="s">
        <v>119</v>
      </c>
      <c r="D100" s="1">
        <f>_xlfn.IFNA(SUM(INDEX(D$62:D$68, MATCH($A100, K$80:K$86, 0)), INDEX(D$71:D$77, MATCH($A100, K$80:K$86, 0)))*Prices!$L$6*-1, 0)</f>
        <v>-9000</v>
      </c>
      <c r="E100" s="1">
        <f>_xlfn.IFNA(SUM(INDEX(E$62:E$68, MATCH($A100, L$80:L$86, 0)), INDEX(E$71:E$77, MATCH($A100, L$80:L$86, 0)))*Prices!$L$6*-1, 0)</f>
        <v>0</v>
      </c>
      <c r="F100" s="1">
        <f>_xlfn.IFNA(SUM(INDEX(F$62:F$68, MATCH($A100, M$80:M$86, 0)), INDEX(F$71:F$77, MATCH($A100, M$80:M$86, 0)))*Prices!$L$6*-1, 0)</f>
        <v>0</v>
      </c>
      <c r="G100" s="1">
        <f>_xlfn.IFNA(SUM(INDEX(G$62:G$68, MATCH($A100, N$80:N$86, 0)), INDEX(G$71:G$77, MATCH($A100, N$80:N$86, 0)))*Prices!$L$6*-1, 0)</f>
        <v>0</v>
      </c>
      <c r="H100" s="1">
        <f>_xlfn.IFNA(SUM(INDEX(H$62:H$68, MATCH($A100, O$80:O$86, 0)), INDEX(H$71:H$77, MATCH($A100, O$80:O$86, 0)))*Prices!$L$6*-1, 0)</f>
        <v>0</v>
      </c>
    </row>
    <row r="101" spans="1:8" x14ac:dyDescent="0.25">
      <c r="A101" s="88">
        <v>5</v>
      </c>
      <c r="C101" t="s">
        <v>120</v>
      </c>
      <c r="D101" s="1">
        <f>_xlfn.IFNA(SUM(INDEX(D$62:D$68, MATCH($A101, K$80:K$86, 0)), INDEX(D$71:D$77, MATCH($A101, K$80:K$86, 0)))*Prices!$L$6*-1, 0)</f>
        <v>-3037.5</v>
      </c>
      <c r="E101" s="1">
        <f>_xlfn.IFNA(SUM(INDEX(E$62:E$68, MATCH($A101, L$80:L$86, 0)), INDEX(E$71:E$77, MATCH($A101, L$80:L$86, 0)))*Prices!$L$6*-1, 0)</f>
        <v>0</v>
      </c>
      <c r="F101" s="1">
        <f>_xlfn.IFNA(SUM(INDEX(F$62:F$68, MATCH($A101, M$80:M$86, 0)), INDEX(F$71:F$77, MATCH($A101, M$80:M$86, 0)))*Prices!$L$6*-1, 0)</f>
        <v>0</v>
      </c>
      <c r="G101" s="1">
        <f>_xlfn.IFNA(SUM(INDEX(G$62:G$68, MATCH($A101, N$80:N$86, 0)), INDEX(G$71:G$77, MATCH($A101, N$80:N$86, 0)))*Prices!$L$6*-1, 0)</f>
        <v>0</v>
      </c>
      <c r="H101" s="1">
        <f>_xlfn.IFNA(SUM(INDEX(H$62:H$68, MATCH($A101, O$80:O$86, 0)), INDEX(H$71:H$77, MATCH($A101, O$80:O$86, 0)))*Prices!$L$6*-1, 0)</f>
        <v>0</v>
      </c>
    </row>
    <row r="102" spans="1:8" x14ac:dyDescent="0.25">
      <c r="A102" s="88">
        <v>6</v>
      </c>
      <c r="C102" t="s">
        <v>121</v>
      </c>
      <c r="D102" s="1">
        <f>_xlfn.IFNA(SUM(INDEX(D$62:D$68, MATCH($A102, K$80:K$86, 0)), INDEX(D$71:D$77, MATCH($A102, K$80:K$86, 0)))*Prices!$L$6*-1, 0)</f>
        <v>0</v>
      </c>
      <c r="E102" s="1">
        <f>_xlfn.IFNA(SUM(INDEX(E$62:E$68, MATCH($A102, L$80:L$86, 0)), INDEX(E$71:E$77, MATCH($A102, L$80:L$86, 0)))*Prices!$L$6*-1, 0)</f>
        <v>0</v>
      </c>
      <c r="F102" s="1">
        <f>_xlfn.IFNA(SUM(INDEX(F$62:F$68, MATCH($A102, M$80:M$86, 0)), INDEX(F$71:F$77, MATCH($A102, M$80:M$86, 0)))*Prices!$L$6*-1, 0)</f>
        <v>0</v>
      </c>
      <c r="G102" s="1">
        <f>_xlfn.IFNA(SUM(INDEX(G$62:G$68, MATCH($A102, N$80:N$86, 0)), INDEX(G$71:G$77, MATCH($A102, N$80:N$86, 0)))*Prices!$L$6*-1, 0)</f>
        <v>0</v>
      </c>
      <c r="H102" s="1">
        <f>_xlfn.IFNA(SUM(INDEX(H$62:H$68, MATCH($A102, O$80:O$86, 0)), INDEX(H$71:H$77, MATCH($A102, O$80:O$86, 0)))*Prices!$L$6*-1, 0)</f>
        <v>0</v>
      </c>
    </row>
    <row r="104" spans="1:8" x14ac:dyDescent="0.25">
      <c r="B104" s="6" t="s">
        <v>41</v>
      </c>
      <c r="D104" s="7">
        <f>SUM(D38:D47, D50:D59, D62:D68, D71:D77, D98:D102)</f>
        <v>97712.5</v>
      </c>
      <c r="E104" s="7">
        <f t="shared" ref="E104:H104" si="24">SUM(E38:E47, E50:E59, E62:E68, E71:E77, E98:E102)</f>
        <v>148023</v>
      </c>
      <c r="F104" s="7">
        <f t="shared" si="24"/>
        <v>0</v>
      </c>
      <c r="G104" s="7">
        <f t="shared" si="24"/>
        <v>0</v>
      </c>
      <c r="H104" s="7">
        <f t="shared" si="24"/>
        <v>0</v>
      </c>
    </row>
    <row r="105" spans="1:8" x14ac:dyDescent="0.25">
      <c r="D105" s="1"/>
    </row>
    <row r="106" spans="1:8" x14ac:dyDescent="0.25">
      <c r="B106" s="6" t="s">
        <v>58</v>
      </c>
      <c r="D106" s="1">
        <f>IF(D116=1, 0, IF(D116=2, $E$119, IF(D116=3, $E$120, IF(D116=4, $E$121, IF(D116=5, $E$122, "")))))</f>
        <v>-43970.625</v>
      </c>
      <c r="E106" s="1">
        <f t="shared" ref="E106:H106" si="25">IF(E116=1, 0, IF(E116=2, $E$119, IF(E116=3, $E$120, IF(E116=4, $E$121, IF(E116=5, $E$122, "")))))</f>
        <v>0</v>
      </c>
      <c r="F106" s="1">
        <f t="shared" si="25"/>
        <v>0</v>
      </c>
      <c r="G106" s="1">
        <f t="shared" si="25"/>
        <v>0</v>
      </c>
      <c r="H106" s="1">
        <f t="shared" si="25"/>
        <v>0</v>
      </c>
    </row>
    <row r="107" spans="1:8" x14ac:dyDescent="0.25">
      <c r="D107" s="1"/>
      <c r="E107" s="1"/>
      <c r="F107" s="1"/>
      <c r="G107" s="1"/>
      <c r="H107" s="1"/>
    </row>
    <row r="108" spans="1:8" x14ac:dyDescent="0.25">
      <c r="B108" s="6" t="s">
        <v>100</v>
      </c>
      <c r="D108" s="1">
        <f>IF(Inputs!$D$5 = "Y", Prices!$L$18, 0)*-1</f>
        <v>0</v>
      </c>
      <c r="E108" s="1">
        <v>0</v>
      </c>
      <c r="F108" s="1">
        <v>0</v>
      </c>
      <c r="G108" s="1">
        <v>0</v>
      </c>
      <c r="H108" s="1">
        <v>0</v>
      </c>
    </row>
    <row r="110" spans="1:8" x14ac:dyDescent="0.25">
      <c r="B110" s="6" t="s">
        <v>50</v>
      </c>
      <c r="D110" s="7">
        <f>SUM(D104, D106)</f>
        <v>53741.875</v>
      </c>
      <c r="E110" s="7">
        <f>SUM(E104, E106)</f>
        <v>148023</v>
      </c>
      <c r="F110" s="7">
        <f>SUM(F104, F106)</f>
        <v>0</v>
      </c>
      <c r="G110" s="7">
        <f>SUM(G104, G106)</f>
        <v>0</v>
      </c>
      <c r="H110" s="7">
        <f>SUM(H104, H106)</f>
        <v>0</v>
      </c>
    </row>
    <row r="113" spans="2:8" s="21" customFormat="1" x14ac:dyDescent="0.25">
      <c r="B113" s="27"/>
      <c r="C113" s="21" t="s">
        <v>59</v>
      </c>
      <c r="D113" s="21">
        <f>IFERROR(_xlfn.RANK.EQ(D104,$D$104:$H$104),5)</f>
        <v>2</v>
      </c>
      <c r="E113" s="21">
        <f t="shared" ref="E113:H113" si="26">IFERROR(_xlfn.RANK.EQ(E104,$D$104:$H$104),5)</f>
        <v>1</v>
      </c>
      <c r="F113" s="21">
        <f t="shared" si="26"/>
        <v>3</v>
      </c>
      <c r="G113" s="21">
        <f t="shared" si="26"/>
        <v>3</v>
      </c>
      <c r="H113" s="21">
        <f t="shared" si="26"/>
        <v>3</v>
      </c>
    </row>
    <row r="114" spans="2:8" s="21" customFormat="1" x14ac:dyDescent="0.25">
      <c r="B114" s="27"/>
      <c r="D114" s="21">
        <v>0.1</v>
      </c>
      <c r="E114" s="21">
        <v>0.2</v>
      </c>
      <c r="F114" s="21">
        <v>0.3</v>
      </c>
      <c r="G114" s="21">
        <v>0.4</v>
      </c>
      <c r="H114" s="21">
        <v>0.5</v>
      </c>
    </row>
    <row r="115" spans="2:8" s="21" customFormat="1" x14ac:dyDescent="0.25">
      <c r="B115" s="27"/>
      <c r="D115" s="21">
        <f>SUM(D113:D114)</f>
        <v>2.1</v>
      </c>
      <c r="E115" s="21">
        <f t="shared" ref="E115:H115" si="27">SUM(E113:E114)</f>
        <v>1.2</v>
      </c>
      <c r="F115" s="21">
        <f t="shared" si="27"/>
        <v>3.3</v>
      </c>
      <c r="G115" s="21">
        <f t="shared" si="27"/>
        <v>3.4</v>
      </c>
      <c r="H115" s="21">
        <f t="shared" si="27"/>
        <v>3.5</v>
      </c>
    </row>
    <row r="116" spans="2:8" s="21" customFormat="1" x14ac:dyDescent="0.25">
      <c r="B116" s="27"/>
      <c r="D116" s="21">
        <f>_xlfn.RANK.EQ(D115, $D$115:$H$115, 5)</f>
        <v>2</v>
      </c>
      <c r="E116" s="21">
        <f t="shared" ref="E116:H116" si="28">_xlfn.RANK.EQ(E115, $D$115:$H$115, 5)</f>
        <v>1</v>
      </c>
      <c r="F116" s="21">
        <f t="shared" si="28"/>
        <v>3</v>
      </c>
      <c r="G116" s="21">
        <f t="shared" si="28"/>
        <v>4</v>
      </c>
      <c r="H116" s="21">
        <f t="shared" si="28"/>
        <v>5</v>
      </c>
    </row>
    <row r="117" spans="2:8" s="21" customFormat="1" x14ac:dyDescent="0.25">
      <c r="B117" s="27"/>
    </row>
    <row r="118" spans="2:8" s="21" customFormat="1" x14ac:dyDescent="0.25">
      <c r="B118" s="27"/>
      <c r="C118" s="21" t="s">
        <v>47</v>
      </c>
    </row>
    <row r="119" spans="2:8" s="21" customFormat="1" x14ac:dyDescent="0.25">
      <c r="B119" s="27"/>
      <c r="D119" s="21" t="s">
        <v>36</v>
      </c>
      <c r="E119" s="23">
        <f>INDEX($D$104:$H$104, 1, MATCH(2, $D$116:$H$116, 0))*Prices!$L$10*-1</f>
        <v>-43970.625</v>
      </c>
    </row>
    <row r="120" spans="2:8" s="21" customFormat="1" x14ac:dyDescent="0.25">
      <c r="B120" s="27"/>
      <c r="D120" s="21" t="s">
        <v>37</v>
      </c>
      <c r="E120" s="23">
        <f>INDEX($D$104:$H$104, 1, MATCH(3, $D$116:$H$116, 0))*Prices!$L$11*-1</f>
        <v>0</v>
      </c>
    </row>
    <row r="121" spans="2:8" s="21" customFormat="1" x14ac:dyDescent="0.25">
      <c r="B121" s="27"/>
      <c r="D121" s="21" t="s">
        <v>48</v>
      </c>
      <c r="E121" s="23">
        <f>INDEX($D$104:$H$104, 1, MATCH(4, $D$116:$H$116, 0))*Prices!$L$11*-1</f>
        <v>0</v>
      </c>
    </row>
    <row r="122" spans="2:8" s="21" customFormat="1" x14ac:dyDescent="0.25">
      <c r="B122" s="27"/>
      <c r="D122" s="21" t="s">
        <v>49</v>
      </c>
      <c r="E122" s="23">
        <f>INDEX($D$104:$H$104, 1, MATCH(5, $D$116:$H$116, 0))*Prices!$L$11*-1</f>
        <v>0</v>
      </c>
    </row>
    <row r="126" spans="2:8" x14ac:dyDescent="0.25">
      <c r="F12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6"/>
  <sheetViews>
    <sheetView workbookViewId="0">
      <selection activeCell="L21" sqref="L21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24</v>
      </c>
    </row>
    <row r="3" spans="2:12" x14ac:dyDescent="0.25">
      <c r="B3" t="s">
        <v>23</v>
      </c>
      <c r="C3" s="1">
        <v>5000</v>
      </c>
      <c r="D3" s="1">
        <v>32750</v>
      </c>
      <c r="E3" s="1"/>
      <c r="F3" s="1"/>
      <c r="G3" s="1"/>
      <c r="H3" s="1"/>
      <c r="K3" s="6" t="s">
        <v>30</v>
      </c>
    </row>
    <row r="4" spans="2:12" x14ac:dyDescent="0.25">
      <c r="B4" t="s">
        <v>25</v>
      </c>
      <c r="C4" s="1">
        <v>5000</v>
      </c>
      <c r="D4" s="1">
        <v>0</v>
      </c>
      <c r="E4" s="1" t="s">
        <v>101</v>
      </c>
      <c r="F4" s="76">
        <v>0.6</v>
      </c>
      <c r="G4" s="76">
        <v>0.24</v>
      </c>
      <c r="H4" s="76">
        <v>0.2</v>
      </c>
      <c r="K4" t="s">
        <v>31</v>
      </c>
      <c r="L4" s="3">
        <v>0</v>
      </c>
    </row>
    <row r="5" spans="2:12" x14ac:dyDescent="0.25">
      <c r="E5" s="48" t="s">
        <v>102</v>
      </c>
      <c r="F5" s="48" t="s">
        <v>103</v>
      </c>
      <c r="G5" s="48" t="s">
        <v>104</v>
      </c>
      <c r="H5" s="48" t="s">
        <v>108</v>
      </c>
      <c r="K5" t="s">
        <v>32</v>
      </c>
      <c r="L5" s="3">
        <v>0.3</v>
      </c>
    </row>
    <row r="6" spans="2:12" x14ac:dyDescent="0.25">
      <c r="B6" s="15" t="s">
        <v>26</v>
      </c>
      <c r="C6" s="42">
        <v>15000</v>
      </c>
      <c r="D6" s="42">
        <v>30000</v>
      </c>
      <c r="E6" s="38"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33</v>
      </c>
      <c r="L6" s="3">
        <v>0.45</v>
      </c>
    </row>
    <row r="8" spans="2:12" x14ac:dyDescent="0.25">
      <c r="C8" s="43"/>
      <c r="D8" s="39"/>
      <c r="K8" s="6" t="s">
        <v>35</v>
      </c>
    </row>
    <row r="9" spans="2:12" x14ac:dyDescent="0.25">
      <c r="C9" s="46" t="s">
        <v>38</v>
      </c>
      <c r="E9" s="47"/>
      <c r="F9" s="47"/>
      <c r="G9" s="47"/>
      <c r="H9" s="47"/>
      <c r="K9" t="s">
        <v>34</v>
      </c>
      <c r="L9" s="3">
        <v>0</v>
      </c>
    </row>
    <row r="10" spans="2:12" x14ac:dyDescent="0.25">
      <c r="B10" s="17" t="s">
        <v>27</v>
      </c>
      <c r="C10" s="44">
        <v>1000</v>
      </c>
      <c r="E10" s="40"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36</v>
      </c>
      <c r="L10" s="3">
        <v>0.45</v>
      </c>
    </row>
    <row r="11" spans="2:12" x14ac:dyDescent="0.25">
      <c r="B11" s="17" t="s">
        <v>8</v>
      </c>
      <c r="C11" s="44">
        <v>4000</v>
      </c>
      <c r="E11" s="40"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37</v>
      </c>
      <c r="L11" s="3">
        <v>0.5</v>
      </c>
    </row>
    <row r="12" spans="2:12" x14ac:dyDescent="0.25">
      <c r="B12" s="17" t="s">
        <v>28</v>
      </c>
      <c r="C12" s="44">
        <v>2000</v>
      </c>
      <c r="E12" s="40"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25">
      <c r="B13" s="17" t="s">
        <v>9</v>
      </c>
      <c r="C13" s="44">
        <v>2000</v>
      </c>
      <c r="E13" s="40"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25">
      <c r="B14" s="17" t="s">
        <v>10</v>
      </c>
      <c r="C14" s="44">
        <v>6000</v>
      </c>
      <c r="E14" s="40"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77</v>
      </c>
      <c r="L14" s="57">
        <v>1.2500000000000001E-2</v>
      </c>
    </row>
    <row r="15" spans="2:12" x14ac:dyDescent="0.25">
      <c r="B15" s="17" t="s">
        <v>95</v>
      </c>
      <c r="C15" s="44">
        <v>4000</v>
      </c>
      <c r="E15" s="40"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78</v>
      </c>
      <c r="L15" s="54">
        <v>43466</v>
      </c>
    </row>
    <row r="16" spans="2:12" x14ac:dyDescent="0.25">
      <c r="B16" s="19" t="s">
        <v>11</v>
      </c>
      <c r="C16" s="45">
        <v>10000</v>
      </c>
      <c r="E16" s="41"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25">
      <c r="B17" s="19" t="s">
        <v>12</v>
      </c>
      <c r="C17" s="45">
        <v>5000</v>
      </c>
      <c r="E17" s="41"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25">
      <c r="B18" s="19" t="s">
        <v>29</v>
      </c>
      <c r="C18" s="45">
        <v>5000</v>
      </c>
      <c r="E18" s="41"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99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v>8500</v>
      </c>
      <c r="E20" s="40"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  <c r="K20" s="6" t="s">
        <v>122</v>
      </c>
      <c r="L20" s="3">
        <v>0</v>
      </c>
    </row>
    <row r="21" spans="2:12" x14ac:dyDescent="0.25">
      <c r="B21" s="17" t="s">
        <v>15</v>
      </c>
      <c r="C21" s="44">
        <v>33000</v>
      </c>
      <c r="E21" s="40"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25">
      <c r="B22" s="19" t="s">
        <v>16</v>
      </c>
      <c r="C22" s="45">
        <v>35000</v>
      </c>
      <c r="E22" s="41"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25">
      <c r="B23" s="19" t="s">
        <v>17</v>
      </c>
      <c r="C23" s="45">
        <v>28000</v>
      </c>
      <c r="E23" s="41">
        <v>0.18</v>
      </c>
      <c r="F23" s="41">
        <f t="shared" si="2"/>
        <v>0.108</v>
      </c>
      <c r="G23" s="41">
        <f t="shared" si="2"/>
        <v>4.3199999999999995E-2</v>
      </c>
      <c r="H23" s="41">
        <f t="shared" si="2"/>
        <v>3.5999999999999997E-2</v>
      </c>
    </row>
    <row r="24" spans="2:12" x14ac:dyDescent="0.25">
      <c r="B24" s="19" t="s">
        <v>118</v>
      </c>
      <c r="C24" s="45">
        <v>28000</v>
      </c>
      <c r="E24" s="41">
        <v>0.18</v>
      </c>
      <c r="F24" s="41">
        <f t="shared" ref="F24:H26" si="3">$E24*F$4</f>
        <v>0.108</v>
      </c>
      <c r="G24" s="41">
        <f t="shared" si="3"/>
        <v>4.3199999999999995E-2</v>
      </c>
      <c r="H24" s="41">
        <f t="shared" si="3"/>
        <v>3.5999999999999997E-2</v>
      </c>
    </row>
    <row r="25" spans="2:12" x14ac:dyDescent="0.25">
      <c r="B25" s="19" t="s">
        <v>117</v>
      </c>
      <c r="C25" s="45">
        <v>20000</v>
      </c>
      <c r="E25" s="41">
        <v>0.14000000000000001</v>
      </c>
      <c r="F25" s="41">
        <f t="shared" si="3"/>
        <v>8.4000000000000005E-2</v>
      </c>
      <c r="G25" s="41">
        <f t="shared" si="3"/>
        <v>3.3600000000000005E-2</v>
      </c>
      <c r="H25" s="41">
        <f t="shared" si="3"/>
        <v>2.8000000000000004E-2</v>
      </c>
    </row>
    <row r="26" spans="2:12" x14ac:dyDescent="0.25">
      <c r="B26" s="81" t="s">
        <v>115</v>
      </c>
      <c r="C26" s="82">
        <v>6750</v>
      </c>
      <c r="E26" s="83">
        <v>0.42</v>
      </c>
      <c r="F26" s="83">
        <f t="shared" si="3"/>
        <v>0.252</v>
      </c>
      <c r="G26" s="83">
        <f t="shared" si="3"/>
        <v>0.10079999999999999</v>
      </c>
      <c r="H26" s="83">
        <f t="shared" si="3"/>
        <v>8.4000000000000005E-2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2018-07-25T14:43:38Z</dcterms:modified>
</cp:coreProperties>
</file>