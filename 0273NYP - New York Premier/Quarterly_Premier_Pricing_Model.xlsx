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1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2" i="1" l="1"/>
  <c r="G62" i="1"/>
  <c r="F62" i="1"/>
  <c r="E62" i="1"/>
  <c r="D62" i="1"/>
  <c r="H61" i="1"/>
  <c r="G61" i="1"/>
  <c r="F61" i="1"/>
  <c r="E61" i="1"/>
  <c r="D61" i="1"/>
  <c r="H36" i="1"/>
  <c r="G36" i="1"/>
  <c r="F36" i="1"/>
  <c r="E36" i="1"/>
  <c r="D36" i="1"/>
  <c r="H35" i="1"/>
  <c r="G35" i="1"/>
  <c r="F35" i="1"/>
  <c r="E35" i="1"/>
  <c r="D35" i="1"/>
  <c r="D34" i="1"/>
  <c r="D27" i="1"/>
  <c r="D29" i="1"/>
  <c r="D16" i="1"/>
  <c r="D15" i="1"/>
  <c r="D31" i="7" l="1"/>
  <c r="H75" i="1"/>
  <c r="G75" i="1"/>
  <c r="F75" i="1"/>
  <c r="E75" i="1"/>
  <c r="H74" i="1"/>
  <c r="G74" i="1"/>
  <c r="F74" i="1"/>
  <c r="E74" i="1"/>
  <c r="H73" i="1"/>
  <c r="G73" i="1"/>
  <c r="F73" i="1"/>
  <c r="E73" i="1"/>
  <c r="H60" i="1"/>
  <c r="G60" i="1"/>
  <c r="F60" i="1"/>
  <c r="E60" i="1"/>
  <c r="H59" i="1"/>
  <c r="G59" i="1"/>
  <c r="F59" i="1"/>
  <c r="E59" i="1"/>
  <c r="H58" i="1"/>
  <c r="G58" i="1"/>
  <c r="F58" i="1"/>
  <c r="E58" i="1"/>
  <c r="H57" i="1"/>
  <c r="G57" i="1"/>
  <c r="F57" i="1"/>
  <c r="E57" i="1"/>
  <c r="H56" i="1"/>
  <c r="G56" i="1"/>
  <c r="F56" i="1"/>
  <c r="E56" i="1"/>
  <c r="H55" i="1"/>
  <c r="G55" i="1"/>
  <c r="F55" i="1"/>
  <c r="E55" i="1"/>
  <c r="H53" i="1"/>
  <c r="G53" i="1"/>
  <c r="F53" i="1"/>
  <c r="E53" i="1"/>
  <c r="H34" i="1"/>
  <c r="G34" i="1"/>
  <c r="F34" i="1"/>
  <c r="E34" i="1"/>
  <c r="H33" i="1"/>
  <c r="G33" i="1"/>
  <c r="F33" i="1"/>
  <c r="E33" i="1"/>
  <c r="H32" i="1"/>
  <c r="G32" i="1"/>
  <c r="F32" i="1"/>
  <c r="E32" i="1"/>
  <c r="H31" i="1"/>
  <c r="G31" i="1"/>
  <c r="F31" i="1"/>
  <c r="E31" i="1"/>
  <c r="H30" i="1"/>
  <c r="G30" i="1"/>
  <c r="F30" i="1"/>
  <c r="E30" i="1"/>
  <c r="H29" i="1"/>
  <c r="G29" i="1"/>
  <c r="F29" i="1"/>
  <c r="E29" i="1"/>
  <c r="H27" i="1"/>
  <c r="G27" i="1"/>
  <c r="F27" i="1"/>
  <c r="E27" i="1"/>
  <c r="D23" i="7" s="1"/>
  <c r="K23" i="7" s="1"/>
  <c r="H11" i="1"/>
  <c r="G11" i="1"/>
  <c r="F11" i="1"/>
  <c r="E11" i="1"/>
  <c r="E10" i="1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D11" i="1" s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7" i="3"/>
  <c r="G7" i="3"/>
  <c r="F7" i="3"/>
  <c r="H6" i="3"/>
  <c r="G6" i="3"/>
  <c r="F6" i="3"/>
  <c r="D60" i="1" l="1"/>
  <c r="D56" i="1"/>
  <c r="D58" i="1"/>
  <c r="D57" i="1"/>
  <c r="D59" i="1"/>
  <c r="D55" i="1"/>
  <c r="F10" i="1"/>
  <c r="G10" i="1"/>
  <c r="H10" i="1"/>
  <c r="D10" i="1"/>
  <c r="D33" i="1" s="1"/>
  <c r="D53" i="1" l="1"/>
  <c r="D31" i="1"/>
  <c r="D30" i="1"/>
  <c r="D74" i="1"/>
  <c r="D75" i="1"/>
  <c r="D73" i="1"/>
  <c r="D85" i="1" s="1"/>
  <c r="D32" i="1"/>
  <c r="G50" i="7"/>
  <c r="D97" i="1"/>
  <c r="D28" i="5" s="1"/>
  <c r="D50" i="7" l="1"/>
  <c r="H26" i="7"/>
  <c r="G26" i="7"/>
  <c r="I26" i="7" s="1"/>
  <c r="M50" i="7" l="1"/>
  <c r="K50" i="7"/>
  <c r="N50" i="7"/>
  <c r="L50" i="7"/>
  <c r="F26" i="7"/>
  <c r="H8" i="7" l="1"/>
  <c r="H9" i="7"/>
  <c r="H10" i="7"/>
  <c r="H12" i="7"/>
  <c r="H13" i="7"/>
  <c r="H15" i="7"/>
  <c r="H16" i="7"/>
  <c r="H17" i="7"/>
  <c r="H18" i="7"/>
  <c r="I60" i="7" l="1"/>
  <c r="I63" i="7"/>
  <c r="H60" i="7"/>
  <c r="G44" i="7"/>
  <c r="G43" i="7"/>
  <c r="G42" i="7"/>
  <c r="H43" i="7"/>
  <c r="H36" i="7"/>
  <c r="H33" i="7"/>
  <c r="H32" i="7"/>
  <c r="H31" i="7"/>
  <c r="H30" i="7"/>
  <c r="H28" i="7"/>
  <c r="H27" i="7"/>
  <c r="H25" i="7"/>
  <c r="H24" i="7"/>
  <c r="H23" i="7"/>
  <c r="I33" i="7"/>
  <c r="I32" i="7"/>
  <c r="I31" i="7"/>
  <c r="I30" i="7"/>
  <c r="I29" i="7"/>
  <c r="I28" i="7"/>
  <c r="I27" i="7"/>
  <c r="I25" i="7"/>
  <c r="I24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" i="1" l="1"/>
  <c r="G4" i="1"/>
  <c r="F4" i="1"/>
  <c r="E4" i="1"/>
  <c r="D4" i="1"/>
  <c r="H66" i="1" l="1"/>
  <c r="G66" i="1"/>
  <c r="F66" i="1"/>
  <c r="E66" i="1"/>
  <c r="D66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N42" i="7" s="1"/>
  <c r="G33" i="7"/>
  <c r="G32" i="7"/>
  <c r="G31" i="7"/>
  <c r="G30" i="7"/>
  <c r="G29" i="7"/>
  <c r="H29" i="7" s="1"/>
  <c r="G28" i="7"/>
  <c r="G27" i="7"/>
  <c r="G25" i="7"/>
  <c r="G24" i="7"/>
  <c r="G23" i="7"/>
  <c r="D24" i="7"/>
  <c r="N24" i="7" s="1"/>
  <c r="D33" i="7"/>
  <c r="N33" i="7" s="1"/>
  <c r="D5" i="8" l="1"/>
  <c r="D6" i="8" s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30" i="7"/>
  <c r="L42" i="7"/>
  <c r="F28" i="7"/>
  <c r="F25" i="7"/>
  <c r="F29" i="7"/>
  <c r="F33" i="7"/>
  <c r="K33" i="7" s="1"/>
  <c r="L24" i="7"/>
  <c r="L33" i="7"/>
  <c r="H63" i="7"/>
  <c r="G63" i="7"/>
  <c r="F63" i="7"/>
  <c r="G60" i="7"/>
  <c r="F60" i="7"/>
  <c r="H50" i="1"/>
  <c r="H17" i="5" s="1"/>
  <c r="G50" i="1"/>
  <c r="G17" i="5" s="1"/>
  <c r="F50" i="1"/>
  <c r="F17" i="5" s="1"/>
  <c r="E50" i="1"/>
  <c r="E17" i="5" s="1"/>
  <c r="D50" i="1"/>
  <c r="D17" i="5" s="1"/>
  <c r="H49" i="1"/>
  <c r="G49" i="1"/>
  <c r="F49" i="1"/>
  <c r="E49" i="1"/>
  <c r="D49" i="1"/>
  <c r="H48" i="1"/>
  <c r="G48" i="1"/>
  <c r="F48" i="1"/>
  <c r="E48" i="1"/>
  <c r="D48" i="1"/>
  <c r="H47" i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24" i="1"/>
  <c r="G24" i="1"/>
  <c r="F24" i="1"/>
  <c r="E24" i="1"/>
  <c r="D24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H41" i="1"/>
  <c r="H8" i="5" s="1"/>
  <c r="G41" i="1"/>
  <c r="G8" i="5" s="1"/>
  <c r="F41" i="1"/>
  <c r="F8" i="5" s="1"/>
  <c r="E41" i="1"/>
  <c r="E8" i="5" s="1"/>
  <c r="H40" i="1"/>
  <c r="G40" i="1"/>
  <c r="F40" i="1"/>
  <c r="E40" i="1"/>
  <c r="D41" i="1"/>
  <c r="D8" i="5" s="1"/>
  <c r="D40" i="1"/>
  <c r="I6" i="8" l="1"/>
  <c r="J6" i="8"/>
  <c r="H6" i="8"/>
  <c r="K6" i="8"/>
  <c r="K5" i="8"/>
  <c r="J5" i="8"/>
  <c r="I5" i="8"/>
  <c r="H5" i="8"/>
  <c r="D7" i="8"/>
  <c r="D18" i="7"/>
  <c r="D14" i="7"/>
  <c r="N14" i="7" s="1"/>
  <c r="D11" i="7"/>
  <c r="N11" i="7" s="1"/>
  <c r="D15" i="7"/>
  <c r="N15" i="7" s="1"/>
  <c r="D10" i="7"/>
  <c r="N10" i="7" s="1"/>
  <c r="D12" i="7"/>
  <c r="N12" i="7" s="1"/>
  <c r="D16" i="7"/>
  <c r="N16" i="7" s="1"/>
  <c r="D13" i="7"/>
  <c r="N13" i="7" s="1"/>
  <c r="D17" i="7"/>
  <c r="N17" i="7" s="1"/>
  <c r="H67" i="1"/>
  <c r="G67" i="1"/>
  <c r="F67" i="1"/>
  <c r="F79" i="1" s="1"/>
  <c r="E67" i="1"/>
  <c r="D67" i="1"/>
  <c r="D79" i="1" s="1"/>
  <c r="D68" i="1"/>
  <c r="E68" i="1"/>
  <c r="F68" i="1"/>
  <c r="G68" i="1"/>
  <c r="H68" i="1"/>
  <c r="L18" i="7" l="1"/>
  <c r="N18" i="7"/>
  <c r="I7" i="8"/>
  <c r="J7" i="8"/>
  <c r="K7" i="8"/>
  <c r="H7" i="8"/>
  <c r="D8" i="8"/>
  <c r="H80" i="1"/>
  <c r="G79" i="1"/>
  <c r="H79" i="1"/>
  <c r="G80" i="1"/>
  <c r="F80" i="1"/>
  <c r="D80" i="1"/>
  <c r="E79" i="1"/>
  <c r="E80" i="1"/>
  <c r="E20" i="5"/>
  <c r="F20" i="5"/>
  <c r="G20" i="5"/>
  <c r="J8" i="8" l="1"/>
  <c r="K8" i="8"/>
  <c r="I8" i="8"/>
  <c r="H8" i="8"/>
  <c r="F45" i="8"/>
  <c r="D37" i="7"/>
  <c r="N37" i="7" s="1"/>
  <c r="D9" i="8"/>
  <c r="D20" i="5"/>
  <c r="D38" i="7"/>
  <c r="N38" i="7" s="1"/>
  <c r="G78" i="1"/>
  <c r="F78" i="1"/>
  <c r="E78" i="1"/>
  <c r="D78" i="1"/>
  <c r="H4" i="5"/>
  <c r="F4" i="5"/>
  <c r="E4" i="5"/>
  <c r="D5" i="7" s="1"/>
  <c r="N5" i="7" s="1"/>
  <c r="D4" i="5"/>
  <c r="D4" i="7" s="1"/>
  <c r="H69" i="1"/>
  <c r="G69" i="1"/>
  <c r="F69" i="1"/>
  <c r="E69" i="1"/>
  <c r="D60" i="7"/>
  <c r="D69" i="1"/>
  <c r="H15" i="1"/>
  <c r="G15" i="1"/>
  <c r="F15" i="1"/>
  <c r="E15" i="1"/>
  <c r="H14" i="1"/>
  <c r="G14" i="1"/>
  <c r="F14" i="1"/>
  <c r="E14" i="1"/>
  <c r="D14" i="1"/>
  <c r="G4" i="5"/>
  <c r="N60" i="7" l="1"/>
  <c r="K60" i="7"/>
  <c r="N4" i="7"/>
  <c r="K4" i="7"/>
  <c r="M4" i="7"/>
  <c r="C33" i="5"/>
  <c r="E9" i="8"/>
  <c r="H9" i="8"/>
  <c r="K5" i="7"/>
  <c r="L5" i="7"/>
  <c r="M5" i="7"/>
  <c r="F46" i="8"/>
  <c r="D10" i="8"/>
  <c r="F81" i="1"/>
  <c r="D81" i="1"/>
  <c r="G81" i="1"/>
  <c r="O84" i="1"/>
  <c r="H20" i="5"/>
  <c r="H81" i="1"/>
  <c r="L72" i="1"/>
  <c r="K84" i="1"/>
  <c r="L84" i="1"/>
  <c r="M84" i="1"/>
  <c r="N84" i="1"/>
  <c r="L60" i="7"/>
  <c r="O72" i="1"/>
  <c r="N72" i="1"/>
  <c r="M72" i="1"/>
  <c r="K72" i="1"/>
  <c r="D8" i="7"/>
  <c r="N8" i="7" s="1"/>
  <c r="D9" i="7"/>
  <c r="N9" i="7" s="1"/>
  <c r="D16" i="5"/>
  <c r="D15" i="5"/>
  <c r="D14" i="5"/>
  <c r="D13" i="5"/>
  <c r="D12" i="5"/>
  <c r="D11" i="5"/>
  <c r="D10" i="5"/>
  <c r="D9" i="5"/>
  <c r="F16" i="5"/>
  <c r="F15" i="5"/>
  <c r="F14" i="5"/>
  <c r="F13" i="5"/>
  <c r="F12" i="5"/>
  <c r="F11" i="5"/>
  <c r="F10" i="5"/>
  <c r="F9" i="5"/>
  <c r="H14" i="5"/>
  <c r="H11" i="5"/>
  <c r="H15" i="5"/>
  <c r="H12" i="5"/>
  <c r="H9" i="5"/>
  <c r="H16" i="5"/>
  <c r="H13" i="5"/>
  <c r="H10" i="5"/>
  <c r="G16" i="5"/>
  <c r="G15" i="5"/>
  <c r="G14" i="5"/>
  <c r="G13" i="5"/>
  <c r="G12" i="5"/>
  <c r="G11" i="5"/>
  <c r="G10" i="5"/>
  <c r="G9" i="5"/>
  <c r="E81" i="1"/>
  <c r="M60" i="7"/>
  <c r="E16" i="5"/>
  <c r="E7" i="5"/>
  <c r="E11" i="5"/>
  <c r="E14" i="5"/>
  <c r="E9" i="5"/>
  <c r="E12" i="5"/>
  <c r="E15" i="5"/>
  <c r="E13" i="5"/>
  <c r="E10" i="5"/>
  <c r="H78" i="1"/>
  <c r="D36" i="7" s="1"/>
  <c r="E21" i="5"/>
  <c r="E22" i="5"/>
  <c r="H21" i="5"/>
  <c r="D23" i="5"/>
  <c r="E87" i="1"/>
  <c r="F87" i="1"/>
  <c r="G87" i="1"/>
  <c r="H87" i="1"/>
  <c r="D62" i="7" l="1"/>
  <c r="K36" i="7"/>
  <c r="M36" i="7"/>
  <c r="N36" i="7"/>
  <c r="I9" i="8"/>
  <c r="E10" i="8"/>
  <c r="F9" i="8"/>
  <c r="K10" i="8"/>
  <c r="I10" i="8"/>
  <c r="J10" i="8"/>
  <c r="H10" i="8"/>
  <c r="K8" i="7"/>
  <c r="L8" i="7"/>
  <c r="D39" i="7"/>
  <c r="N39" i="7" s="1"/>
  <c r="F47" i="8"/>
  <c r="L4" i="7"/>
  <c r="J9" i="8" s="1"/>
  <c r="D11" i="8"/>
  <c r="G7" i="5"/>
  <c r="H23" i="5"/>
  <c r="G23" i="5"/>
  <c r="F85" i="1"/>
  <c r="F21" i="5"/>
  <c r="G85" i="1"/>
  <c r="G21" i="5"/>
  <c r="F23" i="5"/>
  <c r="H7" i="5"/>
  <c r="G86" i="1"/>
  <c r="G22" i="5"/>
  <c r="H86" i="1"/>
  <c r="H22" i="5"/>
  <c r="D86" i="1"/>
  <c r="D22" i="5"/>
  <c r="F86" i="1"/>
  <c r="F22" i="5"/>
  <c r="F7" i="5"/>
  <c r="D7" i="5"/>
  <c r="E23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85" i="1"/>
  <c r="E86" i="1"/>
  <c r="E85" i="1"/>
  <c r="D61" i="7"/>
  <c r="D63" i="7"/>
  <c r="N63" i="7" s="1"/>
  <c r="D87" i="1"/>
  <c r="D45" i="7" s="1"/>
  <c r="N45" i="7" s="1"/>
  <c r="D21" i="5"/>
  <c r="L36" i="7"/>
  <c r="L9" i="7"/>
  <c r="M9" i="7"/>
  <c r="K9" i="7"/>
  <c r="K9" i="8"/>
  <c r="K69" i="1"/>
  <c r="K66" i="1"/>
  <c r="K67" i="1"/>
  <c r="K68" i="1"/>
  <c r="O69" i="1"/>
  <c r="O68" i="1"/>
  <c r="O66" i="1"/>
  <c r="O67" i="1"/>
  <c r="N68" i="1"/>
  <c r="N69" i="1"/>
  <c r="N66" i="1"/>
  <c r="N67" i="1"/>
  <c r="M68" i="1"/>
  <c r="M69" i="1"/>
  <c r="M67" i="1"/>
  <c r="M66" i="1"/>
  <c r="L68" i="1"/>
  <c r="L67" i="1"/>
  <c r="L69" i="1"/>
  <c r="L66" i="1"/>
  <c r="E91" i="1" l="1"/>
  <c r="D91" i="1"/>
  <c r="F91" i="1"/>
  <c r="H91" i="1"/>
  <c r="G91" i="1"/>
  <c r="M23" i="7"/>
  <c r="N23" i="7"/>
  <c r="I11" i="8"/>
  <c r="J11" i="8"/>
  <c r="K11" i="8"/>
  <c r="H11" i="8"/>
  <c r="E11" i="8"/>
  <c r="F10" i="8"/>
  <c r="F48" i="8"/>
  <c r="D12" i="8"/>
  <c r="K45" i="7"/>
  <c r="M45" i="7"/>
  <c r="L45" i="7"/>
  <c r="D43" i="7"/>
  <c r="D44" i="7"/>
  <c r="N44" i="7" s="1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3" i="7"/>
  <c r="M63" i="7"/>
  <c r="L63" i="7"/>
  <c r="D90" i="1"/>
  <c r="D93" i="1" s="1"/>
  <c r="M18" i="7"/>
  <c r="K18" i="7"/>
  <c r="E90" i="1"/>
  <c r="F90" i="1"/>
  <c r="G90" i="1"/>
  <c r="H90" i="1"/>
  <c r="E93" i="1" l="1"/>
  <c r="K43" i="7"/>
  <c r="N43" i="7"/>
  <c r="I12" i="8"/>
  <c r="J12" i="8"/>
  <c r="K12" i="8"/>
  <c r="H12" i="8"/>
  <c r="E12" i="8"/>
  <c r="F11" i="8"/>
  <c r="F49" i="8"/>
  <c r="D13" i="8"/>
  <c r="L43" i="7"/>
  <c r="M43" i="7"/>
  <c r="G93" i="1"/>
  <c r="H93" i="1"/>
  <c r="F93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1" i="7" l="1"/>
  <c r="M61" i="7" s="1"/>
  <c r="I61" i="7"/>
  <c r="N61" i="7" s="1"/>
  <c r="H62" i="7"/>
  <c r="M62" i="7" s="1"/>
  <c r="I62" i="7"/>
  <c r="N62" i="7" s="1"/>
  <c r="E13" i="8"/>
  <c r="F12" i="8"/>
  <c r="J13" i="8"/>
  <c r="K13" i="8"/>
  <c r="I13" i="8"/>
  <c r="H13" i="8"/>
  <c r="F50" i="8"/>
  <c r="D14" i="8"/>
  <c r="F61" i="7"/>
  <c r="K61" i="7" s="1"/>
  <c r="G62" i="7"/>
  <c r="L62" i="7" s="1"/>
  <c r="F62" i="7"/>
  <c r="K62" i="7" s="1"/>
  <c r="G61" i="7"/>
  <c r="L61" i="7" s="1"/>
  <c r="D48" i="7"/>
  <c r="D102" i="1"/>
  <c r="D104" i="1" s="1"/>
  <c r="F102" i="1"/>
  <c r="F104" i="1" s="1"/>
  <c r="G102" i="1"/>
  <c r="H102" i="1"/>
  <c r="E102" i="1"/>
  <c r="I48" i="7" l="1"/>
  <c r="N48" i="7" s="1"/>
  <c r="H48" i="7"/>
  <c r="M48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104" i="1"/>
  <c r="H104" i="1"/>
  <c r="G104" i="1"/>
  <c r="H49" i="7" l="1"/>
  <c r="F49" i="7"/>
  <c r="G49" i="7"/>
  <c r="I15" i="8"/>
  <c r="J15" i="8"/>
  <c r="H15" i="8"/>
  <c r="K15" i="8"/>
  <c r="E15" i="8"/>
  <c r="F14" i="8"/>
  <c r="F52" i="8"/>
  <c r="D16" i="8"/>
  <c r="F105" i="1"/>
  <c r="G105" i="1"/>
  <c r="H105" i="1"/>
  <c r="E105" i="1"/>
  <c r="D105" i="1"/>
  <c r="I49" i="7" l="1"/>
  <c r="I16" i="8"/>
  <c r="J16" i="8"/>
  <c r="K16" i="8"/>
  <c r="H16" i="8"/>
  <c r="E16" i="8"/>
  <c r="F15" i="8"/>
  <c r="F53" i="8"/>
  <c r="D17" i="8"/>
  <c r="E108" i="1"/>
  <c r="E111" i="1"/>
  <c r="H95" i="1" s="1"/>
  <c r="E109" i="1"/>
  <c r="E110" i="1"/>
  <c r="J17" i="8" l="1"/>
  <c r="K17" i="8"/>
  <c r="I17" i="8"/>
  <c r="H17" i="8"/>
  <c r="E17" i="8"/>
  <c r="F16" i="8"/>
  <c r="F54" i="8"/>
  <c r="D18" i="8"/>
  <c r="E95" i="1"/>
  <c r="E27" i="5" s="1"/>
  <c r="E30" i="5" s="1"/>
  <c r="E35" i="5" s="1"/>
  <c r="F95" i="1"/>
  <c r="F27" i="5" s="1"/>
  <c r="F30" i="5" s="1"/>
  <c r="F35" i="5" s="1"/>
  <c r="D95" i="1"/>
  <c r="D27" i="5" s="1"/>
  <c r="G95" i="1"/>
  <c r="H27" i="5"/>
  <c r="H30" i="5" s="1"/>
  <c r="H35" i="5" s="1"/>
  <c r="H99" i="1"/>
  <c r="D30" i="5" l="1"/>
  <c r="D35" i="5" s="1"/>
  <c r="K18" i="8"/>
  <c r="I18" i="8"/>
  <c r="H18" i="8"/>
  <c r="J18" i="8"/>
  <c r="E18" i="8"/>
  <c r="F17" i="8"/>
  <c r="F55" i="8"/>
  <c r="D19" i="8"/>
  <c r="E99" i="1"/>
  <c r="F99" i="1"/>
  <c r="D99" i="1"/>
  <c r="G27" i="5"/>
  <c r="D49" i="7" s="1"/>
  <c r="N49" i="7" s="1"/>
  <c r="N52" i="7" s="1"/>
  <c r="G99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49" i="7"/>
  <c r="K52" i="7" s="1"/>
  <c r="L49" i="7"/>
  <c r="L52" i="7" s="1"/>
  <c r="M49" i="7"/>
  <c r="M52" i="7" s="1"/>
  <c r="G30" i="5"/>
  <c r="G35" i="5" s="1"/>
  <c r="C40" i="5" s="1"/>
  <c r="D53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D52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5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J47" i="8"/>
  <c r="U47" i="8" s="1"/>
  <c r="H47" i="8"/>
  <c r="S47" i="8" s="1"/>
  <c r="K47" i="8"/>
  <c r="V47" i="8" s="1"/>
  <c r="D48" i="8"/>
  <c r="T47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J50" i="8"/>
  <c r="U50" i="8" s="1"/>
  <c r="D51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I53" i="8"/>
  <c r="H53" i="8"/>
  <c r="S53" i="8" s="1"/>
  <c r="D54" i="8"/>
  <c r="V53" i="8"/>
  <c r="T53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J59" i="8"/>
  <c r="U59" i="8" s="1"/>
  <c r="K59" i="8"/>
  <c r="V59" i="8" s="1"/>
  <c r="D60" i="8"/>
  <c r="T59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V65" i="8" s="1"/>
  <c r="I65" i="8"/>
  <c r="T65" i="8" s="1"/>
  <c r="H65" i="8"/>
  <c r="S65" i="8" s="1"/>
  <c r="D66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U71" i="8" s="1"/>
  <c r="K71" i="8"/>
  <c r="V71" i="8" s="1"/>
  <c r="D72" i="8"/>
  <c r="S71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I83" i="8"/>
  <c r="J83" i="8"/>
  <c r="K83" i="8"/>
  <c r="V83" i="8" s="1"/>
  <c r="D84" i="8"/>
  <c r="S83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I86" i="8"/>
  <c r="J86" i="8"/>
  <c r="U86" i="8" s="1"/>
  <c r="D87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K89" i="8"/>
  <c r="I89" i="8"/>
  <c r="H89" i="8"/>
  <c r="S89" i="8" s="1"/>
  <c r="D90" i="8"/>
  <c r="U89" i="8"/>
  <c r="T89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9" i="5" s="1"/>
  <c r="D93" i="8"/>
  <c r="U92" i="8"/>
  <c r="L55" i="7" s="1"/>
  <c r="T92" i="8"/>
  <c r="K55" i="7" s="1"/>
  <c r="V92" i="8"/>
  <c r="M55" i="7" s="1"/>
  <c r="J93" i="8" l="1"/>
  <c r="K93" i="8"/>
  <c r="H93" i="8"/>
  <c r="I93" i="8"/>
  <c r="D55" i="7"/>
  <c r="D94" i="8"/>
  <c r="M56" i="7" l="1"/>
  <c r="N56" i="7"/>
  <c r="K94" i="8"/>
  <c r="H94" i="8"/>
  <c r="I94" i="8"/>
  <c r="J94" i="8"/>
  <c r="K56" i="7"/>
  <c r="L56" i="7"/>
</calcChain>
</file>

<file path=xl/sharedStrings.xml><?xml version="1.0" encoding="utf-8"?>
<sst xmlns="http://schemas.openxmlformats.org/spreadsheetml/2006/main" count="295" uniqueCount="118">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</sst>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7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15" sqref="D15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79</v>
      </c>
      <c r="C1" s="76">
        <v>43101</v>
      </c>
    </row>
    <row r="2" spans="2:12" x14ac:dyDescent="0.25">
      <c r="B2" s="72" t="s">
        <v>93</v>
      </c>
      <c r="C2" s="77">
        <v>36</v>
      </c>
    </row>
    <row r="3" spans="2:12" x14ac:dyDescent="0.25">
      <c r="B3" s="73"/>
      <c r="C3" s="78"/>
      <c r="D3" s="13" t="s">
        <v>20</v>
      </c>
      <c r="E3" s="13" t="s">
        <v>21</v>
      </c>
      <c r="F3" s="13" t="s">
        <v>22</v>
      </c>
      <c r="G3" s="13" t="s">
        <v>23</v>
      </c>
      <c r="H3" s="14" t="s">
        <v>24</v>
      </c>
    </row>
    <row r="4" spans="2:12" ht="18" customHeight="1" x14ac:dyDescent="0.25">
      <c r="B4" s="74" t="s">
        <v>6</v>
      </c>
      <c r="D4" s="56" t="s">
        <v>42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101</v>
      </c>
      <c r="D5" s="56" t="s">
        <v>42</v>
      </c>
      <c r="E5" s="56"/>
      <c r="F5" s="56"/>
      <c r="G5" s="56"/>
      <c r="H5" s="57"/>
      <c r="L5" t="s">
        <v>42</v>
      </c>
    </row>
    <row r="6" spans="2:12" ht="18" customHeight="1" x14ac:dyDescent="0.25">
      <c r="B6" s="74" t="s">
        <v>7</v>
      </c>
      <c r="D6" s="56" t="s">
        <v>42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250000</v>
      </c>
      <c r="E7" s="56"/>
      <c r="F7" s="56"/>
      <c r="G7" s="56"/>
      <c r="H7" s="57"/>
    </row>
    <row r="8" spans="2:12" ht="18" customHeight="1" x14ac:dyDescent="0.25">
      <c r="B8" s="74" t="s">
        <v>8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9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10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31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11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12</v>
      </c>
      <c r="D13" s="56" t="s">
        <v>42</v>
      </c>
      <c r="E13" s="56"/>
      <c r="F13" s="56"/>
      <c r="G13" s="56"/>
      <c r="H13" s="57"/>
    </row>
    <row r="14" spans="2:12" ht="18" customHeight="1" x14ac:dyDescent="0.25">
      <c r="B14" s="74" t="s">
        <v>98</v>
      </c>
      <c r="D14" s="56" t="s">
        <v>42</v>
      </c>
      <c r="E14" s="56"/>
      <c r="F14" s="56"/>
      <c r="G14" s="56"/>
      <c r="H14" s="57"/>
    </row>
    <row r="15" spans="2:12" ht="18" customHeight="1" x14ac:dyDescent="0.25">
      <c r="B15" s="74" t="s">
        <v>13</v>
      </c>
      <c r="D15" s="56" t="s">
        <v>42</v>
      </c>
      <c r="E15" s="56"/>
      <c r="F15" s="56"/>
      <c r="G15" s="56"/>
      <c r="H15" s="57"/>
    </row>
    <row r="16" spans="2:12" ht="18" customHeight="1" x14ac:dyDescent="0.25">
      <c r="B16" s="74" t="s">
        <v>14</v>
      </c>
      <c r="D16" s="56" t="s">
        <v>42</v>
      </c>
      <c r="E16" s="56"/>
      <c r="F16" s="56"/>
      <c r="G16" s="56"/>
      <c r="H16" s="57"/>
    </row>
    <row r="17" spans="2:8" ht="18" customHeight="1" x14ac:dyDescent="0.25">
      <c r="B17" s="74" t="s">
        <v>15</v>
      </c>
      <c r="D17" s="56" t="s">
        <v>42</v>
      </c>
      <c r="E17" s="56"/>
      <c r="F17" s="56"/>
      <c r="G17" s="56"/>
      <c r="H17" s="57"/>
    </row>
    <row r="18" spans="2:8" ht="18" customHeight="1" x14ac:dyDescent="0.25">
      <c r="B18" s="74" t="s">
        <v>16</v>
      </c>
      <c r="D18" s="56" t="s">
        <v>42</v>
      </c>
      <c r="E18" s="56"/>
      <c r="F18" s="56"/>
      <c r="G18" s="56"/>
      <c r="H18" s="57"/>
    </row>
    <row r="19" spans="2:8" ht="18" customHeight="1" x14ac:dyDescent="0.25">
      <c r="B19" s="74" t="s">
        <v>17</v>
      </c>
      <c r="D19" s="56" t="s">
        <v>4</v>
      </c>
      <c r="E19" s="56"/>
      <c r="F19" s="56"/>
      <c r="G19" s="56"/>
      <c r="H19" s="57"/>
    </row>
    <row r="20" spans="2:8" ht="18" customHeight="1" x14ac:dyDescent="0.25">
      <c r="B20" s="74" t="s">
        <v>18</v>
      </c>
      <c r="D20" s="56" t="s">
        <v>42</v>
      </c>
      <c r="E20" s="56"/>
      <c r="F20" s="56"/>
      <c r="G20" s="56"/>
      <c r="H20" s="57"/>
    </row>
    <row r="21" spans="2:8" ht="18" customHeight="1" x14ac:dyDescent="0.25">
      <c r="B21" s="75" t="s">
        <v>19</v>
      </c>
      <c r="C21" s="71"/>
      <c r="D21" s="58" t="s">
        <v>42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J33" sqref="J3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32750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54</v>
      </c>
    </row>
    <row r="7" spans="2:21" x14ac:dyDescent="0.25">
      <c r="C7" s="15" t="s">
        <v>2</v>
      </c>
      <c r="D7" s="16">
        <f>SUM(Calcs!D40, Calcs!D53)</f>
        <v>54570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SUM(Calcs!D41, Calcs!D54)</f>
        <v>6750</v>
      </c>
      <c r="E8" s="16">
        <f>SUM(Calcs!E41, Calcs!E54)</f>
        <v>0</v>
      </c>
      <c r="F8" s="16">
        <f>SUM(Calcs!F41, Calcs!F54)</f>
        <v>0</v>
      </c>
      <c r="G8" s="16">
        <f>SUM(Calcs!G41, Calcs!G54)</f>
        <v>0</v>
      </c>
      <c r="H8" s="16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30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10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31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11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12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98</v>
      </c>
      <c r="D14" s="18">
        <f>SUM(Calcs!D47, Calcs!D60)</f>
        <v>0</v>
      </c>
      <c r="E14" s="18">
        <f>SUM(Calcs!E47, Calcs!E60)</f>
        <v>0</v>
      </c>
      <c r="F14" s="18">
        <f>SUM(Calcs!F47, Calcs!F60)</f>
        <v>0</v>
      </c>
      <c r="G14" s="18">
        <f>SUM(Calcs!G47, Calcs!G60)</f>
        <v>0</v>
      </c>
      <c r="H14" s="18">
        <f>SUM(Calcs!H47, Calcs!H60)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13</v>
      </c>
      <c r="D15" s="20">
        <f>SUM(Calcs!D48, Calcs!D61)</f>
        <v>0</v>
      </c>
      <c r="E15" s="20">
        <f>SUM(Calcs!E48, Calcs!E61)</f>
        <v>0</v>
      </c>
      <c r="F15" s="20">
        <f>SUM(Calcs!F48, Calcs!F61)</f>
        <v>0</v>
      </c>
      <c r="G15" s="20">
        <f>SUM(Calcs!G48, Calcs!G61)</f>
        <v>0</v>
      </c>
      <c r="H15" s="20">
        <f>SUM(Calcs!H48, Calcs!H61)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14</v>
      </c>
      <c r="D16" s="20">
        <f>SUM(Calcs!D49, Calcs!D62)</f>
        <v>0</v>
      </c>
      <c r="E16" s="20">
        <f>SUM(Calcs!E49, Calcs!E62)</f>
        <v>0</v>
      </c>
      <c r="F16" s="20">
        <f>SUM(Calcs!F49, Calcs!F62)</f>
        <v>0</v>
      </c>
      <c r="G16" s="20">
        <f>SUM(Calcs!G49, Calcs!G62)</f>
        <v>0</v>
      </c>
      <c r="H16" s="20">
        <f>SUM(Calcs!H49, Calcs!H62)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32</v>
      </c>
      <c r="D17" s="20">
        <f>SUM(Calcs!D50, Calcs!D63)</f>
        <v>0</v>
      </c>
      <c r="E17" s="20">
        <f>SUM(Calcs!E50, Calcs!E63)</f>
        <v>0</v>
      </c>
      <c r="F17" s="20">
        <f>SUM(Calcs!F50, Calcs!F63)</f>
        <v>0</v>
      </c>
      <c r="G17" s="20">
        <f>SUM(Calcs!G50, Calcs!G63)</f>
        <v>0</v>
      </c>
      <c r="H17" s="20">
        <f>SUM(Calcs!H50, Calcs!H63)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55</v>
      </c>
    </row>
    <row r="20" spans="2:21" x14ac:dyDescent="0.25">
      <c r="C20" t="s">
        <v>16</v>
      </c>
      <c r="D20" s="1">
        <f>SUM(Calcs!D66, Calcs!D72)</f>
        <v>0</v>
      </c>
      <c r="E20" s="1">
        <f>SUM(Calcs!E66, Calcs!E72)</f>
        <v>0</v>
      </c>
      <c r="F20" s="1">
        <f>SUM(Calcs!F66, Calcs!F72)</f>
        <v>0</v>
      </c>
      <c r="G20" s="1">
        <f>SUM(Calcs!G66, Calcs!G72)</f>
        <v>0</v>
      </c>
      <c r="H20" s="1">
        <f>SUM(Calcs!H66,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17</v>
      </c>
      <c r="D21" s="1">
        <f>SUM(Calcs!D67, Calcs!D73)</f>
        <v>58480</v>
      </c>
      <c r="E21" s="1">
        <f>SUM(Calcs!E67, Calcs!E73)</f>
        <v>0</v>
      </c>
      <c r="F21" s="1">
        <f>SUM(Calcs!F67, Calcs!F73)</f>
        <v>0</v>
      </c>
      <c r="G21" s="1">
        <f>SUM(Calcs!G67, Calcs!G73)</f>
        <v>0</v>
      </c>
      <c r="H21" s="1">
        <f>SUM(Calcs!H67,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18</v>
      </c>
      <c r="D22" s="1">
        <f>SUM(Calcs!D68, Calcs!D74)</f>
        <v>0</v>
      </c>
      <c r="E22" s="1">
        <f>SUM(Calcs!E68, Calcs!E74)</f>
        <v>0</v>
      </c>
      <c r="F22" s="1">
        <f>SUM(Calcs!F68, Calcs!F74)</f>
        <v>0</v>
      </c>
      <c r="G22" s="1">
        <f>SUM(Calcs!G68, Calcs!G74)</f>
        <v>0</v>
      </c>
      <c r="H22" s="1">
        <f>SUM(Calcs!H68,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19</v>
      </c>
      <c r="D23" s="1">
        <f>SUM(Calcs!D69, Calcs!D75)</f>
        <v>0</v>
      </c>
      <c r="E23" s="1">
        <f>SUM(Calcs!E69, Calcs!E75)</f>
        <v>0</v>
      </c>
      <c r="F23" s="1">
        <f>SUM(Calcs!F69, Calcs!F75)</f>
        <v>0</v>
      </c>
      <c r="G23" s="1">
        <f>SUM(Calcs!G69, Calcs!G75)</f>
        <v>0</v>
      </c>
      <c r="H23" s="1">
        <f>SUM(Calcs!H69,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56</v>
      </c>
    </row>
    <row r="26" spans="2:21" x14ac:dyDescent="0.25">
      <c r="C26" t="s">
        <v>57</v>
      </c>
      <c r="D26" s="1">
        <f>SUM(Calcs!D90:D91)</f>
        <v>0</v>
      </c>
      <c r="E26" s="1">
        <f>SUM(Calcs!E90:E91)</f>
        <v>0</v>
      </c>
      <c r="F26" s="1">
        <f>SUM(Calcs!F90:F91)</f>
        <v>0</v>
      </c>
      <c r="G26" s="1">
        <f>SUM(Calcs!G90:G91)</f>
        <v>0</v>
      </c>
      <c r="H26" s="1">
        <f>SUM(Calcs!H90:H91)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50</v>
      </c>
      <c r="D27" s="1">
        <f>Calcs!D95</f>
        <v>0</v>
      </c>
      <c r="E27" s="1">
        <f>Calcs!E95</f>
        <v>0</v>
      </c>
      <c r="F27" s="1">
        <f>Calcs!F95</f>
        <v>0</v>
      </c>
      <c r="G27" s="1">
        <f>Calcs!G95</f>
        <v>0</v>
      </c>
      <c r="H27" s="1">
        <f>Calcs!H95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Calcs!D97</f>
        <v>0</v>
      </c>
      <c r="E28" s="1">
        <v>0</v>
      </c>
      <c r="F28" s="1">
        <v>0</v>
      </c>
      <c r="G28" s="1">
        <v>0</v>
      </c>
      <c r="H28" s="1"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58</v>
      </c>
      <c r="D30" s="7">
        <f>SUM(D7:D17, D20:D23, D26:D28)</f>
        <v>119800</v>
      </c>
      <c r="E30" s="7">
        <f t="shared" ref="E30:H30" si="0">SUM(E7:E17, E20:E23, E26:E27)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95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8">
        <f>INDEX(Outputs_Timeline!$D$3:$D$94,MATCH(Inputs!$C$1,Outputs_Timeline!$B$3:$B$94,0),1)</f>
        <v>1</v>
      </c>
    </row>
    <row r="35" spans="2:21" x14ac:dyDescent="0.25">
      <c r="B35" s="6" t="s">
        <v>94</v>
      </c>
      <c r="D35" s="7">
        <f>(D30/12*Inputs!$C$2+D4)*$C$33</f>
        <v>392150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91</v>
      </c>
    </row>
    <row r="39" spans="2:21" x14ac:dyDescent="0.25">
      <c r="C39" s="7">
        <f>SUM(Outputs_Timeline!S:S)</f>
        <v>392150</v>
      </c>
    </row>
    <row r="40" spans="2:21" x14ac:dyDescent="0.25">
      <c r="C40" s="53">
        <f>SUM(D35:H35)</f>
        <v>392150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15" activePane="bottomRight" state="frozen"/>
      <selection pane="topRight" activeCell="D1" sqref="D1"/>
      <selection pane="bottomLeft" activeCell="A3" sqref="A3"/>
      <selection pane="bottomRight" activeCell="D31" sqref="D31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78</v>
      </c>
      <c r="G1" s="51"/>
      <c r="H1" s="51"/>
      <c r="I1" s="51"/>
    </row>
    <row r="2" spans="2:14" x14ac:dyDescent="0.25">
      <c r="D2" s="9" t="s">
        <v>63</v>
      </c>
      <c r="F2" s="9" t="s">
        <v>59</v>
      </c>
      <c r="G2" s="9" t="s">
        <v>60</v>
      </c>
      <c r="H2" s="9" t="s">
        <v>100</v>
      </c>
      <c r="I2" s="9" t="s">
        <v>99</v>
      </c>
      <c r="J2" s="9"/>
      <c r="K2" s="9" t="s">
        <v>59</v>
      </c>
      <c r="L2" s="9" t="s">
        <v>60</v>
      </c>
      <c r="M2" s="9" t="s">
        <v>100</v>
      </c>
      <c r="N2" s="9" t="s">
        <v>99</v>
      </c>
    </row>
    <row r="3" spans="2:14" x14ac:dyDescent="0.25">
      <c r="B3" s="6" t="s">
        <v>0</v>
      </c>
    </row>
    <row r="4" spans="2:14" x14ac:dyDescent="0.25">
      <c r="C4" t="s">
        <v>96</v>
      </c>
      <c r="D4" s="1">
        <f>SUMIF(Inputs!$D$4:$H$4, "Y", Outputs_External!D4:'Outputs_External'!H4)</f>
        <v>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97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3275</v>
      </c>
      <c r="L5" s="12">
        <f t="shared" si="0"/>
        <v>29475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73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30000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12000</v>
      </c>
      <c r="L8" s="16">
        <f>G8*$D8</f>
        <v>18000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SUM(Calcs!D15:H15)</f>
        <v>6750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1350</v>
      </c>
      <c r="L9" s="16">
        <f t="shared" ref="L9:L17" si="4">G9*$D9</f>
        <v>5400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30</v>
      </c>
      <c r="D10" s="18">
        <f>SUM(Calcs!D16:H16)</f>
        <v>1000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100</v>
      </c>
      <c r="L10" s="18">
        <f t="shared" si="4"/>
        <v>900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10</v>
      </c>
      <c r="D11" s="18">
        <f>SUM(Calcs!D17:H17)</f>
        <v>4000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1800</v>
      </c>
      <c r="L11" s="18">
        <f t="shared" si="4"/>
        <v>1800</v>
      </c>
      <c r="M11" s="18">
        <f t="shared" si="2"/>
        <v>0</v>
      </c>
      <c r="N11" s="18">
        <f t="shared" si="2"/>
        <v>400</v>
      </c>
    </row>
    <row r="12" spans="2:14" x14ac:dyDescent="0.25">
      <c r="C12" s="17" t="s">
        <v>31</v>
      </c>
      <c r="D12" s="18">
        <f>SUM(Calcs!D18:H18)</f>
        <v>2000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1800</v>
      </c>
      <c r="L12" s="18">
        <f t="shared" si="4"/>
        <v>200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11</v>
      </c>
      <c r="D13" s="18">
        <f>SUM(Calcs!D19:H19)</f>
        <v>2000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200</v>
      </c>
      <c r="L13" s="18">
        <f t="shared" si="4"/>
        <v>1800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12</v>
      </c>
      <c r="D14" s="18">
        <f>SUM(Calcs!D20:H20)</f>
        <v>6000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600</v>
      </c>
      <c r="L14" s="18">
        <f t="shared" si="4"/>
        <v>600</v>
      </c>
      <c r="M14" s="18">
        <f t="shared" si="2"/>
        <v>4800</v>
      </c>
      <c r="N14" s="18">
        <f>I14*$D14</f>
        <v>0</v>
      </c>
    </row>
    <row r="15" spans="2:14" x14ac:dyDescent="0.25">
      <c r="C15" s="17" t="s">
        <v>98</v>
      </c>
      <c r="D15" s="18">
        <f>SUM(Calcs!D21:H21)</f>
        <v>4000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2400</v>
      </c>
      <c r="L15" s="18">
        <f t="shared" si="4"/>
        <v>1600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13</v>
      </c>
      <c r="D16" s="20">
        <f>SUM(Calcs!D22:H22)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14</v>
      </c>
      <c r="D17" s="20">
        <f>SUM(Calcs!D23:H23)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32</v>
      </c>
      <c r="D18" s="20">
        <f>SUM(Calcs!D24:H24)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75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74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SUM(Calcs!D27:H27)</f>
        <v>24570.000000000004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7371.0000000000018</v>
      </c>
      <c r="L23" s="16">
        <f t="shared" ref="L23:L33" si="6">G23*$D23</f>
        <v>17199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SUM(Calcs!D28:H28)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30</v>
      </c>
      <c r="D25" s="18">
        <f>SUM(Calcs!D29:H29)</f>
        <v>3640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3640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10</v>
      </c>
      <c r="D26" s="18">
        <f>SUM(Calcs!D30:H30)</f>
        <v>4550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9"/>
        <v>8.1818181818181804E-2</v>
      </c>
      <c r="K26" s="18">
        <f t="shared" si="10"/>
        <v>1675.2272727272723</v>
      </c>
      <c r="L26" s="18">
        <f t="shared" si="6"/>
        <v>2502.5</v>
      </c>
      <c r="M26" s="18">
        <f t="shared" si="11"/>
        <v>0</v>
      </c>
      <c r="N26" s="18">
        <f t="shared" si="11"/>
        <v>372.2727272727272</v>
      </c>
    </row>
    <row r="27" spans="2:14" x14ac:dyDescent="0.25">
      <c r="C27" s="17" t="s">
        <v>31</v>
      </c>
      <c r="D27" s="18">
        <f>SUM(Calcs!D31:H31)</f>
        <v>3640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2912</v>
      </c>
      <c r="L27" s="18">
        <f t="shared" si="6"/>
        <v>728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11</v>
      </c>
      <c r="D28" s="18">
        <f>SUM(Calcs!D32:H32)</f>
        <v>3640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3640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12</v>
      </c>
      <c r="D29" s="18">
        <f>SUM(Calcs!D33:H33)</f>
        <v>4550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404.44444444444451</v>
      </c>
      <c r="L29" s="18">
        <f t="shared" si="6"/>
        <v>910</v>
      </c>
      <c r="M29" s="18">
        <f t="shared" si="11"/>
        <v>3235.5555555555561</v>
      </c>
      <c r="N29" s="18">
        <f t="shared" si="11"/>
        <v>0</v>
      </c>
    </row>
    <row r="30" spans="2:14" x14ac:dyDescent="0.25">
      <c r="C30" s="17" t="s">
        <v>98</v>
      </c>
      <c r="D30" s="18">
        <f>SUM(Calcs!D34:H34)</f>
        <v>4550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2275</v>
      </c>
      <c r="L30" s="18">
        <f t="shared" si="6"/>
        <v>2275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13</v>
      </c>
      <c r="D31" s="20">
        <f>SUM(Calcs!D35:H35)</f>
        <v>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14</v>
      </c>
      <c r="D32" s="20">
        <f>SUM(Calcs!D36:H36)</f>
        <v>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32</v>
      </c>
      <c r="D33" s="29">
        <f>SUM(Calcs!D37:H37)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66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16</v>
      </c>
      <c r="D36" s="18">
        <f>SUM(Calcs!D78:H78)</f>
        <v>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17</v>
      </c>
      <c r="D37" s="18">
        <f>SUM(Calcs!D79:H79)</f>
        <v>14000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12600</v>
      </c>
      <c r="L37" s="18">
        <f t="shared" si="12"/>
        <v>1400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18</v>
      </c>
      <c r="D38" s="20">
        <f>SUM(Calcs!D80:H80)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19</v>
      </c>
      <c r="D39" s="20">
        <f>SUM(Calcs!D81:H81)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76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16</v>
      </c>
      <c r="D42" s="29">
        <f>SUM(Calcs!D84:H84)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17</v>
      </c>
      <c r="D43" s="18">
        <f>SUM(Calcs!D85:H85)</f>
        <v>910.00000000000364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728.00000000000296</v>
      </c>
      <c r="L43" s="18">
        <f t="shared" si="14"/>
        <v>182.00000000000074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18</v>
      </c>
      <c r="D44" s="20">
        <f>SUM(Calcs!D86:H86)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19</v>
      </c>
      <c r="D45" s="20">
        <f>SUM(Calcs!D87:H87)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56</v>
      </c>
      <c r="K47" s="9"/>
      <c r="L47" s="9"/>
      <c r="M47" s="9"/>
    </row>
    <row r="48" spans="2:14" x14ac:dyDescent="0.25">
      <c r="C48" t="s">
        <v>57</v>
      </c>
      <c r="D48" s="1">
        <f>SUM(Outputs_External!D26:'Outputs_External'!H26)</f>
        <v>0</v>
      </c>
      <c r="F48" s="8">
        <f>IFERROR(SUM(K60:K63)/SUM($K$60:$M$63), 0)</f>
        <v>0.4773246949119101</v>
      </c>
      <c r="G48" s="8">
        <f>IFERROR(SUM(L60:L63)/SUM($K$60:$M$63), 0)</f>
        <v>0.38501526878742515</v>
      </c>
      <c r="H48" s="8">
        <f>IFERROR(SUM(M60:M63)/SUM($K$60:$M$63), 0)</f>
        <v>0.13766003630066484</v>
      </c>
      <c r="I48" s="8">
        <f>IFERROR(SUM(N60:N63)/SUM($K$60:$M$63), 0)</f>
        <v>1.3230086076236084E-2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50</v>
      </c>
      <c r="D49" s="1">
        <f>SUM(Outputs_External!D27:'Outputs_External'!H27)</f>
        <v>0</v>
      </c>
      <c r="F49" s="3">
        <f>IFERROR(SUM(K8:K48)/SUM($K8:$N48), 0)</f>
        <v>0.40246804438373723</v>
      </c>
      <c r="G49" s="3">
        <f>IFERROR(SUM(L8:L48)/SUM($K8:$N48), 0)</f>
        <v>0.5240108514190317</v>
      </c>
      <c r="H49" s="3">
        <f>IFERROR(SUM(M8:M48)/SUM($K8:$N48), 0)</f>
        <v>6.7074754219996299E-2</v>
      </c>
      <c r="I49" s="3">
        <f>1-F49-G49-H49</f>
        <v>6.4463499772348248E-3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Outputs_External!D28</f>
        <v>0</v>
      </c>
      <c r="F50" s="3">
        <v>0.58085106382978724</v>
      </c>
      <c r="G50" s="3">
        <f>1-F50</f>
        <v>0.41914893617021276</v>
      </c>
      <c r="H50" s="3">
        <v>0</v>
      </c>
      <c r="I50" s="3">
        <v>0</v>
      </c>
      <c r="K50" s="12">
        <f>$D$50*F50</f>
        <v>0</v>
      </c>
      <c r="L50" s="12">
        <f t="shared" ref="L50:N50" si="18">$D$50*G50</f>
        <v>0</v>
      </c>
      <c r="M50" s="12">
        <f t="shared" si="18"/>
        <v>0</v>
      </c>
      <c r="N50" s="12">
        <f t="shared" si="18"/>
        <v>0</v>
      </c>
    </row>
    <row r="51" spans="2:14" x14ac:dyDescent="0.25">
      <c r="K51" s="9"/>
      <c r="L51" s="9"/>
      <c r="M51" s="9"/>
    </row>
    <row r="52" spans="2:14" x14ac:dyDescent="0.25">
      <c r="B52" s="6" t="s">
        <v>58</v>
      </c>
      <c r="D52" s="1">
        <f>SUM(Outputs_External!D30:'Outputs_External'!H30)</f>
        <v>119800</v>
      </c>
      <c r="K52" s="12">
        <f>SUM(K48:K50, K36:K39, K8:K18,K23:K33,K42:K45)</f>
        <v>48215.671717171717</v>
      </c>
      <c r="L52" s="12">
        <f>SUM(L48:L50, L36:L39, L8:L18,L23:L33,L42:L45)</f>
        <v>62776.5</v>
      </c>
      <c r="M52" s="12">
        <f t="shared" ref="M52:N52" si="19">SUM(M48:M50, M36:M39, M8:M18,M23:M33,M42:M45)</f>
        <v>8035.5555555555566</v>
      </c>
      <c r="N52" s="12">
        <f t="shared" si="19"/>
        <v>772.27272727272725</v>
      </c>
    </row>
    <row r="53" spans="2:14" x14ac:dyDescent="0.25">
      <c r="C53" s="21" t="s">
        <v>77</v>
      </c>
      <c r="D53" s="23">
        <f>SUM(K52:N52)</f>
        <v>119800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91</v>
      </c>
      <c r="D55" s="1">
        <f>SUM(Outputs_Timeline!S:S)</f>
        <v>392150</v>
      </c>
      <c r="K55" s="12">
        <f>SUM(Outputs_Timeline!T:T)</f>
        <v>147922.01515151517</v>
      </c>
      <c r="L55" s="12">
        <f>SUM(Outputs_Timeline!U:U)</f>
        <v>217804.5</v>
      </c>
      <c r="M55" s="12">
        <f>SUM(Outputs_Timeline!V:V)</f>
        <v>24106.666666666672</v>
      </c>
      <c r="N55" s="12">
        <f>SUM(Outputs_Timeline!W:W)</f>
        <v>2316.8181818181815</v>
      </c>
    </row>
    <row r="56" spans="2:14" x14ac:dyDescent="0.25">
      <c r="D56" s="1"/>
      <c r="K56" s="54">
        <f>IFERROR(K55/$D$55, 0)</f>
        <v>0.37720773977180966</v>
      </c>
      <c r="L56" s="54">
        <f>IFERROR(L55/$D$55, 0)</f>
        <v>0.55541119469590716</v>
      </c>
      <c r="M56" s="54">
        <f>IFERROR(M55/$D$55, 0)</f>
        <v>6.1473075778826144E-2</v>
      </c>
      <c r="N56" s="54">
        <f>IFERROR(N55/$D$55, 0)</f>
        <v>5.9079897534570483E-3</v>
      </c>
    </row>
    <row r="58" spans="2:14" x14ac:dyDescent="0.25">
      <c r="K58" s="9"/>
      <c r="L58" s="9"/>
      <c r="M58" s="9"/>
    </row>
    <row r="59" spans="2:14" x14ac:dyDescent="0.25">
      <c r="B59" s="27" t="s">
        <v>72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16</v>
      </c>
      <c r="D60" s="23">
        <f>SUM(Calcs!D66:H66)+SUM(Calcs!D72:H72)</f>
        <v>0</v>
      </c>
      <c r="E60" s="21"/>
      <c r="F60" s="24">
        <f>F36</f>
        <v>0.9</v>
      </c>
      <c r="G60" s="24">
        <f>G36</f>
        <v>0.1</v>
      </c>
      <c r="H60" s="24">
        <f>H36</f>
        <v>0</v>
      </c>
      <c r="I60" s="24">
        <f>I36</f>
        <v>0</v>
      </c>
      <c r="J60" s="21"/>
      <c r="K60" s="25">
        <f t="shared" ref="K60:N63" si="20">F60*$D60</f>
        <v>0</v>
      </c>
      <c r="L60" s="25">
        <f t="shared" si="20"/>
        <v>0</v>
      </c>
      <c r="M60" s="25">
        <f t="shared" si="20"/>
        <v>0</v>
      </c>
      <c r="N60" s="25">
        <f t="shared" si="20"/>
        <v>0</v>
      </c>
    </row>
    <row r="61" spans="2:14" x14ac:dyDescent="0.25">
      <c r="B61" s="27"/>
      <c r="C61" s="21" t="s">
        <v>17</v>
      </c>
      <c r="D61" s="23">
        <f>SUM(Calcs!D67:H67)+SUM(Calcs!D73:H73)</f>
        <v>58480</v>
      </c>
      <c r="E61" s="21"/>
      <c r="F61" s="24">
        <f>IFERROR(SUM(K$37,K$10:K$15,K$43,K$25:K$30)/SUM($K$37:$M$37,$K$10:$M$15,$K$43:$M$43,$K$25:$M$30),0)</f>
        <v>0.47644696848364237</v>
      </c>
      <c r="G61" s="24">
        <f t="shared" ref="G61" si="21">IFERROR(SUM(L$37,L$10:L$15,L$43,L$25:L$30)/SUM($K$37:$M$37,$K$10:$M$15,$K$43:$M$43,$K$25:$M$30),0)</f>
        <v>0.38430728514378887</v>
      </c>
      <c r="H61" s="24">
        <f>IFERROR(SUM(M$37,M$10:M$15,M$43,M$25:M$30)/SUM($K$37:$N$37,$K$10:$N$15,$K$43:$N$43,$K$25:$N$30),0)</f>
        <v>0.13740690074479406</v>
      </c>
      <c r="I61" s="24">
        <f>IFERROR(SUM(N$37,N$10:N$15,N$43,N$25:N$30)/SUM($K$37:$N$37,$K$10:$N$15,$K$43:$N$43,$K$25:$N$30),0)</f>
        <v>1.3205757990299714E-2</v>
      </c>
      <c r="J61" s="21"/>
      <c r="K61" s="25">
        <f t="shared" si="20"/>
        <v>27862.618716923407</v>
      </c>
      <c r="L61" s="25">
        <f t="shared" si="20"/>
        <v>22474.290035208774</v>
      </c>
      <c r="M61" s="25">
        <f t="shared" si="20"/>
        <v>8035.5555555555566</v>
      </c>
      <c r="N61" s="25">
        <f t="shared" si="20"/>
        <v>772.27272727272725</v>
      </c>
    </row>
    <row r="62" spans="2:14" x14ac:dyDescent="0.25">
      <c r="B62" s="27"/>
      <c r="C62" s="21" t="s">
        <v>18</v>
      </c>
      <c r="D62" s="23">
        <f>SUM(Calcs!D68:H68)+SUM(Calcs!D74:H74)</f>
        <v>0</v>
      </c>
      <c r="E62" s="21"/>
      <c r="F62" s="24">
        <f>IFERROR(SUM(K38,K16:K18,K44,K31:K33)/SUM($K$38:$M$38,$K$16:$M$18,$K$44:$M$44,$K$31:$M$33),0)</f>
        <v>0</v>
      </c>
      <c r="G62" s="24">
        <f>IFERROR(SUM(L38,L16:L18,L44,L31:L33)/SUM($K$38:$M$38,$K$16:$M$18,$K$44:$M$44,$K$31:$M$33),0)</f>
        <v>0</v>
      </c>
      <c r="H62" s="24">
        <f>IFERROR(SUM(M38,M16:M18,M44,M31:M33)/SUM($K$38:$N$38,$K$16:$N$18,$K$44:$N$44,$K$31:$N$33),0)</f>
        <v>0</v>
      </c>
      <c r="I62" s="24">
        <f>IFERROR(SUM(N38,N16:N18,N44,N31:N33)/SUM($K$38:$N$38,$K$16:$N$18,$K$44:$N$44,$K$31:$N$33),0)</f>
        <v>0</v>
      </c>
      <c r="J62" s="21"/>
      <c r="K62" s="25">
        <f t="shared" si="20"/>
        <v>0</v>
      </c>
      <c r="L62" s="25">
        <f t="shared" si="20"/>
        <v>0</v>
      </c>
      <c r="M62" s="25">
        <f t="shared" si="20"/>
        <v>0</v>
      </c>
      <c r="N62" s="25">
        <f t="shared" si="20"/>
        <v>0</v>
      </c>
    </row>
    <row r="63" spans="2:14" x14ac:dyDescent="0.25">
      <c r="B63" s="27"/>
      <c r="C63" s="21" t="s">
        <v>19</v>
      </c>
      <c r="D63" s="23">
        <f>SUM(Calcs!D69:H69)+SUM(Calcs!D75:H75)</f>
        <v>0</v>
      </c>
      <c r="E63" s="21"/>
      <c r="F63" s="24">
        <f>F39</f>
        <v>0.1</v>
      </c>
      <c r="G63" s="24">
        <f>G39</f>
        <v>0.9</v>
      </c>
      <c r="H63" s="24">
        <f>H39</f>
        <v>0</v>
      </c>
      <c r="I63" s="24">
        <f>I39</f>
        <v>0</v>
      </c>
      <c r="J63" s="21"/>
      <c r="K63" s="25">
        <f t="shared" si="20"/>
        <v>0</v>
      </c>
      <c r="L63" s="25">
        <f t="shared" si="20"/>
        <v>0</v>
      </c>
      <c r="M63" s="25">
        <f t="shared" si="20"/>
        <v>0</v>
      </c>
      <c r="N63" s="25">
        <f t="shared" si="20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83</v>
      </c>
      <c r="I1" s="65"/>
      <c r="J1" s="65"/>
      <c r="K1" s="65"/>
      <c r="M1" s="65" t="s">
        <v>88</v>
      </c>
      <c r="N1" s="65"/>
      <c r="O1" s="65"/>
      <c r="P1" s="65"/>
      <c r="Q1" s="65"/>
      <c r="S1" s="65" t="s">
        <v>90</v>
      </c>
      <c r="T1" s="65"/>
      <c r="U1" s="65"/>
      <c r="V1" s="65"/>
    </row>
    <row r="2" spans="2:23" x14ac:dyDescent="0.25">
      <c r="B2" s="63" t="s">
        <v>82</v>
      </c>
      <c r="C2" s="63"/>
      <c r="D2" s="63" t="s">
        <v>87</v>
      </c>
      <c r="E2" s="63" t="s">
        <v>92</v>
      </c>
      <c r="F2" s="63" t="s">
        <v>89</v>
      </c>
      <c r="G2" s="63"/>
      <c r="H2" s="66" t="s">
        <v>84</v>
      </c>
      <c r="I2" s="66" t="s">
        <v>85</v>
      </c>
      <c r="J2" s="66" t="s">
        <v>60</v>
      </c>
      <c r="K2" s="66" t="s">
        <v>86</v>
      </c>
      <c r="M2" s="66" t="s">
        <v>84</v>
      </c>
      <c r="N2" s="66" t="s">
        <v>85</v>
      </c>
      <c r="O2" s="66" t="s">
        <v>60</v>
      </c>
      <c r="P2" s="66" t="s">
        <v>100</v>
      </c>
      <c r="Q2" s="66" t="s">
        <v>99</v>
      </c>
      <c r="S2" s="66" t="s">
        <v>84</v>
      </c>
      <c r="T2" s="66" t="s">
        <v>85</v>
      </c>
      <c r="U2" s="66" t="s">
        <v>60</v>
      </c>
      <c r="V2" s="66" t="s">
        <v>100</v>
      </c>
      <c r="W2" s="66" t="s">
        <v>99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$F3*Outputs_Internal!$D$52/12</f>
        <v>0</v>
      </c>
      <c r="N3" s="67">
        <f>$F3*Outputs_Internal!K$52/12</f>
        <v>0</v>
      </c>
      <c r="O3" s="67">
        <f>$F3*Outputs_Internal!L$52/12</f>
        <v>0</v>
      </c>
      <c r="P3" s="67">
        <f>$F3*Outputs_Internal!M$52/12</f>
        <v>0</v>
      </c>
      <c r="Q3" s="67">
        <f>$F3*Outputs_Internal!N$52/12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D3*IF(AND(MONTH(B4)=1,YEAR(B4)&gt;=YEAR(Prices!$L$15)),1+Prices!$L$14,1)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$F4*Outputs_Internal!$D$52/12</f>
        <v>0</v>
      </c>
      <c r="N4" s="67">
        <f>$F4*Outputs_Internal!K$52/12</f>
        <v>0</v>
      </c>
      <c r="O4" s="67">
        <f>$F4*Outputs_Internal!L$52/12</f>
        <v>0</v>
      </c>
      <c r="P4" s="67">
        <f>$F4*Outputs_Internal!M$52/12</f>
        <v>0</v>
      </c>
      <c r="Q4" s="67">
        <f>$F4*Outputs_Internal!N$52/12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D4*IF(AND(MONTH(B5)=1,YEAR(B5)&gt;=YEAR(Prices!$L$15)),1+Prices!$L$14,1)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$F5*Outputs_Internal!$D$52/12</f>
        <v>0</v>
      </c>
      <c r="N5" s="67">
        <f>$F5*Outputs_Internal!K$52/12</f>
        <v>0</v>
      </c>
      <c r="O5" s="67">
        <f>$F5*Outputs_Internal!L$52/12</f>
        <v>0</v>
      </c>
      <c r="P5" s="67">
        <f>$F5*Outputs_Internal!M$52/12</f>
        <v>0</v>
      </c>
      <c r="Q5" s="67">
        <f>$F5*Outputs_Internal!N$52/12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D5*IF(AND(MONTH(B6)=1,YEAR(B6)&gt;=YEAR(Prices!$L$15)),1+Prices!$L$14,1)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$F6*Outputs_Internal!$D$52/12</f>
        <v>0</v>
      </c>
      <c r="N6" s="67">
        <f>$F6*Outputs_Internal!K$52/12</f>
        <v>0</v>
      </c>
      <c r="O6" s="67">
        <f>$F6*Outputs_Internal!L$52/12</f>
        <v>0</v>
      </c>
      <c r="P6" s="67">
        <f>$F6*Outputs_Internal!M$52/12</f>
        <v>0</v>
      </c>
      <c r="Q6" s="67">
        <f>$F6*Outputs_Internal!N$52/12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D6*IF(AND(MONTH(B7)=1,YEAR(B7)&gt;=YEAR(Prices!$L$15)),1+Prices!$L$14,1)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$F7*Outputs_Internal!$D$52/12</f>
        <v>0</v>
      </c>
      <c r="N7" s="67">
        <f>$F7*Outputs_Internal!K$52/12</f>
        <v>0</v>
      </c>
      <c r="O7" s="67">
        <f>$F7*Outputs_Internal!L$52/12</f>
        <v>0</v>
      </c>
      <c r="P7" s="67">
        <f>$F7*Outputs_Internal!M$52/12</f>
        <v>0</v>
      </c>
      <c r="Q7" s="67">
        <f>$F7*Outputs_Internal!N$52/12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D7*IF(AND(MONTH(B8)=1,YEAR(B8)&gt;=YEAR(Prices!$L$15)),1+Prices!$L$14,1)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$F8*Outputs_Internal!$D$52/12</f>
        <v>0</v>
      </c>
      <c r="N8" s="67">
        <f>$F8*Outputs_Internal!K$52/12</f>
        <v>0</v>
      </c>
      <c r="O8" s="67">
        <f>$F8*Outputs_Internal!L$52/12</f>
        <v>0</v>
      </c>
      <c r="P8" s="67">
        <f>$F8*Outputs_Internal!M$52/12</f>
        <v>0</v>
      </c>
      <c r="Q8" s="67">
        <f>$F8*Outputs_Internal!N$52/12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D8*IF(AND(MONTH(B9)=1,YEAR(B9)&gt;=YEAR(Prices!$L$15)),1+Prices!$L$14,1)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32750</v>
      </c>
      <c r="I9" s="67">
        <f>IF($B9=Inputs!$C$1,SUM(Outputs_Internal!K$4, Outputs_Internal!K$5),0)*$D9</f>
        <v>3275</v>
      </c>
      <c r="J9" s="67">
        <f>IF($B9=Inputs!$C$1,SUM(Outputs_Internal!L$4, Outputs_Internal!L$5),0)*$D9</f>
        <v>29475</v>
      </c>
      <c r="K9" s="67">
        <f>IF($B9=Inputs!$C$1,SUM(Outputs_Internal!M$4, Outputs_Internal!$M$5),0)*$D9</f>
        <v>0</v>
      </c>
      <c r="M9" s="67">
        <f>$F9*Outputs_Internal!$D$52/12</f>
        <v>9983.3333333333339</v>
      </c>
      <c r="N9" s="67">
        <f>$F9*Outputs_Internal!K$52/12</f>
        <v>4017.972643097643</v>
      </c>
      <c r="O9" s="67">
        <f>$F9*Outputs_Internal!L$52/12</f>
        <v>5231.375</v>
      </c>
      <c r="P9" s="67">
        <f>$F9*Outputs_Internal!M$52/12</f>
        <v>669.62962962962968</v>
      </c>
      <c r="Q9" s="67">
        <f>$F9*Outputs_Internal!N$52/12</f>
        <v>64.356060606060609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D9*IF(AND(MONTH(B10)=1,YEAR(B10)&gt;=YEAR(Prices!$L$15)),1+Prices!$L$14,1)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$F10*Outputs_Internal!$D$52/12</f>
        <v>9983.3333333333339</v>
      </c>
      <c r="N10" s="67">
        <f>$F10*Outputs_Internal!K$52/12</f>
        <v>4017.972643097643</v>
      </c>
      <c r="O10" s="67">
        <f>$F10*Outputs_Internal!L$52/12</f>
        <v>5231.375</v>
      </c>
      <c r="P10" s="67">
        <f>$F10*Outputs_Internal!M$52/12</f>
        <v>669.62962962962968</v>
      </c>
      <c r="Q10" s="67">
        <f>$F10*Outputs_Internal!N$52/12</f>
        <v>64.356060606060609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D10*IF(AND(MONTH(B11)=1,YEAR(B11)&gt;=YEAR(Prices!$L$15)),1+Prices!$L$14,1)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$F11*Outputs_Internal!$D$52/12</f>
        <v>9983.3333333333339</v>
      </c>
      <c r="N11" s="67">
        <f>$F11*Outputs_Internal!K$52/12</f>
        <v>4017.972643097643</v>
      </c>
      <c r="O11" s="67">
        <f>$F11*Outputs_Internal!L$52/12</f>
        <v>5231.375</v>
      </c>
      <c r="P11" s="67">
        <f>$F11*Outputs_Internal!M$52/12</f>
        <v>669.62962962962968</v>
      </c>
      <c r="Q11" s="67">
        <f>$F11*Outputs_Internal!N$52/12</f>
        <v>64.356060606060609</v>
      </c>
      <c r="S11" s="67">
        <f t="shared" si="1"/>
        <v>62700.000000000007</v>
      </c>
      <c r="T11" s="67">
        <f t="shared" si="2"/>
        <v>15328.917929292928</v>
      </c>
      <c r="U11" s="67">
        <f>IF(MOD(MONTH($B11),3)=0,SUM(J9:J11,O9:O11),0)</f>
        <v>45169.125</v>
      </c>
      <c r="V11" s="67">
        <f t="shared" si="4"/>
        <v>2008.8888888888891</v>
      </c>
      <c r="W11" s="67">
        <f t="shared" si="5"/>
        <v>193.06818181818181</v>
      </c>
    </row>
    <row r="12" spans="2:23" x14ac:dyDescent="0.25">
      <c r="B12" s="64">
        <f t="shared" si="0"/>
        <v>43191</v>
      </c>
      <c r="D12" s="68">
        <f>D11*IF(AND(MONTH(B12)=1,YEAR(B12)&gt;=YEAR(Prices!$L$15)),1+Prices!$L$14,1)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$F12*Outputs_Internal!$D$52/12</f>
        <v>9983.3333333333339</v>
      </c>
      <c r="N12" s="67">
        <f>$F12*Outputs_Internal!K$52/12</f>
        <v>4017.972643097643</v>
      </c>
      <c r="O12" s="67">
        <f>$F12*Outputs_Internal!L$52/12</f>
        <v>5231.375</v>
      </c>
      <c r="P12" s="67">
        <f>$F12*Outputs_Internal!M$52/12</f>
        <v>669.62962962962968</v>
      </c>
      <c r="Q12" s="67">
        <f>$F12*Outputs_Internal!N$52/12</f>
        <v>64.356060606060609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D12*IF(AND(MONTH(B13)=1,YEAR(B13)&gt;=YEAR(Prices!$L$15)),1+Prices!$L$14,1)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$F13*Outputs_Internal!$D$52/12</f>
        <v>9983.3333333333339</v>
      </c>
      <c r="N13" s="67">
        <f>$F13*Outputs_Internal!K$52/12</f>
        <v>4017.972643097643</v>
      </c>
      <c r="O13" s="67">
        <f>$F13*Outputs_Internal!L$52/12</f>
        <v>5231.375</v>
      </c>
      <c r="P13" s="67">
        <f>$F13*Outputs_Internal!M$52/12</f>
        <v>669.62962962962968</v>
      </c>
      <c r="Q13" s="67">
        <f>$F13*Outputs_Internal!N$52/12</f>
        <v>64.356060606060609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D13*IF(AND(MONTH(B14)=1,YEAR(B14)&gt;=YEAR(Prices!$L$15)),1+Prices!$L$14,1)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$F14*Outputs_Internal!$D$52/12</f>
        <v>9983.3333333333339</v>
      </c>
      <c r="N14" s="67">
        <f>$F14*Outputs_Internal!K$52/12</f>
        <v>4017.972643097643</v>
      </c>
      <c r="O14" s="67">
        <f>$F14*Outputs_Internal!L$52/12</f>
        <v>5231.375</v>
      </c>
      <c r="P14" s="67">
        <f>$F14*Outputs_Internal!M$52/12</f>
        <v>669.62962962962968</v>
      </c>
      <c r="Q14" s="67">
        <f>$F14*Outputs_Internal!N$52/12</f>
        <v>64.356060606060609</v>
      </c>
      <c r="S14" s="67">
        <f t="shared" si="1"/>
        <v>29950</v>
      </c>
      <c r="T14" s="67">
        <f t="shared" si="2"/>
        <v>12053.917929292929</v>
      </c>
      <c r="U14" s="67">
        <f t="shared" si="3"/>
        <v>15694.125</v>
      </c>
      <c r="V14" s="67">
        <f t="shared" si="4"/>
        <v>2008.8888888888891</v>
      </c>
      <c r="W14" s="67">
        <f t="shared" si="5"/>
        <v>193.06818181818181</v>
      </c>
    </row>
    <row r="15" spans="2:23" x14ac:dyDescent="0.25">
      <c r="B15" s="64">
        <f t="shared" si="0"/>
        <v>43282</v>
      </c>
      <c r="D15" s="68">
        <f>D14*IF(AND(MONTH(B15)=1,YEAR(B15)&gt;=YEAR(Prices!$L$15)),1+Prices!$L$14,1)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$F15*Outputs_Internal!$D$52/12</f>
        <v>9983.3333333333339</v>
      </c>
      <c r="N15" s="67">
        <f>$F15*Outputs_Internal!K$52/12</f>
        <v>4017.972643097643</v>
      </c>
      <c r="O15" s="67">
        <f>$F15*Outputs_Internal!L$52/12</f>
        <v>5231.375</v>
      </c>
      <c r="P15" s="67">
        <f>$F15*Outputs_Internal!M$52/12</f>
        <v>669.62962962962968</v>
      </c>
      <c r="Q15" s="67">
        <f>$F15*Outputs_Internal!N$52/12</f>
        <v>64.356060606060609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D15*IF(AND(MONTH(B16)=1,YEAR(B16)&gt;=YEAR(Prices!$L$15)),1+Prices!$L$14,1)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$F16*Outputs_Internal!$D$52/12</f>
        <v>9983.3333333333339</v>
      </c>
      <c r="N16" s="67">
        <f>$F16*Outputs_Internal!K$52/12</f>
        <v>4017.972643097643</v>
      </c>
      <c r="O16" s="67">
        <f>$F16*Outputs_Internal!L$52/12</f>
        <v>5231.375</v>
      </c>
      <c r="P16" s="67">
        <f>$F16*Outputs_Internal!M$52/12</f>
        <v>669.62962962962968</v>
      </c>
      <c r="Q16" s="67">
        <f>$F16*Outputs_Internal!N$52/12</f>
        <v>64.356060606060609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D16*IF(AND(MONTH(B17)=1,YEAR(B17)&gt;=YEAR(Prices!$L$15)),1+Prices!$L$14,1)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$F17*Outputs_Internal!$D$52/12</f>
        <v>9983.3333333333339</v>
      </c>
      <c r="N17" s="67">
        <f>$F17*Outputs_Internal!K$52/12</f>
        <v>4017.972643097643</v>
      </c>
      <c r="O17" s="67">
        <f>$F17*Outputs_Internal!L$52/12</f>
        <v>5231.375</v>
      </c>
      <c r="P17" s="67">
        <f>$F17*Outputs_Internal!M$52/12</f>
        <v>669.62962962962968</v>
      </c>
      <c r="Q17" s="67">
        <f>$F17*Outputs_Internal!N$52/12</f>
        <v>64.356060606060609</v>
      </c>
      <c r="S17" s="67">
        <f t="shared" si="1"/>
        <v>29950</v>
      </c>
      <c r="T17" s="67">
        <f t="shared" si="2"/>
        <v>12053.917929292929</v>
      </c>
      <c r="U17" s="67">
        <f t="shared" si="3"/>
        <v>15694.125</v>
      </c>
      <c r="V17" s="67">
        <f t="shared" si="4"/>
        <v>2008.8888888888891</v>
      </c>
      <c r="W17" s="67">
        <f t="shared" si="5"/>
        <v>193.06818181818181</v>
      </c>
    </row>
    <row r="18" spans="2:23" x14ac:dyDescent="0.25">
      <c r="B18" s="64">
        <f t="shared" si="0"/>
        <v>43374</v>
      </c>
      <c r="D18" s="68">
        <f>D17*IF(AND(MONTH(B18)=1,YEAR(B18)&gt;=YEAR(Prices!$L$15)),1+Prices!$L$14,1)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$F18*Outputs_Internal!$D$52/12</f>
        <v>9983.3333333333339</v>
      </c>
      <c r="N18" s="67">
        <f>$F18*Outputs_Internal!K$52/12</f>
        <v>4017.972643097643</v>
      </c>
      <c r="O18" s="67">
        <f>$F18*Outputs_Internal!L$52/12</f>
        <v>5231.375</v>
      </c>
      <c r="P18" s="67">
        <f>$F18*Outputs_Internal!M$52/12</f>
        <v>669.62962962962968</v>
      </c>
      <c r="Q18" s="67">
        <f>$F18*Outputs_Internal!N$52/12</f>
        <v>64.356060606060609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D18*IF(AND(MONTH(B19)=1,YEAR(B19)&gt;=YEAR(Prices!$L$15)),1+Prices!$L$14,1)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$F19*Outputs_Internal!$D$52/12</f>
        <v>9983.3333333333339</v>
      </c>
      <c r="N19" s="67">
        <f>$F19*Outputs_Internal!K$52/12</f>
        <v>4017.972643097643</v>
      </c>
      <c r="O19" s="67">
        <f>$F19*Outputs_Internal!L$52/12</f>
        <v>5231.375</v>
      </c>
      <c r="P19" s="67">
        <f>$F19*Outputs_Internal!M$52/12</f>
        <v>669.62962962962968</v>
      </c>
      <c r="Q19" s="67">
        <f>$F19*Outputs_Internal!N$52/12</f>
        <v>64.356060606060609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D19*IF(AND(MONTH(B20)=1,YEAR(B20)&gt;=YEAR(Prices!$L$15)),1+Prices!$L$14,1)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$F20*Outputs_Internal!$D$52/12</f>
        <v>9983.3333333333339</v>
      </c>
      <c r="N20" s="67">
        <f>$F20*Outputs_Internal!K$52/12</f>
        <v>4017.972643097643</v>
      </c>
      <c r="O20" s="67">
        <f>$F20*Outputs_Internal!L$52/12</f>
        <v>5231.375</v>
      </c>
      <c r="P20" s="67">
        <f>$F20*Outputs_Internal!M$52/12</f>
        <v>669.62962962962968</v>
      </c>
      <c r="Q20" s="67">
        <f>$F20*Outputs_Internal!N$52/12</f>
        <v>64.356060606060609</v>
      </c>
      <c r="S20" s="67">
        <f t="shared" si="1"/>
        <v>29950</v>
      </c>
      <c r="T20" s="67">
        <f t="shared" si="2"/>
        <v>12053.917929292929</v>
      </c>
      <c r="U20" s="67">
        <f t="shared" si="3"/>
        <v>15694.125</v>
      </c>
      <c r="V20" s="67">
        <f t="shared" si="4"/>
        <v>2008.8888888888891</v>
      </c>
      <c r="W20" s="67">
        <f t="shared" si="5"/>
        <v>193.06818181818181</v>
      </c>
    </row>
    <row r="21" spans="2:23" x14ac:dyDescent="0.25">
      <c r="B21" s="64">
        <f t="shared" si="0"/>
        <v>43466</v>
      </c>
      <c r="D21" s="68">
        <f>D20*IF(AND(MONTH(B21)=1,YEAR(B21)&gt;=YEAR(Prices!$L$15)),1+Prices!$L$14,1)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$F21*Outputs_Internal!$D$52/12</f>
        <v>9983.3333333333339</v>
      </c>
      <c r="N21" s="67">
        <f>$F21*Outputs_Internal!K$52/12</f>
        <v>4017.972643097643</v>
      </c>
      <c r="O21" s="67">
        <f>$F21*Outputs_Internal!L$52/12</f>
        <v>5231.375</v>
      </c>
      <c r="P21" s="67">
        <f>$F21*Outputs_Internal!M$52/12</f>
        <v>669.62962962962968</v>
      </c>
      <c r="Q21" s="67">
        <f>$F21*Outputs_Internal!N$52/12</f>
        <v>64.356060606060609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D21*IF(AND(MONTH(B22)=1,YEAR(B22)&gt;=YEAR(Prices!$L$15)),1+Prices!$L$14,1)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$F22*Outputs_Internal!$D$52/12</f>
        <v>9983.3333333333339</v>
      </c>
      <c r="N22" s="67">
        <f>$F22*Outputs_Internal!K$52/12</f>
        <v>4017.972643097643</v>
      </c>
      <c r="O22" s="67">
        <f>$F22*Outputs_Internal!L$52/12</f>
        <v>5231.375</v>
      </c>
      <c r="P22" s="67">
        <f>$F22*Outputs_Internal!M$52/12</f>
        <v>669.62962962962968</v>
      </c>
      <c r="Q22" s="67">
        <f>$F22*Outputs_Internal!N$52/12</f>
        <v>64.356060606060609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D22*IF(AND(MONTH(B23)=1,YEAR(B23)&gt;=YEAR(Prices!$L$15)),1+Prices!$L$14,1)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$F23*Outputs_Internal!$D$52/12</f>
        <v>9983.3333333333339</v>
      </c>
      <c r="N23" s="67">
        <f>$F23*Outputs_Internal!K$52/12</f>
        <v>4017.972643097643</v>
      </c>
      <c r="O23" s="67">
        <f>$F23*Outputs_Internal!L$52/12</f>
        <v>5231.375</v>
      </c>
      <c r="P23" s="67">
        <f>$F23*Outputs_Internal!M$52/12</f>
        <v>669.62962962962968</v>
      </c>
      <c r="Q23" s="67">
        <f>$F23*Outputs_Internal!N$52/12</f>
        <v>64.356060606060609</v>
      </c>
      <c r="S23" s="67">
        <f t="shared" si="1"/>
        <v>29950</v>
      </c>
      <c r="T23" s="67">
        <f t="shared" si="2"/>
        <v>12053.917929292929</v>
      </c>
      <c r="U23" s="67">
        <f t="shared" si="3"/>
        <v>15694.125</v>
      </c>
      <c r="V23" s="67">
        <f t="shared" si="4"/>
        <v>2008.8888888888891</v>
      </c>
      <c r="W23" s="67">
        <f t="shared" si="5"/>
        <v>193.06818181818181</v>
      </c>
    </row>
    <row r="24" spans="2:23" x14ac:dyDescent="0.25">
      <c r="B24" s="64">
        <f t="shared" si="0"/>
        <v>43556</v>
      </c>
      <c r="D24" s="68">
        <f>D23*IF(AND(MONTH(B24)=1,YEAR(B24)&gt;=YEAR(Prices!$L$15)),1+Prices!$L$14,1)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$F24*Outputs_Internal!$D$52/12</f>
        <v>9983.3333333333339</v>
      </c>
      <c r="N24" s="67">
        <f>$F24*Outputs_Internal!K$52/12</f>
        <v>4017.972643097643</v>
      </c>
      <c r="O24" s="67">
        <f>$F24*Outputs_Internal!L$52/12</f>
        <v>5231.375</v>
      </c>
      <c r="P24" s="67">
        <f>$F24*Outputs_Internal!M$52/12</f>
        <v>669.62962962962968</v>
      </c>
      <c r="Q24" s="67">
        <f>$F24*Outputs_Internal!N$52/12</f>
        <v>64.356060606060609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D24*IF(AND(MONTH(B25)=1,YEAR(B25)&gt;=YEAR(Prices!$L$15)),1+Prices!$L$14,1)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$F25*Outputs_Internal!$D$52/12</f>
        <v>9983.3333333333339</v>
      </c>
      <c r="N25" s="67">
        <f>$F25*Outputs_Internal!K$52/12</f>
        <v>4017.972643097643</v>
      </c>
      <c r="O25" s="67">
        <f>$F25*Outputs_Internal!L$52/12</f>
        <v>5231.375</v>
      </c>
      <c r="P25" s="67">
        <f>$F25*Outputs_Internal!M$52/12</f>
        <v>669.62962962962968</v>
      </c>
      <c r="Q25" s="67">
        <f>$F25*Outputs_Internal!N$52/12</f>
        <v>64.356060606060609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D25*IF(AND(MONTH(B26)=1,YEAR(B26)&gt;=YEAR(Prices!$L$15)),1+Prices!$L$14,1)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$F26*Outputs_Internal!$D$52/12</f>
        <v>9983.3333333333339</v>
      </c>
      <c r="N26" s="67">
        <f>$F26*Outputs_Internal!K$52/12</f>
        <v>4017.972643097643</v>
      </c>
      <c r="O26" s="67">
        <f>$F26*Outputs_Internal!L$52/12</f>
        <v>5231.375</v>
      </c>
      <c r="P26" s="67">
        <f>$F26*Outputs_Internal!M$52/12</f>
        <v>669.62962962962968</v>
      </c>
      <c r="Q26" s="67">
        <f>$F26*Outputs_Internal!N$52/12</f>
        <v>64.356060606060609</v>
      </c>
      <c r="S26" s="67">
        <f t="shared" si="1"/>
        <v>29950</v>
      </c>
      <c r="T26" s="67">
        <f t="shared" si="2"/>
        <v>12053.917929292929</v>
      </c>
      <c r="U26" s="67">
        <f t="shared" si="3"/>
        <v>15694.125</v>
      </c>
      <c r="V26" s="67">
        <f t="shared" si="4"/>
        <v>2008.8888888888891</v>
      </c>
      <c r="W26" s="67">
        <f t="shared" si="5"/>
        <v>193.06818181818181</v>
      </c>
    </row>
    <row r="27" spans="2:23" x14ac:dyDescent="0.25">
      <c r="B27" s="64">
        <f t="shared" si="0"/>
        <v>43647</v>
      </c>
      <c r="D27" s="68">
        <f>D26*IF(AND(MONTH(B27)=1,YEAR(B27)&gt;=YEAR(Prices!$L$15)),1+Prices!$L$14,1)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$F27*Outputs_Internal!$D$52/12</f>
        <v>9983.3333333333339</v>
      </c>
      <c r="N27" s="67">
        <f>$F27*Outputs_Internal!K$52/12</f>
        <v>4017.972643097643</v>
      </c>
      <c r="O27" s="67">
        <f>$F27*Outputs_Internal!L$52/12</f>
        <v>5231.375</v>
      </c>
      <c r="P27" s="67">
        <f>$F27*Outputs_Internal!M$52/12</f>
        <v>669.62962962962968</v>
      </c>
      <c r="Q27" s="67">
        <f>$F27*Outputs_Internal!N$52/12</f>
        <v>64.356060606060609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D27*IF(AND(MONTH(B28)=1,YEAR(B28)&gt;=YEAR(Prices!$L$15)),1+Prices!$L$14,1)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$F28*Outputs_Internal!$D$52/12</f>
        <v>9983.3333333333339</v>
      </c>
      <c r="N28" s="67">
        <f>$F28*Outputs_Internal!K$52/12</f>
        <v>4017.972643097643</v>
      </c>
      <c r="O28" s="67">
        <f>$F28*Outputs_Internal!L$52/12</f>
        <v>5231.375</v>
      </c>
      <c r="P28" s="67">
        <f>$F28*Outputs_Internal!M$52/12</f>
        <v>669.62962962962968</v>
      </c>
      <c r="Q28" s="67">
        <f>$F28*Outputs_Internal!N$52/12</f>
        <v>64.356060606060609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D28*IF(AND(MONTH(B29)=1,YEAR(B29)&gt;=YEAR(Prices!$L$15)),1+Prices!$L$14,1)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$F29*Outputs_Internal!$D$52/12</f>
        <v>9983.3333333333339</v>
      </c>
      <c r="N29" s="67">
        <f>$F29*Outputs_Internal!K$52/12</f>
        <v>4017.972643097643</v>
      </c>
      <c r="O29" s="67">
        <f>$F29*Outputs_Internal!L$52/12</f>
        <v>5231.375</v>
      </c>
      <c r="P29" s="67">
        <f>$F29*Outputs_Internal!M$52/12</f>
        <v>669.62962962962968</v>
      </c>
      <c r="Q29" s="67">
        <f>$F29*Outputs_Internal!N$52/12</f>
        <v>64.356060606060609</v>
      </c>
      <c r="S29" s="67">
        <f t="shared" si="1"/>
        <v>29950</v>
      </c>
      <c r="T29" s="67">
        <f t="shared" si="2"/>
        <v>12053.917929292929</v>
      </c>
      <c r="U29" s="67">
        <f t="shared" si="3"/>
        <v>15694.125</v>
      </c>
      <c r="V29" s="67">
        <f t="shared" si="4"/>
        <v>2008.8888888888891</v>
      </c>
      <c r="W29" s="67">
        <f t="shared" si="5"/>
        <v>193.06818181818181</v>
      </c>
    </row>
    <row r="30" spans="2:23" x14ac:dyDescent="0.25">
      <c r="B30" s="64">
        <f t="shared" si="0"/>
        <v>43739</v>
      </c>
      <c r="D30" s="68">
        <f>D29*IF(AND(MONTH(B30)=1,YEAR(B30)&gt;=YEAR(Prices!$L$15)),1+Prices!$L$14,1)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$F30*Outputs_Internal!$D$52/12</f>
        <v>9983.3333333333339</v>
      </c>
      <c r="N30" s="67">
        <f>$F30*Outputs_Internal!K$52/12</f>
        <v>4017.972643097643</v>
      </c>
      <c r="O30" s="67">
        <f>$F30*Outputs_Internal!L$52/12</f>
        <v>5231.375</v>
      </c>
      <c r="P30" s="67">
        <f>$F30*Outputs_Internal!M$52/12</f>
        <v>669.62962962962968</v>
      </c>
      <c r="Q30" s="67">
        <f>$F30*Outputs_Internal!N$52/12</f>
        <v>64.356060606060609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D30*IF(AND(MONTH(B31)=1,YEAR(B31)&gt;=YEAR(Prices!$L$15)),1+Prices!$L$14,1)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$F31*Outputs_Internal!$D$52/12</f>
        <v>9983.3333333333339</v>
      </c>
      <c r="N31" s="67">
        <f>$F31*Outputs_Internal!K$52/12</f>
        <v>4017.972643097643</v>
      </c>
      <c r="O31" s="67">
        <f>$F31*Outputs_Internal!L$52/12</f>
        <v>5231.375</v>
      </c>
      <c r="P31" s="67">
        <f>$F31*Outputs_Internal!M$52/12</f>
        <v>669.62962962962968</v>
      </c>
      <c r="Q31" s="67">
        <f>$F31*Outputs_Internal!N$52/12</f>
        <v>64.356060606060609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D31*IF(AND(MONTH(B32)=1,YEAR(B32)&gt;=YEAR(Prices!$L$15)),1+Prices!$L$14,1)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$F32*Outputs_Internal!$D$52/12</f>
        <v>9983.3333333333339</v>
      </c>
      <c r="N32" s="67">
        <f>$F32*Outputs_Internal!K$52/12</f>
        <v>4017.972643097643</v>
      </c>
      <c r="O32" s="67">
        <f>$F32*Outputs_Internal!L$52/12</f>
        <v>5231.375</v>
      </c>
      <c r="P32" s="67">
        <f>$F32*Outputs_Internal!M$52/12</f>
        <v>669.62962962962968</v>
      </c>
      <c r="Q32" s="67">
        <f>$F32*Outputs_Internal!N$52/12</f>
        <v>64.356060606060609</v>
      </c>
      <c r="S32" s="67">
        <f t="shared" si="1"/>
        <v>29950</v>
      </c>
      <c r="T32" s="67">
        <f t="shared" si="2"/>
        <v>12053.917929292929</v>
      </c>
      <c r="U32" s="67">
        <f t="shared" si="3"/>
        <v>15694.125</v>
      </c>
      <c r="V32" s="67">
        <f t="shared" si="4"/>
        <v>2008.8888888888891</v>
      </c>
      <c r="W32" s="67">
        <f t="shared" si="5"/>
        <v>193.06818181818181</v>
      </c>
    </row>
    <row r="33" spans="2:23" x14ac:dyDescent="0.25">
      <c r="B33" s="64">
        <f t="shared" si="0"/>
        <v>43831</v>
      </c>
      <c r="D33" s="68">
        <f>D32*IF(AND(MONTH(B33)=1,YEAR(B33)&gt;=YEAR(Prices!$L$15)),1+Prices!$L$14,1)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$F33*Outputs_Internal!$D$52/12</f>
        <v>9983.3333333333339</v>
      </c>
      <c r="N33" s="67">
        <f>$F33*Outputs_Internal!K$52/12</f>
        <v>4017.972643097643</v>
      </c>
      <c r="O33" s="67">
        <f>$F33*Outputs_Internal!L$52/12</f>
        <v>5231.375</v>
      </c>
      <c r="P33" s="67">
        <f>$F33*Outputs_Internal!M$52/12</f>
        <v>669.62962962962968</v>
      </c>
      <c r="Q33" s="67">
        <f>$F33*Outputs_Internal!N$52/12</f>
        <v>64.356060606060609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D33*IF(AND(MONTH(B34)=1,YEAR(B34)&gt;=YEAR(Prices!$L$15)),1+Prices!$L$14,1)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$F34*Outputs_Internal!$D$52/12</f>
        <v>9983.3333333333339</v>
      </c>
      <c r="N34" s="67">
        <f>$F34*Outputs_Internal!K$52/12</f>
        <v>4017.972643097643</v>
      </c>
      <c r="O34" s="67">
        <f>$F34*Outputs_Internal!L$52/12</f>
        <v>5231.375</v>
      </c>
      <c r="P34" s="67">
        <f>$F34*Outputs_Internal!M$52/12</f>
        <v>669.62962962962968</v>
      </c>
      <c r="Q34" s="67">
        <f>$F34*Outputs_Internal!N$52/12</f>
        <v>64.356060606060609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D34*IF(AND(MONTH(B35)=1,YEAR(B35)&gt;=YEAR(Prices!$L$15)),1+Prices!$L$14,1)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$F35*Outputs_Internal!$D$52/12</f>
        <v>9983.3333333333339</v>
      </c>
      <c r="N35" s="67">
        <f>$F35*Outputs_Internal!K$52/12</f>
        <v>4017.972643097643</v>
      </c>
      <c r="O35" s="67">
        <f>$F35*Outputs_Internal!L$52/12</f>
        <v>5231.375</v>
      </c>
      <c r="P35" s="67">
        <f>$F35*Outputs_Internal!M$52/12</f>
        <v>669.62962962962968</v>
      </c>
      <c r="Q35" s="67">
        <f>$F35*Outputs_Internal!N$52/12</f>
        <v>64.356060606060609</v>
      </c>
      <c r="S35" s="67">
        <f t="shared" si="1"/>
        <v>29950</v>
      </c>
      <c r="T35" s="67">
        <f t="shared" si="2"/>
        <v>12053.917929292929</v>
      </c>
      <c r="U35" s="67">
        <f t="shared" si="3"/>
        <v>15694.125</v>
      </c>
      <c r="V35" s="67">
        <f t="shared" si="4"/>
        <v>2008.8888888888891</v>
      </c>
      <c r="W35" s="67">
        <f t="shared" si="5"/>
        <v>193.06818181818181</v>
      </c>
    </row>
    <row r="36" spans="2:23" x14ac:dyDescent="0.25">
      <c r="B36" s="64">
        <f t="shared" si="0"/>
        <v>43922</v>
      </c>
      <c r="D36" s="68">
        <f>D35*IF(AND(MONTH(B36)=1,YEAR(B36)&gt;=YEAR(Prices!$L$15)),1+Prices!$L$14,1)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$F36*Outputs_Internal!$D$52/12</f>
        <v>9983.3333333333339</v>
      </c>
      <c r="N36" s="67">
        <f>$F36*Outputs_Internal!K$52/12</f>
        <v>4017.972643097643</v>
      </c>
      <c r="O36" s="67">
        <f>$F36*Outputs_Internal!L$52/12</f>
        <v>5231.375</v>
      </c>
      <c r="P36" s="67">
        <f>$F36*Outputs_Internal!M$52/12</f>
        <v>669.62962962962968</v>
      </c>
      <c r="Q36" s="67">
        <f>$F36*Outputs_Internal!N$52/12</f>
        <v>64.356060606060609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D36*IF(AND(MONTH(B37)=1,YEAR(B37)&gt;=YEAR(Prices!$L$15)),1+Prices!$L$14,1)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$F37*Outputs_Internal!$D$52/12</f>
        <v>9983.3333333333339</v>
      </c>
      <c r="N37" s="67">
        <f>$F37*Outputs_Internal!K$52/12</f>
        <v>4017.972643097643</v>
      </c>
      <c r="O37" s="67">
        <f>$F37*Outputs_Internal!L$52/12</f>
        <v>5231.375</v>
      </c>
      <c r="P37" s="67">
        <f>$F37*Outputs_Internal!M$52/12</f>
        <v>669.62962962962968</v>
      </c>
      <c r="Q37" s="67">
        <f>$F37*Outputs_Internal!N$52/12</f>
        <v>64.356060606060609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D37*IF(AND(MONTH(B38)=1,YEAR(B38)&gt;=YEAR(Prices!$L$15)),1+Prices!$L$14,1)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$F38*Outputs_Internal!$D$52/12</f>
        <v>9983.3333333333339</v>
      </c>
      <c r="N38" s="67">
        <f>$F38*Outputs_Internal!K$52/12</f>
        <v>4017.972643097643</v>
      </c>
      <c r="O38" s="67">
        <f>$F38*Outputs_Internal!L$52/12</f>
        <v>5231.375</v>
      </c>
      <c r="P38" s="67">
        <f>$F38*Outputs_Internal!M$52/12</f>
        <v>669.62962962962968</v>
      </c>
      <c r="Q38" s="67">
        <f>$F38*Outputs_Internal!N$52/12</f>
        <v>64.356060606060609</v>
      </c>
      <c r="S38" s="67">
        <f t="shared" si="1"/>
        <v>29950</v>
      </c>
      <c r="T38" s="67">
        <f t="shared" si="2"/>
        <v>12053.917929292929</v>
      </c>
      <c r="U38" s="67">
        <f t="shared" si="3"/>
        <v>15694.125</v>
      </c>
      <c r="V38" s="67">
        <f t="shared" si="4"/>
        <v>2008.8888888888891</v>
      </c>
      <c r="W38" s="67">
        <f t="shared" si="5"/>
        <v>193.06818181818181</v>
      </c>
    </row>
    <row r="39" spans="2:23" x14ac:dyDescent="0.25">
      <c r="B39" s="64">
        <f t="shared" si="0"/>
        <v>44013</v>
      </c>
      <c r="D39" s="68">
        <f>D38*IF(AND(MONTH(B39)=1,YEAR(B39)&gt;=YEAR(Prices!$L$15)),1+Prices!$L$14,1)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$F39*Outputs_Internal!$D$52/12</f>
        <v>9983.3333333333339</v>
      </c>
      <c r="N39" s="67">
        <f>$F39*Outputs_Internal!K$52/12</f>
        <v>4017.972643097643</v>
      </c>
      <c r="O39" s="67">
        <f>$F39*Outputs_Internal!L$52/12</f>
        <v>5231.375</v>
      </c>
      <c r="P39" s="67">
        <f>$F39*Outputs_Internal!M$52/12</f>
        <v>669.62962962962968</v>
      </c>
      <c r="Q39" s="67">
        <f>$F39*Outputs_Internal!N$52/12</f>
        <v>64.356060606060609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D39*IF(AND(MONTH(B40)=1,YEAR(B40)&gt;=YEAR(Prices!$L$15)),1+Prices!$L$14,1)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$F40*Outputs_Internal!$D$52/12</f>
        <v>9983.3333333333339</v>
      </c>
      <c r="N40" s="67">
        <f>$F40*Outputs_Internal!K$52/12</f>
        <v>4017.972643097643</v>
      </c>
      <c r="O40" s="67">
        <f>$F40*Outputs_Internal!L$52/12</f>
        <v>5231.375</v>
      </c>
      <c r="P40" s="67">
        <f>$F40*Outputs_Internal!M$52/12</f>
        <v>669.62962962962968</v>
      </c>
      <c r="Q40" s="67">
        <f>$F40*Outputs_Internal!N$52/12</f>
        <v>64.356060606060609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D40*IF(AND(MONTH(B41)=1,YEAR(B41)&gt;=YEAR(Prices!$L$15)),1+Prices!$L$14,1)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$F41*Outputs_Internal!$D$52/12</f>
        <v>9983.3333333333339</v>
      </c>
      <c r="N41" s="67">
        <f>$F41*Outputs_Internal!K$52/12</f>
        <v>4017.972643097643</v>
      </c>
      <c r="O41" s="67">
        <f>$F41*Outputs_Internal!L$52/12</f>
        <v>5231.375</v>
      </c>
      <c r="P41" s="67">
        <f>$F41*Outputs_Internal!M$52/12</f>
        <v>669.62962962962968</v>
      </c>
      <c r="Q41" s="67">
        <f>$F41*Outputs_Internal!N$52/12</f>
        <v>64.356060606060609</v>
      </c>
      <c r="S41" s="67">
        <f t="shared" si="1"/>
        <v>29950</v>
      </c>
      <c r="T41" s="67">
        <f t="shared" si="2"/>
        <v>12053.917929292929</v>
      </c>
      <c r="U41" s="67">
        <f t="shared" si="3"/>
        <v>15694.125</v>
      </c>
      <c r="V41" s="67">
        <f t="shared" si="4"/>
        <v>2008.8888888888891</v>
      </c>
      <c r="W41" s="67">
        <f t="shared" si="5"/>
        <v>193.06818181818181</v>
      </c>
    </row>
    <row r="42" spans="2:23" x14ac:dyDescent="0.25">
      <c r="B42" s="64">
        <f t="shared" si="0"/>
        <v>44105</v>
      </c>
      <c r="D42" s="68">
        <f>D41*IF(AND(MONTH(B42)=1,YEAR(B42)&gt;=YEAR(Prices!$L$15)),1+Prices!$L$14,1)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$F42*Outputs_Internal!$D$52/12</f>
        <v>9983.3333333333339</v>
      </c>
      <c r="N42" s="67">
        <f>$F42*Outputs_Internal!K$52/12</f>
        <v>4017.972643097643</v>
      </c>
      <c r="O42" s="67">
        <f>$F42*Outputs_Internal!L$52/12</f>
        <v>5231.375</v>
      </c>
      <c r="P42" s="67">
        <f>$F42*Outputs_Internal!M$52/12</f>
        <v>669.62962962962968</v>
      </c>
      <c r="Q42" s="67">
        <f>$F42*Outputs_Internal!N$52/12</f>
        <v>64.356060606060609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D42*IF(AND(MONTH(B43)=1,YEAR(B43)&gt;=YEAR(Prices!$L$15)),1+Prices!$L$14,1)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$F43*Outputs_Internal!$D$52/12</f>
        <v>9983.3333333333339</v>
      </c>
      <c r="N43" s="67">
        <f>$F43*Outputs_Internal!K$52/12</f>
        <v>4017.972643097643</v>
      </c>
      <c r="O43" s="67">
        <f>$F43*Outputs_Internal!L$52/12</f>
        <v>5231.375</v>
      </c>
      <c r="P43" s="67">
        <f>$F43*Outputs_Internal!M$52/12</f>
        <v>669.62962962962968</v>
      </c>
      <c r="Q43" s="67">
        <f>$F43*Outputs_Internal!N$52/12</f>
        <v>64.356060606060609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D43*IF(AND(MONTH(B44)=1,YEAR(B44)&gt;=YEAR(Prices!$L$15)),1+Prices!$L$14,1)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$F44*Outputs_Internal!$D$52/12</f>
        <v>9983.3333333333339</v>
      </c>
      <c r="N44" s="67">
        <f>$F44*Outputs_Internal!K$52/12</f>
        <v>4017.972643097643</v>
      </c>
      <c r="O44" s="67">
        <f>$F44*Outputs_Internal!L$52/12</f>
        <v>5231.375</v>
      </c>
      <c r="P44" s="67">
        <f>$F44*Outputs_Internal!M$52/12</f>
        <v>669.62962962962968</v>
      </c>
      <c r="Q44" s="67">
        <f>$F44*Outputs_Internal!N$52/12</f>
        <v>64.356060606060609</v>
      </c>
      <c r="S44" s="67">
        <f>IF(MOD(MONTH($B44),3)=0,SUM(H42:H44,M42:M44),0)</f>
        <v>29950</v>
      </c>
      <c r="T44" s="67">
        <f t="shared" si="2"/>
        <v>12053.917929292929</v>
      </c>
      <c r="U44" s="67">
        <f t="shared" si="3"/>
        <v>15694.125</v>
      </c>
      <c r="V44" s="67">
        <f t="shared" si="4"/>
        <v>2008.8888888888891</v>
      </c>
      <c r="W44" s="67">
        <f t="shared" si="5"/>
        <v>193.06818181818181</v>
      </c>
    </row>
    <row r="45" spans="2:23" x14ac:dyDescent="0.25">
      <c r="B45" s="64">
        <f t="shared" si="0"/>
        <v>44197</v>
      </c>
      <c r="D45" s="68">
        <f>D44*IF(AND(MONTH(B45)=1,YEAR(B45)&gt;=YEAR(Prices!$L$15)),1+Prices!$L$14,1)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$F45*Outputs_Internal!$D$52/12</f>
        <v>0</v>
      </c>
      <c r="N45" s="67">
        <f>$F45*Outputs_Internal!K$52/12</f>
        <v>0</v>
      </c>
      <c r="O45" s="67">
        <f>$F45*Outputs_Internal!L$52/12</f>
        <v>0</v>
      </c>
      <c r="P45" s="67">
        <f>$F45*Outputs_Internal!M$52/12</f>
        <v>0</v>
      </c>
      <c r="Q45" s="67">
        <f>$F45*Outputs_Internal!N$52/12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D45*IF(AND(MONTH(B46)=1,YEAR(B46)&gt;=YEAR(Prices!$L$15)),1+Prices!$L$14,1)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$F46*Outputs_Internal!$D$52/12</f>
        <v>0</v>
      </c>
      <c r="N46" s="67">
        <f>$F46*Outputs_Internal!K$52/12</f>
        <v>0</v>
      </c>
      <c r="O46" s="67">
        <f>$F46*Outputs_Internal!L$52/12</f>
        <v>0</v>
      </c>
      <c r="P46" s="67">
        <f>$F46*Outputs_Internal!M$52/12</f>
        <v>0</v>
      </c>
      <c r="Q46" s="67">
        <f>$F46*Outputs_Internal!N$52/12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D46*IF(AND(MONTH(B47)=1,YEAR(B47)&gt;=YEAR(Prices!$L$15)),1+Prices!$L$14,1)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$F47*Outputs_Internal!$D$52/12</f>
        <v>0</v>
      </c>
      <c r="N47" s="67">
        <f>$F47*Outputs_Internal!K$52/12</f>
        <v>0</v>
      </c>
      <c r="O47" s="67">
        <f>$F47*Outputs_Internal!L$52/12</f>
        <v>0</v>
      </c>
      <c r="P47" s="67">
        <f>$F47*Outputs_Internal!M$52/12</f>
        <v>0</v>
      </c>
      <c r="Q47" s="67">
        <f>$F47*Outputs_Internal!N$52/12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D47*IF(AND(MONTH(B48)=1,YEAR(B48)&gt;=YEAR(Prices!$L$15)),1+Prices!$L$14,1)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$F48*Outputs_Internal!$D$52/12</f>
        <v>0</v>
      </c>
      <c r="N48" s="67">
        <f>$F48*Outputs_Internal!K$52/12</f>
        <v>0</v>
      </c>
      <c r="O48" s="67">
        <f>$F48*Outputs_Internal!L$52/12</f>
        <v>0</v>
      </c>
      <c r="P48" s="67">
        <f>$F48*Outputs_Internal!M$52/12</f>
        <v>0</v>
      </c>
      <c r="Q48" s="67">
        <f>$F48*Outputs_Internal!N$52/12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D48*IF(AND(MONTH(B49)=1,YEAR(B49)&gt;=YEAR(Prices!$L$15)),1+Prices!$L$14,1)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$F49*Outputs_Internal!$D$52/12</f>
        <v>0</v>
      </c>
      <c r="N49" s="67">
        <f>$F49*Outputs_Internal!K$52/12</f>
        <v>0</v>
      </c>
      <c r="O49" s="67">
        <f>$F49*Outputs_Internal!L$52/12</f>
        <v>0</v>
      </c>
      <c r="P49" s="67">
        <f>$F49*Outputs_Internal!M$52/12</f>
        <v>0</v>
      </c>
      <c r="Q49" s="67">
        <f>$F49*Outputs_Internal!N$52/12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D49*IF(AND(MONTH(B50)=1,YEAR(B50)&gt;=YEAR(Prices!$L$15)),1+Prices!$L$14,1)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$F50*Outputs_Internal!$D$52/12</f>
        <v>0</v>
      </c>
      <c r="N50" s="67">
        <f>$F50*Outputs_Internal!K$52/12</f>
        <v>0</v>
      </c>
      <c r="O50" s="67">
        <f>$F50*Outputs_Internal!L$52/12</f>
        <v>0</v>
      </c>
      <c r="P50" s="67">
        <f>$F50*Outputs_Internal!M$52/12</f>
        <v>0</v>
      </c>
      <c r="Q50" s="67">
        <f>$F50*Outputs_Internal!N$52/12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D50*IF(AND(MONTH(B51)=1,YEAR(B51)&gt;=YEAR(Prices!$L$15)),1+Prices!$L$14,1)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$F51*Outputs_Internal!$D$52/12</f>
        <v>0</v>
      </c>
      <c r="N51" s="67">
        <f>$F51*Outputs_Internal!K$52/12</f>
        <v>0</v>
      </c>
      <c r="O51" s="67">
        <f>$F51*Outputs_Internal!L$52/12</f>
        <v>0</v>
      </c>
      <c r="P51" s="67">
        <f>$F51*Outputs_Internal!M$52/12</f>
        <v>0</v>
      </c>
      <c r="Q51" s="67">
        <f>$F51*Outputs_Internal!N$52/12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D51*IF(AND(MONTH(B52)=1,YEAR(B52)&gt;=YEAR(Prices!$L$15)),1+Prices!$L$14,1)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$F52*Outputs_Internal!$D$52/12</f>
        <v>0</v>
      </c>
      <c r="N52" s="67">
        <f>$F52*Outputs_Internal!K$52/12</f>
        <v>0</v>
      </c>
      <c r="O52" s="67">
        <f>$F52*Outputs_Internal!L$52/12</f>
        <v>0</v>
      </c>
      <c r="P52" s="67">
        <f>$F52*Outputs_Internal!M$52/12</f>
        <v>0</v>
      </c>
      <c r="Q52" s="67">
        <f>$F52*Outputs_Internal!N$52/12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D52*IF(AND(MONTH(B53)=1,YEAR(B53)&gt;=YEAR(Prices!$L$15)),1+Prices!$L$14,1)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$F53*Outputs_Internal!$D$52/12</f>
        <v>0</v>
      </c>
      <c r="N53" s="67">
        <f>$F53*Outputs_Internal!K$52/12</f>
        <v>0</v>
      </c>
      <c r="O53" s="67">
        <f>$F53*Outputs_Internal!L$52/12</f>
        <v>0</v>
      </c>
      <c r="P53" s="67">
        <f>$F53*Outputs_Internal!M$52/12</f>
        <v>0</v>
      </c>
      <c r="Q53" s="67">
        <f>$F53*Outputs_Internal!N$52/12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D53*IF(AND(MONTH(B54)=1,YEAR(B54)&gt;=YEAR(Prices!$L$15)),1+Prices!$L$14,1)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$F54*Outputs_Internal!$D$52/12</f>
        <v>0</v>
      </c>
      <c r="N54" s="67">
        <f>$F54*Outputs_Internal!K$52/12</f>
        <v>0</v>
      </c>
      <c r="O54" s="67">
        <f>$F54*Outputs_Internal!L$52/12</f>
        <v>0</v>
      </c>
      <c r="P54" s="67">
        <f>$F54*Outputs_Internal!M$52/12</f>
        <v>0</v>
      </c>
      <c r="Q54" s="67">
        <f>$F54*Outputs_Internal!N$52/12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D54*IF(AND(MONTH(B55)=1,YEAR(B55)&gt;=YEAR(Prices!$L$15)),1+Prices!$L$14,1)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$F55*Outputs_Internal!$D$52/12</f>
        <v>0</v>
      </c>
      <c r="N55" s="67">
        <f>$F55*Outputs_Internal!K$52/12</f>
        <v>0</v>
      </c>
      <c r="O55" s="67">
        <f>$F55*Outputs_Internal!L$52/12</f>
        <v>0</v>
      </c>
      <c r="P55" s="67">
        <f>$F55*Outputs_Internal!M$52/12</f>
        <v>0</v>
      </c>
      <c r="Q55" s="67">
        <f>$F55*Outputs_Internal!N$52/12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D55*IF(AND(MONTH(B56)=1,YEAR(B56)&gt;=YEAR(Prices!$L$15)),1+Prices!$L$14,1)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$F56*Outputs_Internal!$D$52/12</f>
        <v>0</v>
      </c>
      <c r="N56" s="67">
        <f>$F56*Outputs_Internal!K$52/12</f>
        <v>0</v>
      </c>
      <c r="O56" s="67">
        <f>$F56*Outputs_Internal!L$52/12</f>
        <v>0</v>
      </c>
      <c r="P56" s="67">
        <f>$F56*Outputs_Internal!M$52/12</f>
        <v>0</v>
      </c>
      <c r="Q56" s="67">
        <f>$F56*Outputs_Internal!N$52/12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D56*IF(AND(MONTH(B57)=1,YEAR(B57)&gt;=YEAR(Prices!$L$15)),1+Prices!$L$14,1)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$F57*Outputs_Internal!$D$52/12</f>
        <v>0</v>
      </c>
      <c r="N57" s="67">
        <f>$F57*Outputs_Internal!K$52/12</f>
        <v>0</v>
      </c>
      <c r="O57" s="67">
        <f>$F57*Outputs_Internal!L$52/12</f>
        <v>0</v>
      </c>
      <c r="P57" s="67">
        <f>$F57*Outputs_Internal!M$52/12</f>
        <v>0</v>
      </c>
      <c r="Q57" s="67">
        <f>$F57*Outputs_Internal!N$52/12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D57*IF(AND(MONTH(B58)=1,YEAR(B58)&gt;=YEAR(Prices!$L$15)),1+Prices!$L$14,1)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$F58*Outputs_Internal!$D$52/12</f>
        <v>0</v>
      </c>
      <c r="N58" s="67">
        <f>$F58*Outputs_Internal!K$52/12</f>
        <v>0</v>
      </c>
      <c r="O58" s="67">
        <f>$F58*Outputs_Internal!L$52/12</f>
        <v>0</v>
      </c>
      <c r="P58" s="67">
        <f>$F58*Outputs_Internal!M$52/12</f>
        <v>0</v>
      </c>
      <c r="Q58" s="67">
        <f>$F58*Outputs_Internal!N$52/12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D58*IF(AND(MONTH(B59)=1,YEAR(B59)&gt;=YEAR(Prices!$L$15)),1+Prices!$L$14,1)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$F59*Outputs_Internal!$D$52/12</f>
        <v>0</v>
      </c>
      <c r="N59" s="67">
        <f>$F59*Outputs_Internal!K$52/12</f>
        <v>0</v>
      </c>
      <c r="O59" s="67">
        <f>$F59*Outputs_Internal!L$52/12</f>
        <v>0</v>
      </c>
      <c r="P59" s="67">
        <f>$F59*Outputs_Internal!M$52/12</f>
        <v>0</v>
      </c>
      <c r="Q59" s="67">
        <f>$F59*Outputs_Internal!N$52/12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D59*IF(AND(MONTH(B60)=1,YEAR(B60)&gt;=YEAR(Prices!$L$15)),1+Prices!$L$14,1)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$F60*Outputs_Internal!$D$52/12</f>
        <v>0</v>
      </c>
      <c r="N60" s="67">
        <f>$F60*Outputs_Internal!K$52/12</f>
        <v>0</v>
      </c>
      <c r="O60" s="67">
        <f>$F60*Outputs_Internal!L$52/12</f>
        <v>0</v>
      </c>
      <c r="P60" s="67">
        <f>$F60*Outputs_Internal!M$52/12</f>
        <v>0</v>
      </c>
      <c r="Q60" s="67">
        <f>$F60*Outputs_Internal!N$52/12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D60*IF(AND(MONTH(B61)=1,YEAR(B61)&gt;=YEAR(Prices!$L$15)),1+Prices!$L$14,1)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$F61*Outputs_Internal!$D$52/12</f>
        <v>0</v>
      </c>
      <c r="N61" s="67">
        <f>$F61*Outputs_Internal!K$52/12</f>
        <v>0</v>
      </c>
      <c r="O61" s="67">
        <f>$F61*Outputs_Internal!L$52/12</f>
        <v>0</v>
      </c>
      <c r="P61" s="67">
        <f>$F61*Outputs_Internal!M$52/12</f>
        <v>0</v>
      </c>
      <c r="Q61" s="67">
        <f>$F61*Outputs_Internal!N$52/12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D61*IF(AND(MONTH(B62)=1,YEAR(B62)&gt;=YEAR(Prices!$L$15)),1+Prices!$L$14,1)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$F62*Outputs_Internal!$D$52/12</f>
        <v>0</v>
      </c>
      <c r="N62" s="67">
        <f>$F62*Outputs_Internal!K$52/12</f>
        <v>0</v>
      </c>
      <c r="O62" s="67">
        <f>$F62*Outputs_Internal!L$52/12</f>
        <v>0</v>
      </c>
      <c r="P62" s="67">
        <f>$F62*Outputs_Internal!M$52/12</f>
        <v>0</v>
      </c>
      <c r="Q62" s="67">
        <f>$F62*Outputs_Internal!N$52/12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D62*IF(AND(MONTH(B63)=1,YEAR(B63)&gt;=YEAR(Prices!$L$15)),1+Prices!$L$14,1)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$F63*Outputs_Internal!$D$52/12</f>
        <v>0</v>
      </c>
      <c r="N63" s="67">
        <f>$F63*Outputs_Internal!K$52/12</f>
        <v>0</v>
      </c>
      <c r="O63" s="67">
        <f>$F63*Outputs_Internal!L$52/12</f>
        <v>0</v>
      </c>
      <c r="P63" s="67">
        <f>$F63*Outputs_Internal!M$52/12</f>
        <v>0</v>
      </c>
      <c r="Q63" s="67">
        <f>$F63*Outputs_Internal!N$52/12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D63*IF(AND(MONTH(B64)=1,YEAR(B64)&gt;=YEAR(Prices!$L$15)),1+Prices!$L$14,1)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$F64*Outputs_Internal!$D$52/12</f>
        <v>0</v>
      </c>
      <c r="N64" s="67">
        <f>$F64*Outputs_Internal!K$52/12</f>
        <v>0</v>
      </c>
      <c r="O64" s="67">
        <f>$F64*Outputs_Internal!L$52/12</f>
        <v>0</v>
      </c>
      <c r="P64" s="67">
        <f>$F64*Outputs_Internal!M$52/12</f>
        <v>0</v>
      </c>
      <c r="Q64" s="67">
        <f>$F64*Outputs_Internal!N$52/12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D64*IF(AND(MONTH(B65)=1,YEAR(B65)&gt;=YEAR(Prices!$L$15)),1+Prices!$L$14,1)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$F65*Outputs_Internal!$D$52/12</f>
        <v>0</v>
      </c>
      <c r="N65" s="67">
        <f>$F65*Outputs_Internal!K$52/12</f>
        <v>0</v>
      </c>
      <c r="O65" s="67">
        <f>$F65*Outputs_Internal!L$52/12</f>
        <v>0</v>
      </c>
      <c r="P65" s="67">
        <f>$F65*Outputs_Internal!M$52/12</f>
        <v>0</v>
      </c>
      <c r="Q65" s="67">
        <f>$F65*Outputs_Internal!N$52/12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D65*IF(AND(MONTH(B66)=1,YEAR(B66)&gt;=YEAR(Prices!$L$15)),1+Prices!$L$14,1)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$F66*Outputs_Internal!$D$52/12</f>
        <v>0</v>
      </c>
      <c r="N66" s="67">
        <f>$F66*Outputs_Internal!K$52/12</f>
        <v>0</v>
      </c>
      <c r="O66" s="67">
        <f>$F66*Outputs_Internal!L$52/12</f>
        <v>0</v>
      </c>
      <c r="P66" s="67">
        <f>$F66*Outputs_Internal!M$52/12</f>
        <v>0</v>
      </c>
      <c r="Q66" s="67">
        <f>$F66*Outputs_Internal!N$52/12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D66*IF(AND(MONTH(B67)=1,YEAR(B67)&gt;=YEAR(Prices!$L$15)),1+Prices!$L$14,1)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$F67*Outputs_Internal!$D$52/12</f>
        <v>0</v>
      </c>
      <c r="N67" s="67">
        <f>$F67*Outputs_Internal!K$52/12</f>
        <v>0</v>
      </c>
      <c r="O67" s="67">
        <f>$F67*Outputs_Internal!L$52/12</f>
        <v>0</v>
      </c>
      <c r="P67" s="67">
        <f>$F67*Outputs_Internal!M$52/12</f>
        <v>0</v>
      </c>
      <c r="Q67" s="67">
        <f>$F67*Outputs_Internal!N$52/12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D67*IF(AND(MONTH(B68)=1,YEAR(B68)&gt;=YEAR(Prices!$L$15)),1+Prices!$L$14,1)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$F68*Outputs_Internal!$D$52/12</f>
        <v>0</v>
      </c>
      <c r="N68" s="67">
        <f>$F68*Outputs_Internal!K$52/12</f>
        <v>0</v>
      </c>
      <c r="O68" s="67">
        <f>$F68*Outputs_Internal!L$52/12</f>
        <v>0</v>
      </c>
      <c r="P68" s="67">
        <f>$F68*Outputs_Internal!M$52/12</f>
        <v>0</v>
      </c>
      <c r="Q68" s="67">
        <f>$F68*Outputs_Internal!N$52/12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D68*IF(AND(MONTH(B69)=1,YEAR(B69)&gt;=YEAR(Prices!$L$15)),1+Prices!$L$14,1)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$F69*Outputs_Internal!$D$52/12</f>
        <v>0</v>
      </c>
      <c r="N69" s="67">
        <f>$F69*Outputs_Internal!K$52/12</f>
        <v>0</v>
      </c>
      <c r="O69" s="67">
        <f>$F69*Outputs_Internal!L$52/12</f>
        <v>0</v>
      </c>
      <c r="P69" s="67">
        <f>$F69*Outputs_Internal!M$52/12</f>
        <v>0</v>
      </c>
      <c r="Q69" s="67">
        <f>$F69*Outputs_Internal!N$52/12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D69*IF(AND(MONTH(B70)=1,YEAR(B70)&gt;=YEAR(Prices!$L$15)),1+Prices!$L$14,1)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$F70*Outputs_Internal!$D$52/12</f>
        <v>0</v>
      </c>
      <c r="N70" s="67">
        <f>$F70*Outputs_Internal!K$52/12</f>
        <v>0</v>
      </c>
      <c r="O70" s="67">
        <f>$F70*Outputs_Internal!L$52/12</f>
        <v>0</v>
      </c>
      <c r="P70" s="67">
        <f>$F70*Outputs_Internal!M$52/12</f>
        <v>0</v>
      </c>
      <c r="Q70" s="67">
        <f>$F70*Outputs_Internal!N$52/12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D70*IF(AND(MONTH(B71)=1,YEAR(B71)&gt;=YEAR(Prices!$L$15)),1+Prices!$L$14,1)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$F71*Outputs_Internal!$D$52/12</f>
        <v>0</v>
      </c>
      <c r="N71" s="67">
        <f>$F71*Outputs_Internal!K$52/12</f>
        <v>0</v>
      </c>
      <c r="O71" s="67">
        <f>$F71*Outputs_Internal!L$52/12</f>
        <v>0</v>
      </c>
      <c r="P71" s="67">
        <f>$F71*Outputs_Internal!M$52/12</f>
        <v>0</v>
      </c>
      <c r="Q71" s="67">
        <f>$F71*Outputs_Internal!N$52/12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D71*IF(AND(MONTH(B72)=1,YEAR(B72)&gt;=YEAR(Prices!$L$15)),1+Prices!$L$14,1)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$F72*Outputs_Internal!$D$52/12</f>
        <v>0</v>
      </c>
      <c r="N72" s="67">
        <f>$F72*Outputs_Internal!K$52/12</f>
        <v>0</v>
      </c>
      <c r="O72" s="67">
        <f>$F72*Outputs_Internal!L$52/12</f>
        <v>0</v>
      </c>
      <c r="P72" s="67">
        <f>$F72*Outputs_Internal!M$52/12</f>
        <v>0</v>
      </c>
      <c r="Q72" s="67">
        <f>$F72*Outputs_Internal!N$52/12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D72*IF(AND(MONTH(B73)=1,YEAR(B73)&gt;=YEAR(Prices!$L$15)),1+Prices!$L$14,1)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$F73*Outputs_Internal!$D$52/12</f>
        <v>0</v>
      </c>
      <c r="N73" s="67">
        <f>$F73*Outputs_Internal!K$52/12</f>
        <v>0</v>
      </c>
      <c r="O73" s="67">
        <f>$F73*Outputs_Internal!L$52/12</f>
        <v>0</v>
      </c>
      <c r="P73" s="67">
        <f>$F73*Outputs_Internal!M$52/12</f>
        <v>0</v>
      </c>
      <c r="Q73" s="67">
        <f>$F73*Outputs_Internal!N$52/12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D73*IF(AND(MONTH(B74)=1,YEAR(B74)&gt;=YEAR(Prices!$L$15)),1+Prices!$L$14,1)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$F74*Outputs_Internal!$D$52/12</f>
        <v>0</v>
      </c>
      <c r="N74" s="67">
        <f>$F74*Outputs_Internal!K$52/12</f>
        <v>0</v>
      </c>
      <c r="O74" s="67">
        <f>$F74*Outputs_Internal!L$52/12</f>
        <v>0</v>
      </c>
      <c r="P74" s="67">
        <f>$F74*Outputs_Internal!M$52/12</f>
        <v>0</v>
      </c>
      <c r="Q74" s="67">
        <f>$F74*Outputs_Internal!N$52/12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D74*IF(AND(MONTH(B75)=1,YEAR(B75)&gt;=YEAR(Prices!$L$15)),1+Prices!$L$14,1)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$F75*Outputs_Internal!$D$52/12</f>
        <v>0</v>
      </c>
      <c r="N75" s="67">
        <f>$F75*Outputs_Internal!K$52/12</f>
        <v>0</v>
      </c>
      <c r="O75" s="67">
        <f>$F75*Outputs_Internal!L$52/12</f>
        <v>0</v>
      </c>
      <c r="P75" s="67">
        <f>$F75*Outputs_Internal!M$52/12</f>
        <v>0</v>
      </c>
      <c r="Q75" s="67">
        <f>$F75*Outputs_Internal!N$52/12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D75*IF(AND(MONTH(B76)=1,YEAR(B76)&gt;=YEAR(Prices!$L$15)),1+Prices!$L$14,1)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$F76*Outputs_Internal!$D$52/12</f>
        <v>0</v>
      </c>
      <c r="N76" s="67">
        <f>$F76*Outputs_Internal!K$52/12</f>
        <v>0</v>
      </c>
      <c r="O76" s="67">
        <f>$F76*Outputs_Internal!L$52/12</f>
        <v>0</v>
      </c>
      <c r="P76" s="67">
        <f>$F76*Outputs_Internal!M$52/12</f>
        <v>0</v>
      </c>
      <c r="Q76" s="67">
        <f>$F76*Outputs_Internal!N$52/12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D76*IF(AND(MONTH(B77)=1,YEAR(B77)&gt;=YEAR(Prices!$L$15)),1+Prices!$L$14,1)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$F77*Outputs_Internal!$D$52/12</f>
        <v>0</v>
      </c>
      <c r="N77" s="67">
        <f>$F77*Outputs_Internal!K$52/12</f>
        <v>0</v>
      </c>
      <c r="O77" s="67">
        <f>$F77*Outputs_Internal!L$52/12</f>
        <v>0</v>
      </c>
      <c r="P77" s="67">
        <f>$F77*Outputs_Internal!M$52/12</f>
        <v>0</v>
      </c>
      <c r="Q77" s="67">
        <f>$F77*Outputs_Internal!N$52/12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D77*IF(AND(MONTH(B78)=1,YEAR(B78)&gt;=YEAR(Prices!$L$15)),1+Prices!$L$14,1)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$F78*Outputs_Internal!$D$52/12</f>
        <v>0</v>
      </c>
      <c r="N78" s="67">
        <f>$F78*Outputs_Internal!K$52/12</f>
        <v>0</v>
      </c>
      <c r="O78" s="67">
        <f>$F78*Outputs_Internal!L$52/12</f>
        <v>0</v>
      </c>
      <c r="P78" s="67">
        <f>$F78*Outputs_Internal!M$52/12</f>
        <v>0</v>
      </c>
      <c r="Q78" s="67">
        <f>$F78*Outputs_Internal!N$52/12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D78*IF(AND(MONTH(B79)=1,YEAR(B79)&gt;=YEAR(Prices!$L$15)),1+Prices!$L$14,1)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$F79*Outputs_Internal!$D$52/12</f>
        <v>0</v>
      </c>
      <c r="N79" s="67">
        <f>$F79*Outputs_Internal!K$52/12</f>
        <v>0</v>
      </c>
      <c r="O79" s="67">
        <f>$F79*Outputs_Internal!L$52/12</f>
        <v>0</v>
      </c>
      <c r="P79" s="67">
        <f>$F79*Outputs_Internal!M$52/12</f>
        <v>0</v>
      </c>
      <c r="Q79" s="67">
        <f>$F79*Outputs_Internal!N$52/12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D79*IF(AND(MONTH(B80)=1,YEAR(B80)&gt;=YEAR(Prices!$L$15)),1+Prices!$L$14,1)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$F80*Outputs_Internal!$D$52/12</f>
        <v>0</v>
      </c>
      <c r="N80" s="67">
        <f>$F80*Outputs_Internal!K$52/12</f>
        <v>0</v>
      </c>
      <c r="O80" s="67">
        <f>$F80*Outputs_Internal!L$52/12</f>
        <v>0</v>
      </c>
      <c r="P80" s="67">
        <f>$F80*Outputs_Internal!M$52/12</f>
        <v>0</v>
      </c>
      <c r="Q80" s="67">
        <f>$F80*Outputs_Internal!N$52/12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D80*IF(AND(MONTH(B81)=1,YEAR(B81)&gt;=YEAR(Prices!$L$15)),1+Prices!$L$14,1)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$F81*Outputs_Internal!$D$52/12</f>
        <v>0</v>
      </c>
      <c r="N81" s="67">
        <f>$F81*Outputs_Internal!K$52/12</f>
        <v>0</v>
      </c>
      <c r="O81" s="67">
        <f>$F81*Outputs_Internal!L$52/12</f>
        <v>0</v>
      </c>
      <c r="P81" s="67">
        <f>$F81*Outputs_Internal!M$52/12</f>
        <v>0</v>
      </c>
      <c r="Q81" s="67">
        <f>$F81*Outputs_Internal!N$52/12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D81*IF(AND(MONTH(B82)=1,YEAR(B82)&gt;=YEAR(Prices!$L$15)),1+Prices!$L$14,1)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$F82*Outputs_Internal!$D$52/12</f>
        <v>0</v>
      </c>
      <c r="N82" s="67">
        <f>$F82*Outputs_Internal!K$52/12</f>
        <v>0</v>
      </c>
      <c r="O82" s="67">
        <f>$F82*Outputs_Internal!L$52/12</f>
        <v>0</v>
      </c>
      <c r="P82" s="67">
        <f>$F82*Outputs_Internal!M$52/12</f>
        <v>0</v>
      </c>
      <c r="Q82" s="67">
        <f>$F82*Outputs_Internal!N$52/12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D82*IF(AND(MONTH(B83)=1,YEAR(B83)&gt;=YEAR(Prices!$L$15)),1+Prices!$L$14,1)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$F83*Outputs_Internal!$D$52/12</f>
        <v>0</v>
      </c>
      <c r="N83" s="67">
        <f>$F83*Outputs_Internal!K$52/12</f>
        <v>0</v>
      </c>
      <c r="O83" s="67">
        <f>$F83*Outputs_Internal!L$52/12</f>
        <v>0</v>
      </c>
      <c r="P83" s="67">
        <f>$F83*Outputs_Internal!M$52/12</f>
        <v>0</v>
      </c>
      <c r="Q83" s="67">
        <f>$F83*Outputs_Internal!N$52/12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D83*IF(AND(MONTH(B84)=1,YEAR(B84)&gt;=YEAR(Prices!$L$15)),1+Prices!$L$14,1)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$F84*Outputs_Internal!$D$52/12</f>
        <v>0</v>
      </c>
      <c r="N84" s="67">
        <f>$F84*Outputs_Internal!K$52/12</f>
        <v>0</v>
      </c>
      <c r="O84" s="67">
        <f>$F84*Outputs_Internal!L$52/12</f>
        <v>0</v>
      </c>
      <c r="P84" s="67">
        <f>$F84*Outputs_Internal!M$52/12</f>
        <v>0</v>
      </c>
      <c r="Q84" s="67">
        <f>$F84*Outputs_Internal!N$52/12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D84*IF(AND(MONTH(B85)=1,YEAR(B85)&gt;=YEAR(Prices!$L$15)),1+Prices!$L$14,1)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$F85*Outputs_Internal!$D$52/12</f>
        <v>0</v>
      </c>
      <c r="N85" s="67">
        <f>$F85*Outputs_Internal!K$52/12</f>
        <v>0</v>
      </c>
      <c r="O85" s="67">
        <f>$F85*Outputs_Internal!L$52/12</f>
        <v>0</v>
      </c>
      <c r="P85" s="67">
        <f>$F85*Outputs_Internal!M$52/12</f>
        <v>0</v>
      </c>
      <c r="Q85" s="67">
        <f>$F85*Outputs_Internal!N$52/12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D85*IF(AND(MONTH(B86)=1,YEAR(B86)&gt;=YEAR(Prices!$L$15)),1+Prices!$L$14,1)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$F86*Outputs_Internal!$D$52/12</f>
        <v>0</v>
      </c>
      <c r="N86" s="67">
        <f>$F86*Outputs_Internal!K$52/12</f>
        <v>0</v>
      </c>
      <c r="O86" s="67">
        <f>$F86*Outputs_Internal!L$52/12</f>
        <v>0</v>
      </c>
      <c r="P86" s="67">
        <f>$F86*Outputs_Internal!M$52/12</f>
        <v>0</v>
      </c>
      <c r="Q86" s="67">
        <f>$F86*Outputs_Internal!N$52/12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D86*IF(AND(MONTH(B87)=1,YEAR(B87)&gt;=YEAR(Prices!$L$15)),1+Prices!$L$14,1)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$F87*Outputs_Internal!$D$52/12</f>
        <v>0</v>
      </c>
      <c r="N87" s="67">
        <f>$F87*Outputs_Internal!K$52/12</f>
        <v>0</v>
      </c>
      <c r="O87" s="67">
        <f>$F87*Outputs_Internal!L$52/12</f>
        <v>0</v>
      </c>
      <c r="P87" s="67">
        <f>$F87*Outputs_Internal!M$52/12</f>
        <v>0</v>
      </c>
      <c r="Q87" s="67">
        <f>$F87*Outputs_Internal!N$52/12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D87*IF(AND(MONTH(B88)=1,YEAR(B88)&gt;=YEAR(Prices!$L$15)),1+Prices!$L$14,1)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$F88*Outputs_Internal!$D$52/12</f>
        <v>0</v>
      </c>
      <c r="N88" s="67">
        <f>$F88*Outputs_Internal!K$52/12</f>
        <v>0</v>
      </c>
      <c r="O88" s="67">
        <f>$F88*Outputs_Internal!L$52/12</f>
        <v>0</v>
      </c>
      <c r="P88" s="67">
        <f>$F88*Outputs_Internal!M$52/12</f>
        <v>0</v>
      </c>
      <c r="Q88" s="67">
        <f>$F88*Outputs_Internal!N$52/12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D88*IF(AND(MONTH(B89)=1,YEAR(B89)&gt;=YEAR(Prices!$L$15)),1+Prices!$L$14,1)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$F89*Outputs_Internal!$D$52/12</f>
        <v>0</v>
      </c>
      <c r="N89" s="67">
        <f>$F89*Outputs_Internal!K$52/12</f>
        <v>0</v>
      </c>
      <c r="O89" s="67">
        <f>$F89*Outputs_Internal!L$52/12</f>
        <v>0</v>
      </c>
      <c r="P89" s="67">
        <f>$F89*Outputs_Internal!M$52/12</f>
        <v>0</v>
      </c>
      <c r="Q89" s="67">
        <f>$F89*Outputs_Internal!N$52/12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D89*IF(AND(MONTH(B90)=1,YEAR(B90)&gt;=YEAR(Prices!$L$15)),1+Prices!$L$14,1)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$F90*Outputs_Internal!$D$52/12</f>
        <v>0</v>
      </c>
      <c r="N90" s="67">
        <f>$F90*Outputs_Internal!K$52/12</f>
        <v>0</v>
      </c>
      <c r="O90" s="67">
        <f>$F90*Outputs_Internal!L$52/12</f>
        <v>0</v>
      </c>
      <c r="P90" s="67">
        <f>$F90*Outputs_Internal!M$52/12</f>
        <v>0</v>
      </c>
      <c r="Q90" s="67">
        <f>$F90*Outputs_Internal!N$52/12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D90*IF(AND(MONTH(B91)=1,YEAR(B91)&gt;=YEAR(Prices!$L$15)),1+Prices!$L$14,1)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$F91*Outputs_Internal!$D$52/12</f>
        <v>0</v>
      </c>
      <c r="N91" s="67">
        <f>$F91*Outputs_Internal!K$52/12</f>
        <v>0</v>
      </c>
      <c r="O91" s="67">
        <f>$F91*Outputs_Internal!L$52/12</f>
        <v>0</v>
      </c>
      <c r="P91" s="67">
        <f>$F91*Outputs_Internal!M$52/12</f>
        <v>0</v>
      </c>
      <c r="Q91" s="67">
        <f>$F91*Outputs_Internal!N$52/12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D91*IF(AND(MONTH(B92)=1,YEAR(B92)&gt;=YEAR(Prices!$L$15)),1+Prices!$L$14,1)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$F92*Outputs_Internal!$D$52/12</f>
        <v>0</v>
      </c>
      <c r="N92" s="67">
        <f>$F92*Outputs_Internal!K$52/12</f>
        <v>0</v>
      </c>
      <c r="O92" s="67">
        <f>$F92*Outputs_Internal!L$52/12</f>
        <v>0</v>
      </c>
      <c r="P92" s="67">
        <f>$F92*Outputs_Internal!M$52/12</f>
        <v>0</v>
      </c>
      <c r="Q92" s="67">
        <f>$F92*Outputs_Internal!N$52/12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D92*IF(AND(MONTH(B93)=1,YEAR(B93)&gt;=YEAR(Prices!$L$15)),1+Prices!$L$14,1)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$F93*Outputs_Internal!$D$52/12</f>
        <v>0</v>
      </c>
      <c r="N93" s="67">
        <f>$F93*Outputs_Internal!K$52/12</f>
        <v>0</v>
      </c>
      <c r="O93" s="67">
        <f>$F93*Outputs_Internal!L$52/12</f>
        <v>0</v>
      </c>
      <c r="P93" s="67">
        <f>$F93*Outputs_Internal!M$52/12</f>
        <v>0</v>
      </c>
      <c r="Q93" s="67">
        <f>$F93*Outputs_Internal!N$52/12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D93*IF(AND(MONTH(B94)=1,YEAR(B94)&gt;=YEAR(Prices!$L$15)),1+Prices!$L$14,1)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$F94*Outputs_Internal!$D$52/12</f>
        <v>0</v>
      </c>
      <c r="N94" s="67">
        <f>$F94*Outputs_Internal!K$52/12</f>
        <v>0</v>
      </c>
      <c r="O94" s="67">
        <f>$F94*Outputs_Internal!L$52/12</f>
        <v>0</v>
      </c>
      <c r="P94" s="67">
        <f>$F94*Outputs_Internal!M$52/12</f>
        <v>0</v>
      </c>
      <c r="Q94" s="67">
        <f>$F94*Outputs_Internal!N$52/12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93" sqref="K9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  <c r="K2" s="21" t="s">
        <v>45</v>
      </c>
      <c r="L2" s="21" t="s">
        <v>46</v>
      </c>
      <c r="M2" s="21" t="s">
        <v>47</v>
      </c>
      <c r="N2" s="21" t="s">
        <v>48</v>
      </c>
      <c r="O2" s="21" t="s">
        <v>49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32750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  <c r="K5" s="22" t="s">
        <v>114</v>
      </c>
      <c r="L5" s="22" t="s">
        <v>113</v>
      </c>
      <c r="M5" s="22" t="s">
        <v>115</v>
      </c>
    </row>
    <row r="6" spans="2:15" x14ac:dyDescent="0.25">
      <c r="B6" s="6" t="s">
        <v>108</v>
      </c>
      <c r="D6" s="5">
        <f>IF(Inputs!D$4="N",MIN(MAX(Inputs!D$7-$K6,0),$L6-$K6),0)</f>
        <v>25000</v>
      </c>
      <c r="E6" s="5">
        <f>IF(Inputs!E$4="N",MIN(MAX(Inputs!E$7-$K6,0),$L6-$K6),0)</f>
        <v>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9">
        <v>25000</v>
      </c>
      <c r="L6" s="69">
        <v>50000</v>
      </c>
      <c r="M6" s="83">
        <v>1</v>
      </c>
    </row>
    <row r="7" spans="2:15" x14ac:dyDescent="0.25">
      <c r="B7" s="6" t="s">
        <v>109</v>
      </c>
      <c r="D7" s="5">
        <f>IF(Inputs!D$4="N",MIN(MAX(Inputs!D$7-$K7,0),$L7-$K7),0)</f>
        <v>50000</v>
      </c>
      <c r="E7" s="5">
        <f>IF(Inputs!E$4="N",MIN(MAX(Inputs!E$7-$K7,0),$L7-$K7),0)</f>
        <v>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9">
        <v>50000</v>
      </c>
      <c r="L7" s="69">
        <v>100000</v>
      </c>
      <c r="M7" s="24">
        <f>Prices!$F$4</f>
        <v>0.6</v>
      </c>
    </row>
    <row r="8" spans="2:15" x14ac:dyDescent="0.25">
      <c r="B8" s="6" t="s">
        <v>110</v>
      </c>
      <c r="D8" s="5">
        <f>IF(Inputs!D$4="N",MIN(MAX(Inputs!D$7-$K8,0),$L8-$K8),0)</f>
        <v>150000</v>
      </c>
      <c r="E8" s="5">
        <f>IF(Inputs!E$4="N",MIN(MAX(Inputs!E$7-$K8,0),$L8-$K8),0)</f>
        <v>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9">
        <v>100000</v>
      </c>
      <c r="L8" s="69">
        <v>250000</v>
      </c>
      <c r="M8" s="24">
        <f>Prices!$G$4</f>
        <v>0.24</v>
      </c>
    </row>
    <row r="9" spans="2:15" x14ac:dyDescent="0.25">
      <c r="B9" s="6" t="s">
        <v>112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9">
        <v>250000</v>
      </c>
      <c r="L9" s="69">
        <v>1000000000</v>
      </c>
      <c r="M9" s="24">
        <f>Prices!$H$4</f>
        <v>0.2</v>
      </c>
    </row>
    <row r="10" spans="2:15" x14ac:dyDescent="0.25">
      <c r="C10" s="84" t="s">
        <v>116</v>
      </c>
      <c r="D10" s="85">
        <f>IFERROR(SUMPRODUCT(D6:D9,$M$6:$M$9)/SUM(D6:D9),0)</f>
        <v>0.40444444444444444</v>
      </c>
      <c r="E10" s="85">
        <f t="shared" ref="E10:H10" si="0">IFERROR(SUMPRODUCT(E6:E9,$M$6:$M$9)/SUM(E6:E9),0)</f>
        <v>0</v>
      </c>
      <c r="F10" s="85">
        <f t="shared" si="0"/>
        <v>0</v>
      </c>
      <c r="G10" s="85">
        <f t="shared" si="0"/>
        <v>0</v>
      </c>
      <c r="H10" s="85">
        <f t="shared" si="0"/>
        <v>0</v>
      </c>
    </row>
    <row r="11" spans="2:15" x14ac:dyDescent="0.25">
      <c r="C11" s="84" t="s">
        <v>117</v>
      </c>
      <c r="D11" s="86">
        <f>SUM(D6:D9)</f>
        <v>225000</v>
      </c>
      <c r="E11" s="86">
        <f t="shared" ref="E11:H11" si="1">SUM(E6:E9)</f>
        <v>0</v>
      </c>
      <c r="F11" s="86">
        <f t="shared" si="1"/>
        <v>0</v>
      </c>
      <c r="G11" s="86">
        <f t="shared" si="1"/>
        <v>0</v>
      </c>
      <c r="H11" s="86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68</v>
      </c>
    </row>
    <row r="14" spans="2:15" x14ac:dyDescent="0.25">
      <c r="C14" s="15" t="s">
        <v>2</v>
      </c>
      <c r="D14" s="16">
        <f>IF(Inputs!D4="Y", Prices!$C$6, IF(Inputs!D4="N", Prices!$D$6, 0))</f>
        <v>30000</v>
      </c>
      <c r="E14" s="16">
        <f>IF(Inputs!E4="Y", Prices!$C$6, IF(Inputs!E4="N", Prices!$D$6, 0))</f>
        <v>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25">
      <c r="C15" s="15" t="s">
        <v>3</v>
      </c>
      <c r="D15" s="16">
        <f>IF(Inputs!D8="Y", Prices!$C$7, 0)</f>
        <v>6750</v>
      </c>
      <c r="E15" s="16">
        <f>IF(Inputs!E8="Y", Prices!$C$7, 0)</f>
        <v>0</v>
      </c>
      <c r="F15" s="16">
        <f>IF(Inputs!F8="Y", Prices!$C$7, 0)</f>
        <v>0</v>
      </c>
      <c r="G15" s="16">
        <f>IF(Inputs!G8="Y", Prices!$C$7, 0)</f>
        <v>0</v>
      </c>
      <c r="H15" s="16">
        <f>IF(Inputs!H8="Y", Prices!$C$7, 0)</f>
        <v>0</v>
      </c>
    </row>
    <row r="16" spans="2:15" x14ac:dyDescent="0.25">
      <c r="C16" s="17" t="s">
        <v>30</v>
      </c>
      <c r="D16" s="18">
        <f xml:space="preserve"> IF(OR(Inputs!D9="Y",Inputs!D$19="Y"), Prices!$C10, 0)</f>
        <v>1000</v>
      </c>
      <c r="E16" s="18">
        <f xml:space="preserve"> IF(OR(Inputs!E9="Y",Inputs!E$19="Y"), Prices!$C10, 0)</f>
        <v>0</v>
      </c>
      <c r="F16" s="18">
        <f xml:space="preserve"> IF(OR(Inputs!F9="Y",Inputs!F$19="Y"), Prices!$C10, 0)</f>
        <v>0</v>
      </c>
      <c r="G16" s="18">
        <f xml:space="preserve"> IF(OR(Inputs!G9="Y",Inputs!G$19="Y"), Prices!$C10, 0)</f>
        <v>0</v>
      </c>
      <c r="H16" s="18">
        <f xml:space="preserve"> IF(OR(Inputs!H9="Y",Inputs!H$19="Y"), Prices!$C10, 0)</f>
        <v>0</v>
      </c>
    </row>
    <row r="17" spans="2:8" x14ac:dyDescent="0.25">
      <c r="C17" s="17" t="s">
        <v>10</v>
      </c>
      <c r="D17" s="18">
        <f xml:space="preserve"> IF(OR(Inputs!D10="Y",Inputs!D$19="Y"), Prices!$C11, 0)</f>
        <v>4000</v>
      </c>
      <c r="E17" s="18">
        <f xml:space="preserve"> IF(OR(Inputs!E10="Y",Inputs!E$19="Y"), Prices!$C11, 0)</f>
        <v>0</v>
      </c>
      <c r="F17" s="18">
        <f xml:space="preserve"> IF(OR(Inputs!F10="Y",Inputs!F$19="Y"), Prices!$C11, 0)</f>
        <v>0</v>
      </c>
      <c r="G17" s="18">
        <f xml:space="preserve"> IF(OR(Inputs!G10="Y",Inputs!G$19="Y"), Prices!$C11, 0)</f>
        <v>0</v>
      </c>
      <c r="H17" s="18">
        <f xml:space="preserve"> IF(OR(Inputs!H10="Y",Inputs!H$19="Y"), Prices!$C11, 0)</f>
        <v>0</v>
      </c>
    </row>
    <row r="18" spans="2:8" x14ac:dyDescent="0.25">
      <c r="C18" s="17" t="s">
        <v>31</v>
      </c>
      <c r="D18" s="18">
        <f xml:space="preserve"> IF(OR(Inputs!D11="Y",Inputs!D$19="Y"), Prices!$C12, 0)</f>
        <v>2000</v>
      </c>
      <c r="E18" s="18">
        <f xml:space="preserve"> IF(OR(Inputs!E11="Y",Inputs!E$19="Y"), Prices!$C12, 0)</f>
        <v>0</v>
      </c>
      <c r="F18" s="18">
        <f xml:space="preserve"> IF(OR(Inputs!F11="Y",Inputs!F$19="Y"), Prices!$C12, 0)</f>
        <v>0</v>
      </c>
      <c r="G18" s="18">
        <f xml:space="preserve"> IF(OR(Inputs!G11="Y",Inputs!G$19="Y"), Prices!$C12, 0)</f>
        <v>0</v>
      </c>
      <c r="H18" s="18">
        <f xml:space="preserve"> IF(OR(Inputs!H11="Y",Inputs!H$19="Y"), Prices!$C12, 0)</f>
        <v>0</v>
      </c>
    </row>
    <row r="19" spans="2:8" x14ac:dyDescent="0.25">
      <c r="C19" s="17" t="s">
        <v>11</v>
      </c>
      <c r="D19" s="18">
        <f xml:space="preserve"> IF(OR(Inputs!D12="Y",Inputs!D$19="Y"), Prices!$C13, 0)</f>
        <v>2000</v>
      </c>
      <c r="E19" s="18">
        <f xml:space="preserve"> IF(OR(Inputs!E12="Y",Inputs!E$19="Y"), Prices!$C13, 0)</f>
        <v>0</v>
      </c>
      <c r="F19" s="18">
        <f xml:space="preserve"> IF(OR(Inputs!F12="Y",Inputs!F$19="Y"), Prices!$C13, 0)</f>
        <v>0</v>
      </c>
      <c r="G19" s="18">
        <f xml:space="preserve"> IF(OR(Inputs!G12="Y",Inputs!G$19="Y"), Prices!$C13, 0)</f>
        <v>0</v>
      </c>
      <c r="H19" s="18">
        <f xml:space="preserve"> IF(OR(Inputs!H12="Y",Inputs!H$19="Y"), Prices!$C13, 0)</f>
        <v>0</v>
      </c>
    </row>
    <row r="20" spans="2:8" x14ac:dyDescent="0.25">
      <c r="C20" s="17" t="s">
        <v>12</v>
      </c>
      <c r="D20" s="18">
        <f xml:space="preserve"> IF(OR(Inputs!D13="Y",Inputs!D$19="Y"), Prices!$C14, 0)</f>
        <v>6000</v>
      </c>
      <c r="E20" s="18">
        <f xml:space="preserve"> IF(OR(Inputs!E13="Y",Inputs!E$19="Y"), Prices!$C14, 0)</f>
        <v>0</v>
      </c>
      <c r="F20" s="18">
        <f xml:space="preserve"> IF(OR(Inputs!F13="Y",Inputs!F$19="Y"), Prices!$C14, 0)</f>
        <v>0</v>
      </c>
      <c r="G20" s="18">
        <f xml:space="preserve"> IF(OR(Inputs!G13="Y",Inputs!G$19="Y"), Prices!$C14, 0)</f>
        <v>0</v>
      </c>
      <c r="H20" s="18">
        <f xml:space="preserve"> IF(OR(Inputs!H13="Y",Inputs!H$19="Y"), Prices!$C14, 0)</f>
        <v>0</v>
      </c>
    </row>
    <row r="21" spans="2:8" x14ac:dyDescent="0.25">
      <c r="C21" s="17" t="s">
        <v>98</v>
      </c>
      <c r="D21" s="18">
        <f xml:space="preserve"> IF(OR(Inputs!D14="Y",Inputs!D$19="Y"), Prices!$C15, 0)</f>
        <v>4000</v>
      </c>
      <c r="E21" s="18">
        <f xml:space="preserve"> IF(OR(Inputs!E14="Y",Inputs!E$19="Y"), Prices!$C15, 0)</f>
        <v>0</v>
      </c>
      <c r="F21" s="18">
        <f xml:space="preserve"> IF(OR(Inputs!F14="Y",Inputs!F$19="Y"), Prices!$C15, 0)</f>
        <v>0</v>
      </c>
      <c r="G21" s="18">
        <f xml:space="preserve"> IF(OR(Inputs!G14="Y",Inputs!G$19="Y"), Prices!$C15, 0)</f>
        <v>0</v>
      </c>
      <c r="H21" s="18">
        <f xml:space="preserve"> IF(OR(Inputs!H14="Y",Inputs!H$19="Y"), Prices!$C15, 0)</f>
        <v>0</v>
      </c>
    </row>
    <row r="22" spans="2:8" x14ac:dyDescent="0.25">
      <c r="C22" s="19" t="s">
        <v>13</v>
      </c>
      <c r="D22" s="20">
        <f xml:space="preserve"> IF(OR(Inputs!D15="Y",Inputs!D$20="Y"), Prices!$C16, 0)</f>
        <v>0</v>
      </c>
      <c r="E22" s="20">
        <f xml:space="preserve"> IF(OR(Inputs!E15="Y",Inputs!E$20="Y"), Prices!$C16, 0)</f>
        <v>0</v>
      </c>
      <c r="F22" s="20">
        <f xml:space="preserve"> IF(OR(Inputs!F15="Y",Inputs!F$20="Y"), Prices!$C16, 0)</f>
        <v>0</v>
      </c>
      <c r="G22" s="20">
        <f xml:space="preserve"> IF(OR(Inputs!G15="Y",Inputs!G$20="Y"), Prices!$C16, 0)</f>
        <v>0</v>
      </c>
      <c r="H22" s="20">
        <f xml:space="preserve"> IF(OR(Inputs!H15="Y",Inputs!H$20="Y"), Prices!$C16, 0)</f>
        <v>0</v>
      </c>
    </row>
    <row r="23" spans="2:8" x14ac:dyDescent="0.25">
      <c r="C23" s="19" t="s">
        <v>14</v>
      </c>
      <c r="D23" s="20">
        <f xml:space="preserve"> IF(OR(Inputs!D16="Y",Inputs!D$20="Y"), Prices!$C17, 0)</f>
        <v>0</v>
      </c>
      <c r="E23" s="20">
        <f xml:space="preserve"> IF(OR(Inputs!E16="Y",Inputs!E$20="Y"), Prices!$C17, 0)</f>
        <v>0</v>
      </c>
      <c r="F23" s="20">
        <f xml:space="preserve"> IF(OR(Inputs!F16="Y",Inputs!F$20="Y"), Prices!$C17, 0)</f>
        <v>0</v>
      </c>
      <c r="G23" s="20">
        <f xml:space="preserve"> IF(OR(Inputs!G16="Y",Inputs!G$20="Y"), Prices!$C17, 0)</f>
        <v>0</v>
      </c>
      <c r="H23" s="20">
        <f xml:space="preserve"> IF(OR(Inputs!H16="Y",Inputs!H$20="Y"), Prices!$C17, 0)</f>
        <v>0</v>
      </c>
    </row>
    <row r="24" spans="2:8" x14ac:dyDescent="0.25">
      <c r="C24" s="19" t="s">
        <v>32</v>
      </c>
      <c r="D24" s="20">
        <f xml:space="preserve"> IF(OR(Inputs!D17="Y",Inputs!D$20="Y"), Prices!$C18, 0)</f>
        <v>0</v>
      </c>
      <c r="E24" s="20">
        <f xml:space="preserve"> IF(OR(Inputs!E17="Y",Inputs!E$20="Y"), Prices!$C18, 0)</f>
        <v>0</v>
      </c>
      <c r="F24" s="20">
        <f xml:space="preserve"> IF(OR(Inputs!F17="Y",Inputs!F$20="Y"), Prices!$C18, 0)</f>
        <v>0</v>
      </c>
      <c r="G24" s="20">
        <f xml:space="preserve"> IF(OR(Inputs!G17="Y",Inputs!G$20="Y"), Prices!$C18, 0)</f>
        <v>0</v>
      </c>
      <c r="H24" s="20">
        <f xml:space="preserve"> IF(OR(Inputs!H17="Y",Inputs!H$20="Y"), Prices!$C18, 0)</f>
        <v>0</v>
      </c>
    </row>
    <row r="26" spans="2:8" x14ac:dyDescent="0.25">
      <c r="B26" s="6" t="s">
        <v>69</v>
      </c>
    </row>
    <row r="27" spans="2:8" x14ac:dyDescent="0.25">
      <c r="C27" s="15" t="s">
        <v>2</v>
      </c>
      <c r="D27" s="16">
        <f>IF(Inputs!D$4="Y", 0, IF(D$11 = "", "", PRODUCT(D$11, Prices!$E$6)))*D$10</f>
        <v>24570.000000000004</v>
      </c>
      <c r="E27" s="16">
        <f>IF(Inputs!E$4="Y", 0, IF(E$11 = "", "", PRODUCT(E$11, Prices!$E$6)))*E$10</f>
        <v>0</v>
      </c>
      <c r="F27" s="16">
        <f>IF(Inputs!F$4="Y", 0, IF(F$11 = "", "", PRODUCT(F$11, Prices!$E$6)))*F$10</f>
        <v>0</v>
      </c>
      <c r="G27" s="16">
        <f>IF(Inputs!G$4="Y", 0, IF(G$11 = "", "", PRODUCT(G$11, Prices!$E$6)))*G$10</f>
        <v>0</v>
      </c>
      <c r="H27" s="16">
        <f>IF(Inputs!H$4="Y", 0, IF(H$11 = "", "", PRODUCT(H$11, Prices!$E$6)))*H$10</f>
        <v>0</v>
      </c>
    </row>
    <row r="28" spans="2:8" x14ac:dyDescent="0.25">
      <c r="C28" s="28" t="s">
        <v>3</v>
      </c>
      <c r="D28" s="29">
        <v>0</v>
      </c>
      <c r="E28" s="29">
        <v>0</v>
      </c>
      <c r="F28" s="29">
        <v>0</v>
      </c>
      <c r="G28" s="29">
        <v>0</v>
      </c>
      <c r="H28" s="29">
        <v>0</v>
      </c>
    </row>
    <row r="29" spans="2:8" x14ac:dyDescent="0.25">
      <c r="C29" s="17" t="s">
        <v>30</v>
      </c>
      <c r="D29" s="18">
        <f>IF(OR(Inputs!D$4="Y", D$11 = 0), 0, IF(OR(Inputs!D9="Y",Inputs!D$19="Y"),PRODUCT(D$11, Prices!$E10),0))*D$10</f>
        <v>3640</v>
      </c>
      <c r="E29" s="18">
        <f>IF(OR(Inputs!E$4="Y", E$11 = 0), 0, IF(OR(Inputs!E9="Y",Inputs!E$19="Y"),PRODUCT(E$11, Prices!$E10),0))*E$10</f>
        <v>0</v>
      </c>
      <c r="F29" s="18">
        <f>IF(OR(Inputs!F$4="Y", F$11 = 0), 0, IF(OR(Inputs!F9="Y",Inputs!F$19="Y"),PRODUCT(F$11, Prices!$E10),0))*F$10</f>
        <v>0</v>
      </c>
      <c r="G29" s="18">
        <f>IF(OR(Inputs!G$4="Y", G$11 = 0), 0, IF(OR(Inputs!G9="Y",Inputs!G$19="Y"),PRODUCT(G$11, Prices!$E10),0))*G$10</f>
        <v>0</v>
      </c>
      <c r="H29" s="18">
        <f>IF(OR(Inputs!H$4="Y", H$11 = 0), 0, IF(OR(Inputs!H9="Y",Inputs!H$19="Y"),PRODUCT(H$11, Prices!$E10),0))*H$10</f>
        <v>0</v>
      </c>
    </row>
    <row r="30" spans="2:8" x14ac:dyDescent="0.25">
      <c r="C30" s="17" t="s">
        <v>10</v>
      </c>
      <c r="D30" s="18">
        <f>IF(OR(Inputs!D$4="Y", D$11 = 0), 0, IF(OR(Inputs!D10="Y",Inputs!D$19="Y"),PRODUCT(D$11, Prices!$E11),0))*D$10</f>
        <v>4550</v>
      </c>
      <c r="E30" s="18">
        <f>IF(OR(Inputs!E$4="Y", E$11 = 0), 0, IF(OR(Inputs!E10="Y",Inputs!E$19="Y"),PRODUCT(E$11, Prices!$E11),0))*E$10</f>
        <v>0</v>
      </c>
      <c r="F30" s="18">
        <f>IF(OR(Inputs!F$4="Y", F$11 = 0), 0, IF(OR(Inputs!F10="Y",Inputs!F$19="Y"),PRODUCT(F$11, Prices!$E11),0))*F$10</f>
        <v>0</v>
      </c>
      <c r="G30" s="18">
        <f>IF(OR(Inputs!G$4="Y", G$11 = 0), 0, IF(OR(Inputs!G10="Y",Inputs!G$19="Y"),PRODUCT(G$11, Prices!$E11),0))*G$10</f>
        <v>0</v>
      </c>
      <c r="H30" s="18">
        <f>IF(OR(Inputs!H$4="Y", H$11 = 0), 0, IF(OR(Inputs!H10="Y",Inputs!H$19="Y"),PRODUCT(H$11, Prices!$E11),0))*H$10</f>
        <v>0</v>
      </c>
    </row>
    <row r="31" spans="2:8" x14ac:dyDescent="0.25">
      <c r="C31" s="17" t="s">
        <v>31</v>
      </c>
      <c r="D31" s="18">
        <f>IF(OR(Inputs!D$4="Y", D$11 = 0), 0, IF(OR(Inputs!D11="Y",Inputs!D$19="Y"),PRODUCT(D$11, Prices!$E12),0))*D$10</f>
        <v>3640</v>
      </c>
      <c r="E31" s="18">
        <f>IF(OR(Inputs!E$4="Y", E$11 = 0), 0, IF(OR(Inputs!E11="Y",Inputs!E$19="Y"),PRODUCT(E$11, Prices!$E12),0))*E$10</f>
        <v>0</v>
      </c>
      <c r="F31" s="18">
        <f>IF(OR(Inputs!F$4="Y", F$11 = 0), 0, IF(OR(Inputs!F11="Y",Inputs!F$19="Y"),PRODUCT(F$11, Prices!$E12),0))*F$10</f>
        <v>0</v>
      </c>
      <c r="G31" s="18">
        <f>IF(OR(Inputs!G$4="Y", G$11 = 0), 0, IF(OR(Inputs!G11="Y",Inputs!G$19="Y"),PRODUCT(G$11, Prices!$E12),0))*G$10</f>
        <v>0</v>
      </c>
      <c r="H31" s="18">
        <f>IF(OR(Inputs!H$4="Y", H$11 = 0), 0, IF(OR(Inputs!H11="Y",Inputs!H$19="Y"),PRODUCT(H$11, Prices!$E12),0))*H$10</f>
        <v>0</v>
      </c>
    </row>
    <row r="32" spans="2:8" x14ac:dyDescent="0.25">
      <c r="C32" s="17" t="s">
        <v>11</v>
      </c>
      <c r="D32" s="18">
        <f>IF(OR(Inputs!D$4="Y", D$11 = 0), 0, IF(OR(Inputs!D12="Y",Inputs!D$19="Y"),PRODUCT(D$11, Prices!$E13),0))*D$10</f>
        <v>3640</v>
      </c>
      <c r="E32" s="18">
        <f>IF(OR(Inputs!E$4="Y", E$11 = 0), 0, IF(OR(Inputs!E12="Y",Inputs!E$19="Y"),PRODUCT(E$11, Prices!$E13),0))*E$10</f>
        <v>0</v>
      </c>
      <c r="F32" s="18">
        <f>IF(OR(Inputs!F$4="Y", F$11 = 0), 0, IF(OR(Inputs!F12="Y",Inputs!F$19="Y"),PRODUCT(F$11, Prices!$E13),0))*F$10</f>
        <v>0</v>
      </c>
      <c r="G32" s="18">
        <f>IF(OR(Inputs!G$4="Y", G$11 = 0), 0, IF(OR(Inputs!G12="Y",Inputs!G$19="Y"),PRODUCT(G$11, Prices!$E13),0))*G$10</f>
        <v>0</v>
      </c>
      <c r="H32" s="18">
        <f>IF(OR(Inputs!H$4="Y", H$11 = 0), 0, IF(OR(Inputs!H12="Y",Inputs!H$19="Y"),PRODUCT(H$11, Prices!$E13),0))*H$10</f>
        <v>0</v>
      </c>
    </row>
    <row r="33" spans="2:8" x14ac:dyDescent="0.25">
      <c r="C33" s="17" t="s">
        <v>12</v>
      </c>
      <c r="D33" s="18">
        <f>IF(OR(Inputs!D$4="Y", D$11 = 0), 0, IF(OR(Inputs!D13="Y",Inputs!D$19="Y"),PRODUCT(D$11, Prices!$E14),0))*D$10</f>
        <v>4550</v>
      </c>
      <c r="E33" s="18">
        <f>IF(OR(Inputs!E$4="Y", E$11 = 0), 0, IF(OR(Inputs!E13="Y",Inputs!E$19="Y"),PRODUCT(E$11, Prices!$E14),0))*E$10</f>
        <v>0</v>
      </c>
      <c r="F33" s="18">
        <f>IF(OR(Inputs!F$4="Y", F$11 = 0), 0, IF(OR(Inputs!F13="Y",Inputs!F$19="Y"),PRODUCT(F$11, Prices!$E14),0))*F$10</f>
        <v>0</v>
      </c>
      <c r="G33" s="18">
        <f>IF(OR(Inputs!G$4="Y", G$11 = 0), 0, IF(OR(Inputs!G13="Y",Inputs!G$19="Y"),PRODUCT(G$11, Prices!$E14),0))*G$10</f>
        <v>0</v>
      </c>
      <c r="H33" s="18">
        <f>IF(OR(Inputs!H$4="Y", H$11 = 0), 0, IF(OR(Inputs!H13="Y",Inputs!H$19="Y"),PRODUCT(H$11, Prices!$E14),0))*H$10</f>
        <v>0</v>
      </c>
    </row>
    <row r="34" spans="2:8" x14ac:dyDescent="0.25">
      <c r="C34" s="17" t="s">
        <v>98</v>
      </c>
      <c r="D34" s="18">
        <f>IF(OR(Inputs!D$4="Y", D$11 = 0), 0, IF(OR(Inputs!D14="Y",Inputs!D$19="Y"),PRODUCT(D$11, Prices!$E15),0))*D$10</f>
        <v>4550</v>
      </c>
      <c r="E34" s="18">
        <f>IF(OR(Inputs!E$4="Y", E$11 = 0), 0, IF(OR(Inputs!E14="Y",Inputs!E$19="Y"),PRODUCT(E$11, Prices!$E15),0))*E$10</f>
        <v>0</v>
      </c>
      <c r="F34" s="18">
        <f>IF(OR(Inputs!F$4="Y", F$11 = 0), 0, IF(OR(Inputs!F14="Y",Inputs!F$19="Y"),PRODUCT(F$11, Prices!$E15),0))*F$10</f>
        <v>0</v>
      </c>
      <c r="G34" s="18">
        <f>IF(OR(Inputs!G$4="Y", G$11 = 0), 0, IF(OR(Inputs!G14="Y",Inputs!G$19="Y"),PRODUCT(G$11, Prices!$E15),0))*G$10</f>
        <v>0</v>
      </c>
      <c r="H34" s="18">
        <f>IF(OR(Inputs!H$4="Y", H$11 = 0), 0, IF(OR(Inputs!H14="Y",Inputs!H$19="Y"),PRODUCT(H$11, Prices!$E15),0))*H$10</f>
        <v>0</v>
      </c>
    </row>
    <row r="35" spans="2:8" x14ac:dyDescent="0.25">
      <c r="C35" s="19" t="s">
        <v>13</v>
      </c>
      <c r="D35" s="20">
        <f>IF(OR(Inputs!D$4="Y", D$11 = 0), 0, IF(OR(Inputs!D15="Y",Inputs!D$20="Y"),PRODUCT(D$11, Prices!$E16),0))*D$10</f>
        <v>0</v>
      </c>
      <c r="E35" s="20">
        <f>IF(OR(Inputs!E$4="Y", E$11 = 0), 0, IF(OR(Inputs!E15="Y",Inputs!E$20="Y"),PRODUCT(E$11, Prices!$E16),0))*E$10</f>
        <v>0</v>
      </c>
      <c r="F35" s="20">
        <f>IF(OR(Inputs!F$4="Y", F$11 = 0), 0, IF(OR(Inputs!F15="Y",Inputs!F$20="Y"),PRODUCT(F$11, Prices!$E16),0))*F$10</f>
        <v>0</v>
      </c>
      <c r="G35" s="20">
        <f>IF(OR(Inputs!G$4="Y", G$11 = 0), 0, IF(OR(Inputs!G15="Y",Inputs!G$20="Y"),PRODUCT(G$11, Prices!$E16),0))*G$10</f>
        <v>0</v>
      </c>
      <c r="H35" s="20">
        <f>IF(OR(Inputs!H$4="Y", H$11 = 0), 0, IF(OR(Inputs!H15="Y",Inputs!H$20="Y"),PRODUCT(H$11, Prices!$E16),0))*H$10</f>
        <v>0</v>
      </c>
    </row>
    <row r="36" spans="2:8" x14ac:dyDescent="0.25">
      <c r="C36" s="19" t="s">
        <v>14</v>
      </c>
      <c r="D36" s="20">
        <f>IF(OR(Inputs!D$4="Y", D$11 = 0), 0, IF(OR(Inputs!D16="Y",Inputs!D$20="Y"),PRODUCT(D$11, Prices!$E17),0))*D$10</f>
        <v>0</v>
      </c>
      <c r="E36" s="20">
        <f>IF(OR(Inputs!E$4="Y", E$11 = 0), 0, IF(OR(Inputs!E16="Y",Inputs!E$20="Y"),PRODUCT(E$11, Prices!$E17),0))*E$10</f>
        <v>0</v>
      </c>
      <c r="F36" s="20">
        <f>IF(OR(Inputs!F$4="Y", F$11 = 0), 0, IF(OR(Inputs!F16="Y",Inputs!F$20="Y"),PRODUCT(F$11, Prices!$E17),0))*F$10</f>
        <v>0</v>
      </c>
      <c r="G36" s="20">
        <f>IF(OR(Inputs!G$4="Y", G$11 = 0), 0, IF(OR(Inputs!G16="Y",Inputs!G$20="Y"),PRODUCT(G$11, Prices!$E17),0))*G$10</f>
        <v>0</v>
      </c>
      <c r="H36" s="20">
        <f>IF(OR(Inputs!H$4="Y", H$11 = 0), 0, IF(OR(Inputs!H16="Y",Inputs!H$20="Y"),PRODUCT(H$11, Prices!$E17),0))*H$10</f>
        <v>0</v>
      </c>
    </row>
    <row r="37" spans="2:8" x14ac:dyDescent="0.25">
      <c r="C37" s="28" t="s">
        <v>32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70</v>
      </c>
    </row>
    <row r="40" spans="2:8" x14ac:dyDescent="0.25">
      <c r="C40" s="15" t="s">
        <v>2</v>
      </c>
      <c r="D40" s="16">
        <f>IF(Inputs!D4="Y", Prices!$C$6, IF(Inputs!D4="N", Prices!$D$6, 0))</f>
        <v>30000</v>
      </c>
      <c r="E40" s="16">
        <f>IF(Inputs!E4="Y", Prices!$C$6, IF(Inputs!E4="N", Prices!$D$6, 0))</f>
        <v>0</v>
      </c>
      <c r="F40" s="16">
        <f>IF(Inputs!F4="Y", Prices!$C$6, IF(Inputs!F4="N", Prices!$D$6, 0))</f>
        <v>0</v>
      </c>
      <c r="G40" s="16">
        <f>IF(Inputs!G4="Y", Prices!$C$6, IF(Inputs!G4="N", Prices!$D$6, 0))</f>
        <v>0</v>
      </c>
      <c r="H40" s="16">
        <f>IF(Inputs!H4="Y", Prices!$C$6, IF(Inputs!H4="N", Prices!$D$6, 0))</f>
        <v>0</v>
      </c>
    </row>
    <row r="41" spans="2:8" x14ac:dyDescent="0.25">
      <c r="C41" s="15" t="s">
        <v>3</v>
      </c>
      <c r="D41" s="16">
        <f>IF(Inputs!D8="Y", Prices!$C$7, 0)</f>
        <v>6750</v>
      </c>
      <c r="E41" s="16">
        <f>IF(Inputs!E8="Y", Prices!$C$7, 0)</f>
        <v>0</v>
      </c>
      <c r="F41" s="16">
        <f>IF(Inputs!F8="Y", Prices!$C$7, 0)</f>
        <v>0</v>
      </c>
      <c r="G41" s="16">
        <f>IF(Inputs!G8="Y", Prices!$C$7, 0)</f>
        <v>0</v>
      </c>
      <c r="H41" s="16">
        <f>IF(Inputs!H8="Y", Prices!$C$7, 0)</f>
        <v>0</v>
      </c>
    </row>
    <row r="42" spans="2:8" x14ac:dyDescent="0.25">
      <c r="C42" s="17" t="s">
        <v>30</v>
      </c>
      <c r="D42" s="18">
        <f>IF(AND(Inputs!D9="Y",Inputs!D$19="N"),Prices!$C10,0)</f>
        <v>0</v>
      </c>
      <c r="E42" s="18">
        <f>IF(AND(Inputs!E9="Y",Inputs!E$19="N"),Prices!$C10,0)</f>
        <v>0</v>
      </c>
      <c r="F42" s="18">
        <f>IF(AND(Inputs!F9="Y",Inputs!F$19="N"),Prices!$C10,0)</f>
        <v>0</v>
      </c>
      <c r="G42" s="18">
        <f>IF(AND(Inputs!G9="Y",Inputs!G$19="N"),Prices!$C10,0)</f>
        <v>0</v>
      </c>
      <c r="H42" s="18">
        <f>IF(AND(Inputs!H9="Y",Inputs!H$19="N"),Prices!$C10,0)</f>
        <v>0</v>
      </c>
    </row>
    <row r="43" spans="2:8" x14ac:dyDescent="0.25">
      <c r="C43" s="17" t="s">
        <v>10</v>
      </c>
      <c r="D43" s="18">
        <f>IF(AND(Inputs!D10="Y",Inputs!D$19="N"),Prices!$C11,0)</f>
        <v>0</v>
      </c>
      <c r="E43" s="18">
        <f>IF(AND(Inputs!E10="Y",Inputs!E$19="N"),Prices!$C11,0)</f>
        <v>0</v>
      </c>
      <c r="F43" s="18">
        <f>IF(AND(Inputs!F10="Y",Inputs!F$19="N"),Prices!$C11,0)</f>
        <v>0</v>
      </c>
      <c r="G43" s="18">
        <f>IF(AND(Inputs!G10="Y",Inputs!G$19="N"),Prices!$C11,0)</f>
        <v>0</v>
      </c>
      <c r="H43" s="18">
        <f>IF(AND(Inputs!H10="Y",Inputs!H$19="N"),Prices!$C11,0)</f>
        <v>0</v>
      </c>
    </row>
    <row r="44" spans="2:8" x14ac:dyDescent="0.25">
      <c r="C44" s="17" t="s">
        <v>31</v>
      </c>
      <c r="D44" s="18">
        <f>IF(AND(Inputs!D11="Y",Inputs!D$19="N"),Prices!$C12,0)</f>
        <v>0</v>
      </c>
      <c r="E44" s="18">
        <f>IF(AND(Inputs!E11="Y",Inputs!E$19="N"),Prices!$C12,0)</f>
        <v>0</v>
      </c>
      <c r="F44" s="18">
        <f>IF(AND(Inputs!F11="Y",Inputs!F$19="N"),Prices!$C12,0)</f>
        <v>0</v>
      </c>
      <c r="G44" s="18">
        <f>IF(AND(Inputs!G11="Y",Inputs!G$19="N"),Prices!$C12,0)</f>
        <v>0</v>
      </c>
      <c r="H44" s="18">
        <f>IF(AND(Inputs!H11="Y",Inputs!H$19="N"),Prices!$C12,0)</f>
        <v>0</v>
      </c>
    </row>
    <row r="45" spans="2:8" x14ac:dyDescent="0.25">
      <c r="C45" s="17" t="s">
        <v>11</v>
      </c>
      <c r="D45" s="18">
        <f>IF(AND(Inputs!D12="Y",Inputs!D$19="N"),Prices!$C13,0)</f>
        <v>0</v>
      </c>
      <c r="E45" s="18">
        <f>IF(AND(Inputs!E12="Y",Inputs!E$19="N"),Prices!$C13,0)</f>
        <v>0</v>
      </c>
      <c r="F45" s="18">
        <f>IF(AND(Inputs!F12="Y",Inputs!F$19="N"),Prices!$C13,0)</f>
        <v>0</v>
      </c>
      <c r="G45" s="18">
        <f>IF(AND(Inputs!G12="Y",Inputs!G$19="N"),Prices!$C13,0)</f>
        <v>0</v>
      </c>
      <c r="H45" s="18">
        <f>IF(AND(Inputs!H12="Y",Inputs!H$19="N"),Prices!$C13,0)</f>
        <v>0</v>
      </c>
    </row>
    <row r="46" spans="2:8" x14ac:dyDescent="0.25">
      <c r="C46" s="17" t="s">
        <v>12</v>
      </c>
      <c r="D46" s="18">
        <f>IF(AND(Inputs!D13="Y",Inputs!D$19="N"),Prices!$C14,0)</f>
        <v>0</v>
      </c>
      <c r="E46" s="18">
        <f>IF(AND(Inputs!E13="Y",Inputs!E$19="N"),Prices!$C14,0)</f>
        <v>0</v>
      </c>
      <c r="F46" s="18">
        <f>IF(AND(Inputs!F13="Y",Inputs!F$19="N"),Prices!$C14,0)</f>
        <v>0</v>
      </c>
      <c r="G46" s="18">
        <f>IF(AND(Inputs!G13="Y",Inputs!G$19="N"),Prices!$C14,0)</f>
        <v>0</v>
      </c>
      <c r="H46" s="18">
        <f>IF(AND(Inputs!H13="Y",Inputs!H$19="N"),Prices!$C14,0)</f>
        <v>0</v>
      </c>
    </row>
    <row r="47" spans="2:8" x14ac:dyDescent="0.25">
      <c r="C47" s="17" t="s">
        <v>98</v>
      </c>
      <c r="D47" s="18">
        <f>IF(AND(Inputs!D14="Y",Inputs!D$19="N"),Prices!$C15,0)</f>
        <v>0</v>
      </c>
      <c r="E47" s="18">
        <f>IF(AND(Inputs!E14="Y",Inputs!E$19="N"),Prices!$C15,0)</f>
        <v>0</v>
      </c>
      <c r="F47" s="18">
        <f>IF(AND(Inputs!F14="Y",Inputs!F$19="N"),Prices!$C15,0)</f>
        <v>0</v>
      </c>
      <c r="G47" s="18">
        <f>IF(AND(Inputs!G14="Y",Inputs!G$19="N"),Prices!$C15,0)</f>
        <v>0</v>
      </c>
      <c r="H47" s="18">
        <f>IF(AND(Inputs!H14="Y",Inputs!H$19="N"),Prices!$C15,0)</f>
        <v>0</v>
      </c>
    </row>
    <row r="48" spans="2:8" x14ac:dyDescent="0.25">
      <c r="C48" s="19" t="s">
        <v>13</v>
      </c>
      <c r="D48" s="20">
        <f>IF(AND(Inputs!D15="Y",Inputs!D$20="N"),Prices!$C16,0)</f>
        <v>0</v>
      </c>
      <c r="E48" s="20">
        <f>IF(AND(Inputs!E15="Y",Inputs!E$20="N"),Prices!$C16,0)</f>
        <v>0</v>
      </c>
      <c r="F48" s="20">
        <f>IF(AND(Inputs!F15="Y",Inputs!F$20="N"),Prices!$C16,0)</f>
        <v>0</v>
      </c>
      <c r="G48" s="20">
        <f>IF(AND(Inputs!G15="Y",Inputs!G$20="N"),Prices!$C16,0)</f>
        <v>0</v>
      </c>
      <c r="H48" s="20">
        <f>IF(AND(Inputs!H15="Y",Inputs!H$20="N"),Prices!$C16,0)</f>
        <v>0</v>
      </c>
    </row>
    <row r="49" spans="2:8" x14ac:dyDescent="0.25">
      <c r="C49" s="19" t="s">
        <v>14</v>
      </c>
      <c r="D49" s="20">
        <f>IF(AND(Inputs!D16="Y",Inputs!D$20="N"),Prices!$C17,0)</f>
        <v>0</v>
      </c>
      <c r="E49" s="20">
        <f>IF(AND(Inputs!E16="Y",Inputs!E$20="N"),Prices!$C17,0)</f>
        <v>0</v>
      </c>
      <c r="F49" s="20">
        <f>IF(AND(Inputs!F16="Y",Inputs!F$20="N"),Prices!$C17,0)</f>
        <v>0</v>
      </c>
      <c r="G49" s="20">
        <f>IF(AND(Inputs!G16="Y",Inputs!G$20="N"),Prices!$C17,0)</f>
        <v>0</v>
      </c>
      <c r="H49" s="20">
        <f>IF(AND(Inputs!H16="Y",Inputs!H$20="N"),Prices!$C17,0)</f>
        <v>0</v>
      </c>
    </row>
    <row r="50" spans="2:8" x14ac:dyDescent="0.25">
      <c r="C50" s="19" t="s">
        <v>32</v>
      </c>
      <c r="D50" s="20">
        <f>IF(AND(Inputs!D17="Y",Inputs!D$20="N"),Prices!$C18,0)</f>
        <v>0</v>
      </c>
      <c r="E50" s="20">
        <f>IF(AND(Inputs!E17="Y",Inputs!E$20="N"),Prices!$C18,0)</f>
        <v>0</v>
      </c>
      <c r="F50" s="20">
        <f>IF(AND(Inputs!F17="Y",Inputs!F$20="N"),Prices!$C18,0)</f>
        <v>0</v>
      </c>
      <c r="G50" s="20">
        <f>IF(AND(Inputs!G17="Y",Inputs!G$20="N"),Prices!$C18,0)</f>
        <v>0</v>
      </c>
      <c r="H50" s="20">
        <f>IF(AND(Inputs!H17="Y",Inputs!H$20="N"),Prices!$C18,0)</f>
        <v>0</v>
      </c>
    </row>
    <row r="52" spans="2:8" x14ac:dyDescent="0.25">
      <c r="B52" s="6" t="s">
        <v>71</v>
      </c>
    </row>
    <row r="53" spans="2:8" x14ac:dyDescent="0.25">
      <c r="C53" s="15" t="s">
        <v>2</v>
      </c>
      <c r="D53" s="16">
        <f>IF(Inputs!D$4="Y", 0, IF(D$11 = "", "", PRODUCT(D$11, Prices!$E$6)*D$10))</f>
        <v>24570.000000000004</v>
      </c>
      <c r="E53" s="16">
        <f>IF(Inputs!E$4="Y", 0, IF(E$11 = "", "", PRODUCT(E$11, Prices!$E$6)*E$10))</f>
        <v>0</v>
      </c>
      <c r="F53" s="16">
        <f>IF(Inputs!F$4="Y", 0, IF(F$11 = "", "", PRODUCT(F$11, Prices!$E$6)*F$10))</f>
        <v>0</v>
      </c>
      <c r="G53" s="16">
        <f>IF(Inputs!G$4="Y", 0, IF(G$11 = "", "", PRODUCT(G$11, Prices!$E$6)*G$10))</f>
        <v>0</v>
      </c>
      <c r="H53" s="16">
        <f>IF(Inputs!H$4="Y", 0, IF(H$11 = "", "", PRODUCT(H$11, Prices!$E$6)*H$10))</f>
        <v>0</v>
      </c>
    </row>
    <row r="54" spans="2:8" x14ac:dyDescent="0.25">
      <c r="C54" s="28" t="s">
        <v>3</v>
      </c>
      <c r="D54" s="29">
        <v>0</v>
      </c>
      <c r="E54" s="29">
        <v>0</v>
      </c>
      <c r="F54" s="29">
        <v>0</v>
      </c>
      <c r="G54" s="29">
        <v>0</v>
      </c>
      <c r="H54" s="29">
        <v>0</v>
      </c>
    </row>
    <row r="55" spans="2:8" x14ac:dyDescent="0.25">
      <c r="C55" s="17" t="s">
        <v>30</v>
      </c>
      <c r="D55" s="18">
        <f>IF(OR(Inputs!D$4="Y", D$11 = 0), 0, IF(AND(Inputs!D9="Y",Inputs!D$19="N"),PRODUCT(D$11, Prices!$E10)*D$10,0))</f>
        <v>0</v>
      </c>
      <c r="E55" s="18">
        <f>IF(OR(Inputs!E$4="Y", E$11 = 0), 0, IF(AND(Inputs!E9="Y",Inputs!E$19="N"),PRODUCT(E$11, Prices!$E10)*E$10,0))</f>
        <v>0</v>
      </c>
      <c r="F55" s="18">
        <f>IF(OR(Inputs!F$4="Y", F$11 = 0), 0, IF(AND(Inputs!F9="Y",Inputs!F$19="N"),PRODUCT(F$11, Prices!$E10)*F$10,0))</f>
        <v>0</v>
      </c>
      <c r="G55" s="18">
        <f>IF(OR(Inputs!G$4="Y", G$11 = 0), 0, IF(AND(Inputs!G9="Y",Inputs!G$19="N"),PRODUCT(G$11, Prices!$E10)*G$10,0))</f>
        <v>0</v>
      </c>
      <c r="H55" s="18">
        <f>IF(OR(Inputs!H$4="Y", H$11 = 0), 0, IF(AND(Inputs!H9="Y",Inputs!H$19="N"),PRODUCT(H$11, Prices!$E10)*H$10,0))</f>
        <v>0</v>
      </c>
    </row>
    <row r="56" spans="2:8" x14ac:dyDescent="0.25">
      <c r="C56" s="17" t="s">
        <v>10</v>
      </c>
      <c r="D56" s="18">
        <f>IF(OR(Inputs!D$4="Y", D$11 = 0), 0, IF(AND(Inputs!D10="Y",Inputs!D$19="N"),PRODUCT(D$11, Prices!$E11)*D$10,0))</f>
        <v>0</v>
      </c>
      <c r="E56" s="18">
        <f>IF(OR(Inputs!E$4="Y", E$11 = 0), 0, IF(AND(Inputs!E10="Y",Inputs!E$19="N"),PRODUCT(E$11, Prices!$E11)*E$10,0))</f>
        <v>0</v>
      </c>
      <c r="F56" s="18">
        <f>IF(OR(Inputs!F$4="Y", F$11 = 0), 0, IF(AND(Inputs!F10="Y",Inputs!F$19="N"),PRODUCT(F$11, Prices!$E11)*F$10,0))</f>
        <v>0</v>
      </c>
      <c r="G56" s="18">
        <f>IF(OR(Inputs!G$4="Y", G$11 = 0), 0, IF(AND(Inputs!G10="Y",Inputs!G$19="N"),PRODUCT(G$11, Prices!$E11)*G$10,0))</f>
        <v>0</v>
      </c>
      <c r="H56" s="18">
        <f>IF(OR(Inputs!H$4="Y", H$11 = 0), 0, IF(AND(Inputs!H10="Y",Inputs!H$19="N"),PRODUCT(H$11, Prices!$E11)*H$10,0))</f>
        <v>0</v>
      </c>
    </row>
    <row r="57" spans="2:8" x14ac:dyDescent="0.25">
      <c r="C57" s="17" t="s">
        <v>31</v>
      </c>
      <c r="D57" s="18">
        <f>IF(OR(Inputs!D$4="Y", D$11 = 0), 0, IF(AND(Inputs!D11="Y",Inputs!D$19="N"),PRODUCT(D$11, Prices!$E12)*D$10,0))</f>
        <v>0</v>
      </c>
      <c r="E57" s="18">
        <f>IF(OR(Inputs!E$4="Y", E$11 = 0), 0, IF(AND(Inputs!E11="Y",Inputs!E$19="N"),PRODUCT(E$11, Prices!$E12)*E$10,0))</f>
        <v>0</v>
      </c>
      <c r="F57" s="18">
        <f>IF(OR(Inputs!F$4="Y", F$11 = 0), 0, IF(AND(Inputs!F11="Y",Inputs!F$19="N"),PRODUCT(F$11, Prices!$E12)*F$10,0))</f>
        <v>0</v>
      </c>
      <c r="G57" s="18">
        <f>IF(OR(Inputs!G$4="Y", G$11 = 0), 0, IF(AND(Inputs!G11="Y",Inputs!G$19="N"),PRODUCT(G$11, Prices!$E12)*G$10,0))</f>
        <v>0</v>
      </c>
      <c r="H57" s="18">
        <f>IF(OR(Inputs!H$4="Y", H$11 = 0), 0, IF(AND(Inputs!H11="Y",Inputs!H$19="N"),PRODUCT(H$11, Prices!$E12)*H$10,0))</f>
        <v>0</v>
      </c>
    </row>
    <row r="58" spans="2:8" x14ac:dyDescent="0.25">
      <c r="C58" s="17" t="s">
        <v>11</v>
      </c>
      <c r="D58" s="18">
        <f>IF(OR(Inputs!D$4="Y", D$11 = 0), 0, IF(AND(Inputs!D12="Y",Inputs!D$19="N"),PRODUCT(D$11, Prices!$E13)*D$10,0))</f>
        <v>0</v>
      </c>
      <c r="E58" s="18">
        <f>IF(OR(Inputs!E$4="Y", E$11 = 0), 0, IF(AND(Inputs!E12="Y",Inputs!E$19="N"),PRODUCT(E$11, Prices!$E13)*E$10,0))</f>
        <v>0</v>
      </c>
      <c r="F58" s="18">
        <f>IF(OR(Inputs!F$4="Y", F$11 = 0), 0, IF(AND(Inputs!F12="Y",Inputs!F$19="N"),PRODUCT(F$11, Prices!$E13)*F$10,0))</f>
        <v>0</v>
      </c>
      <c r="G58" s="18">
        <f>IF(OR(Inputs!G$4="Y", G$11 = 0), 0, IF(AND(Inputs!G12="Y",Inputs!G$19="N"),PRODUCT(G$11, Prices!$E13)*G$10,0))</f>
        <v>0</v>
      </c>
      <c r="H58" s="18">
        <f>IF(OR(Inputs!H$4="Y", H$11 = 0), 0, IF(AND(Inputs!H12="Y",Inputs!H$19="N"),PRODUCT(H$11, Prices!$E13)*H$10,0))</f>
        <v>0</v>
      </c>
    </row>
    <row r="59" spans="2:8" x14ac:dyDescent="0.25">
      <c r="C59" s="17" t="s">
        <v>12</v>
      </c>
      <c r="D59" s="18">
        <f>IF(OR(Inputs!D$4="Y", D$11 = 0), 0, IF(AND(Inputs!D13="Y",Inputs!D$19="N"),PRODUCT(D$11, Prices!$E14)*D$10,0))</f>
        <v>0</v>
      </c>
      <c r="E59" s="18">
        <f>IF(OR(Inputs!E$4="Y", E$11 = 0), 0, IF(AND(Inputs!E13="Y",Inputs!E$19="N"),PRODUCT(E$11, Prices!$E14)*E$10,0))</f>
        <v>0</v>
      </c>
      <c r="F59" s="18">
        <f>IF(OR(Inputs!F$4="Y", F$11 = 0), 0, IF(AND(Inputs!F13="Y",Inputs!F$19="N"),PRODUCT(F$11, Prices!$E14)*F$10,0))</f>
        <v>0</v>
      </c>
      <c r="G59" s="18">
        <f>IF(OR(Inputs!G$4="Y", G$11 = 0), 0, IF(AND(Inputs!G13="Y",Inputs!G$19="N"),PRODUCT(G$11, Prices!$E14)*G$10,0))</f>
        <v>0</v>
      </c>
      <c r="H59" s="18">
        <f>IF(OR(Inputs!H$4="Y", H$11 = 0), 0, IF(AND(Inputs!H13="Y",Inputs!H$19="N"),PRODUCT(H$11, Prices!$E14)*H$10,0))</f>
        <v>0</v>
      </c>
    </row>
    <row r="60" spans="2:8" x14ac:dyDescent="0.25">
      <c r="C60" s="17" t="s">
        <v>98</v>
      </c>
      <c r="D60" s="18">
        <f>IF(OR(Inputs!D$4="Y", D$11 = 0), 0, IF(AND(Inputs!D14="Y",Inputs!D$19="N"),PRODUCT(D$11, Prices!$E15)*D$10,0))</f>
        <v>0</v>
      </c>
      <c r="E60" s="18">
        <f>IF(OR(Inputs!E$4="Y", E$11 = 0), 0, IF(AND(Inputs!E14="Y",Inputs!E$19="N"),PRODUCT(E$11, Prices!$E15)*E$10,0))</f>
        <v>0</v>
      </c>
      <c r="F60" s="18">
        <f>IF(OR(Inputs!F$4="Y", F$11 = 0), 0, IF(AND(Inputs!F14="Y",Inputs!F$19="N"),PRODUCT(F$11, Prices!$E15)*F$10,0))</f>
        <v>0</v>
      </c>
      <c r="G60" s="18">
        <f>IF(OR(Inputs!G$4="Y", G$11 = 0), 0, IF(AND(Inputs!G14="Y",Inputs!G$19="N"),PRODUCT(G$11, Prices!$E15)*G$10,0))</f>
        <v>0</v>
      </c>
      <c r="H60" s="18">
        <f>IF(OR(Inputs!H$4="Y", H$11 = 0), 0, IF(AND(Inputs!H14="Y",Inputs!H$19="N"),PRODUCT(H$11, Prices!$E15)*H$10,0))</f>
        <v>0</v>
      </c>
    </row>
    <row r="61" spans="2:8" x14ac:dyDescent="0.25">
      <c r="C61" s="19" t="s">
        <v>13</v>
      </c>
      <c r="D61" s="20">
        <f>IF(OR(Inputs!D$4="Y", D$11 = 0), 0, IF(AND(Inputs!D15="Y",Inputs!D$20="N"),PRODUCT(D$11, Prices!$E16)*D$10,0))</f>
        <v>0</v>
      </c>
      <c r="E61" s="20">
        <f>IF(OR(Inputs!E$4="Y", E$11 = 0), 0, IF(AND(Inputs!E15="Y",Inputs!E$20="N"),PRODUCT(E$11, Prices!$E16)*E$10,0))</f>
        <v>0</v>
      </c>
      <c r="F61" s="20">
        <f>IF(OR(Inputs!F$4="Y", F$11 = 0), 0, IF(AND(Inputs!F15="Y",Inputs!F$20="N"),PRODUCT(F$11, Prices!$E16)*F$10,0))</f>
        <v>0</v>
      </c>
      <c r="G61" s="20">
        <f>IF(OR(Inputs!G$4="Y", G$11 = 0), 0, IF(AND(Inputs!G15="Y",Inputs!G$20="N"),PRODUCT(G$11, Prices!$E16)*G$10,0))</f>
        <v>0</v>
      </c>
      <c r="H61" s="20">
        <f>IF(OR(Inputs!H$4="Y", H$11 = 0), 0, IF(AND(Inputs!H15="Y",Inputs!H$20="N"),PRODUCT(H$11, Prices!$E16)*H$10,0))</f>
        <v>0</v>
      </c>
    </row>
    <row r="62" spans="2:8" x14ac:dyDescent="0.25">
      <c r="C62" s="19" t="s">
        <v>14</v>
      </c>
      <c r="D62" s="20">
        <f>IF(OR(Inputs!D$4="Y", D$11 = 0), 0, IF(AND(Inputs!D16="Y",Inputs!D$20="N"),PRODUCT(D$11, Prices!$E17)*D$10,0))</f>
        <v>0</v>
      </c>
      <c r="E62" s="20">
        <f>IF(OR(Inputs!E$4="Y", E$11 = 0), 0, IF(AND(Inputs!E16="Y",Inputs!E$20="N"),PRODUCT(E$11, Prices!$E17)*E$10,0))</f>
        <v>0</v>
      </c>
      <c r="F62" s="20">
        <f>IF(OR(Inputs!F$4="Y", F$11 = 0), 0, IF(AND(Inputs!F16="Y",Inputs!F$20="N"),PRODUCT(F$11, Prices!$E17)*F$10,0))</f>
        <v>0</v>
      </c>
      <c r="G62" s="20">
        <f>IF(OR(Inputs!G$4="Y", G$11 = 0), 0, IF(AND(Inputs!G16="Y",Inputs!G$20="N"),PRODUCT(G$11, Prices!$E17)*G$10,0))</f>
        <v>0</v>
      </c>
      <c r="H62" s="20">
        <f>IF(OR(Inputs!H$4="Y", H$11 = 0), 0, IF(AND(Inputs!H16="Y",Inputs!H$20="N"),PRODUCT(H$11, Prices!$E17)*H$10,0))</f>
        <v>0</v>
      </c>
    </row>
    <row r="63" spans="2:8" x14ac:dyDescent="0.25">
      <c r="C63" s="28" t="s">
        <v>32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64</v>
      </c>
    </row>
    <row r="66" spans="2:15" x14ac:dyDescent="0.25">
      <c r="C66" s="17" t="s">
        <v>16</v>
      </c>
      <c r="D66" s="18">
        <f>IF(Inputs!D$19 = "Y", 0, IF(Inputs!D18="Y", Prices!$C20, 0))</f>
        <v>0</v>
      </c>
      <c r="E66" s="18">
        <f>IF(Inputs!E$19 = "Y", 0, IF(Inputs!E18="Y", Prices!$C20, 0))</f>
        <v>0</v>
      </c>
      <c r="F66" s="18">
        <f>IF(Inputs!F$19 = "Y", 0, IF(Inputs!F18="Y", Prices!$C20, 0))</f>
        <v>0</v>
      </c>
      <c r="G66" s="18">
        <f>IF(Inputs!G$19 = "Y", 0, IF(Inputs!G18="Y", Prices!$C20, 0))</f>
        <v>0</v>
      </c>
      <c r="H66" s="18">
        <f>IF(Inputs!H$19 = "Y", 0, IF(Inputs!H18="Y", Prices!$C20, 0))</f>
        <v>0</v>
      </c>
      <c r="K66" s="21">
        <f t="shared" ref="K66:K69" si="2">IF(COUNTIF(D$66:D$69,"")&gt;2,"",IFERROR(RANK(D66,D$66:D$69),4))</f>
        <v>2</v>
      </c>
      <c r="L66" s="21">
        <f>IF(COUNTIF(E$66:E$69,"")&gt;2,"",IFERROR(RANK(E66,E$66:E$69),4))</f>
        <v>1</v>
      </c>
      <c r="M66" s="21">
        <f t="shared" ref="M66:M69" si="3">IF(COUNTIF(F$66:F$69,"")&gt;2,"",IFERROR(RANK(F66,F$66:F$69),4))</f>
        <v>1</v>
      </c>
      <c r="N66" s="21">
        <f t="shared" ref="N66:N69" si="4">IF(COUNTIF(G$66:G$69,"")&gt;2,"",IFERROR(RANK(G66,G$66:G$69),4))</f>
        <v>1</v>
      </c>
      <c r="O66" s="21">
        <f t="shared" ref="O66:O69" si="5">IF(COUNTIF(H$66:H$69,"")&gt;2,"",IFERROR(RANK(H66,H$66:H$69),4))</f>
        <v>1</v>
      </c>
    </row>
    <row r="67" spans="2:15" x14ac:dyDescent="0.25">
      <c r="C67" s="17" t="s">
        <v>17</v>
      </c>
      <c r="D67" s="18">
        <f>IF(Inputs!D19="Y", Prices!$C21, 0)</f>
        <v>33000</v>
      </c>
      <c r="E67" s="18">
        <f>IF(Inputs!E19="Y", Prices!$C21, 0)</f>
        <v>0</v>
      </c>
      <c r="F67" s="18">
        <f>IF(Inputs!F19="Y", Prices!$C21, 0)</f>
        <v>0</v>
      </c>
      <c r="G67" s="18">
        <f>IF(Inputs!G19="Y", Prices!$C21, 0)</f>
        <v>0</v>
      </c>
      <c r="H67" s="18">
        <f>IF(Inputs!H19="Y", Prices!$C21, 0)</f>
        <v>0</v>
      </c>
      <c r="K67" s="21">
        <f t="shared" si="2"/>
        <v>1</v>
      </c>
      <c r="L67" s="21">
        <f t="shared" ref="L67:L69" si="6">IF(COUNTIF(E$66:E$69,"")&gt;2,"",IFERROR(RANK(E67,E$66:E$69),4))</f>
        <v>1</v>
      </c>
      <c r="M67" s="21">
        <f t="shared" si="3"/>
        <v>1</v>
      </c>
      <c r="N67" s="21">
        <f t="shared" si="4"/>
        <v>1</v>
      </c>
      <c r="O67" s="21">
        <f t="shared" si="5"/>
        <v>1</v>
      </c>
    </row>
    <row r="68" spans="2:15" x14ac:dyDescent="0.25">
      <c r="C68" s="19" t="s">
        <v>18</v>
      </c>
      <c r="D68" s="20">
        <f>IF(Inputs!D20="Y", Prices!$C22, 0)</f>
        <v>0</v>
      </c>
      <c r="E68" s="20">
        <f>IF(Inputs!E20="Y", Prices!$C22, 0)</f>
        <v>0</v>
      </c>
      <c r="F68" s="20">
        <f>IF(Inputs!F20="Y", Prices!$C22, 0)</f>
        <v>0</v>
      </c>
      <c r="G68" s="20">
        <f>IF(Inputs!G20="Y", Prices!$C22, 0)</f>
        <v>0</v>
      </c>
      <c r="H68" s="20">
        <f>IF(Inputs!H20="Y", Prices!$C22, 0)</f>
        <v>0</v>
      </c>
      <c r="K68" s="21">
        <f t="shared" si="2"/>
        <v>2</v>
      </c>
      <c r="L68" s="21">
        <f t="shared" si="6"/>
        <v>1</v>
      </c>
      <c r="M68" s="21">
        <f t="shared" si="3"/>
        <v>1</v>
      </c>
      <c r="N68" s="21">
        <f t="shared" si="4"/>
        <v>1</v>
      </c>
      <c r="O68" s="21">
        <f t="shared" si="5"/>
        <v>1</v>
      </c>
    </row>
    <row r="69" spans="2:15" x14ac:dyDescent="0.25">
      <c r="C69" s="19" t="s">
        <v>19</v>
      </c>
      <c r="D69" s="20">
        <f>IF(Inputs!D21="Y", Prices!$C23, 0)</f>
        <v>0</v>
      </c>
      <c r="E69" s="20">
        <f>IF(Inputs!E21="Y", Prices!$C23, 0)</f>
        <v>0</v>
      </c>
      <c r="F69" s="20">
        <f>IF(Inputs!F21="Y", Prices!$C23, 0)</f>
        <v>0</v>
      </c>
      <c r="G69" s="20">
        <f>IF(Inputs!G21="Y", Prices!$C23, 0)</f>
        <v>0</v>
      </c>
      <c r="H69" s="20">
        <f>IF(Inputs!H21="Y", Prices!$C23, 0)</f>
        <v>0</v>
      </c>
      <c r="K69" s="21">
        <f t="shared" si="2"/>
        <v>2</v>
      </c>
      <c r="L69" s="21">
        <f t="shared" si="6"/>
        <v>1</v>
      </c>
      <c r="M69" s="21">
        <f t="shared" si="3"/>
        <v>1</v>
      </c>
      <c r="N69" s="21">
        <f t="shared" si="4"/>
        <v>1</v>
      </c>
      <c r="O69" s="21">
        <f t="shared" si="5"/>
        <v>1</v>
      </c>
    </row>
    <row r="71" spans="2:15" x14ac:dyDescent="0.25">
      <c r="B71" s="6" t="s">
        <v>65</v>
      </c>
    </row>
    <row r="72" spans="2:15" x14ac:dyDescent="0.25">
      <c r="C72" s="28" t="s">
        <v>16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K72" s="21">
        <f t="shared" ref="K72" si="7">IF(COUNTIF(D$66:D$69,"")&gt;2,"",IFERROR(RANK(D72,D$66:D$69),4))</f>
        <v>2</v>
      </c>
      <c r="L72" s="21">
        <f>IF(COUNTIF(E$66:E$69,"")&gt;2,"",IFERROR(RANK(E72,E$66:E$69),4))</f>
        <v>1</v>
      </c>
      <c r="M72" s="21">
        <f t="shared" ref="M72" si="8">IF(COUNTIF(F$66:F$69,"")&gt;2,"",IFERROR(RANK(F72,F$66:F$69),4))</f>
        <v>1</v>
      </c>
      <c r="N72" s="21">
        <f t="shared" ref="N72" si="9">IF(COUNTIF(G$66:G$69,"")&gt;2,"",IFERROR(RANK(G72,G$66:G$69),4))</f>
        <v>1</v>
      </c>
      <c r="O72" s="21">
        <f t="shared" ref="O72" si="10">IF(COUNTIF(H$66:H$69,"")&gt;2,"",IFERROR(RANK(H72,H$66:H$69),4))</f>
        <v>1</v>
      </c>
    </row>
    <row r="73" spans="2:15" x14ac:dyDescent="0.25">
      <c r="C73" s="17" t="s">
        <v>17</v>
      </c>
      <c r="D73" s="18">
        <f>IF(Inputs!D$4="Y", 0, IF(D$11 = "", 0, IF(Inputs!D19 = "Y", D$11*Prices!$E21, 0)))*D$10</f>
        <v>25480.000000000004</v>
      </c>
      <c r="E73" s="18">
        <f>IF(Inputs!E$4="Y", 0, IF(E$11 = "", 0, IF(Inputs!E19 = "Y", E$11*Prices!$E21, 0)))*E$10</f>
        <v>0</v>
      </c>
      <c r="F73" s="18">
        <f>IF(Inputs!F$4="Y", 0, IF(F$11 = "", 0, IF(Inputs!F19 = "Y", F$11*Prices!$E21, 0)))*F$10</f>
        <v>0</v>
      </c>
      <c r="G73" s="18">
        <f>IF(Inputs!G$4="Y", 0, IF(G$11 = "", 0, IF(Inputs!G19 = "Y", G$11*Prices!$E21, 0)))*G$10</f>
        <v>0</v>
      </c>
      <c r="H73" s="18">
        <f>IF(Inputs!H$4="Y", 0, IF(H$11 = "", 0, IF(Inputs!H19 = "Y", H$11*Prices!$E21, 0)))*H$10</f>
        <v>0</v>
      </c>
    </row>
    <row r="74" spans="2:15" x14ac:dyDescent="0.25">
      <c r="C74" s="19" t="s">
        <v>18</v>
      </c>
      <c r="D74" s="20">
        <f>IF(Inputs!D$4="Y", 0, IF(D$11 = "", 0, IF(Inputs!D20 = "Y", D$11*Prices!$E22, 0)))*D$10</f>
        <v>0</v>
      </c>
      <c r="E74" s="20">
        <f>IF(Inputs!E$4="Y", 0, IF(E$11 = "", 0, IF(Inputs!E20 = "Y", E$11*Prices!$E22, 0)))*E$10</f>
        <v>0</v>
      </c>
      <c r="F74" s="20">
        <f>IF(Inputs!F$4="Y", 0, IF(F$11 = "", 0, IF(Inputs!F20 = "Y", F$11*Prices!$E22, 0)))*F$10</f>
        <v>0</v>
      </c>
      <c r="G74" s="20">
        <f>IF(Inputs!G$4="Y", 0, IF(G$11 = "", 0, IF(Inputs!G20 = "Y", G$11*Prices!$E22, 0)))*G$10</f>
        <v>0</v>
      </c>
      <c r="H74" s="20">
        <f>IF(Inputs!H$4="Y", 0, IF(H$11 = "", 0, IF(Inputs!H20 = "Y", H$11*Prices!$E22, 0)))*H$10</f>
        <v>0</v>
      </c>
    </row>
    <row r="75" spans="2:15" x14ac:dyDescent="0.25">
      <c r="C75" s="19" t="s">
        <v>19</v>
      </c>
      <c r="D75" s="20">
        <f>IF(Inputs!D$4="Y", 0, IF(D$11 = "", 0, IF(Inputs!D21 = "Y", D$11*Prices!$E23, 0)))*D$10</f>
        <v>0</v>
      </c>
      <c r="E75" s="20">
        <f>IF(Inputs!E$4="Y", 0, IF(E$11 = "", 0, IF(Inputs!E21 = "Y", E$11*Prices!$E23, 0)))*E$10</f>
        <v>0</v>
      </c>
      <c r="F75" s="20">
        <f>IF(Inputs!F$4="Y", 0, IF(F$11 = "", 0, IF(Inputs!F21 = "Y", F$11*Prices!$E23, 0)))*F$10</f>
        <v>0</v>
      </c>
      <c r="G75" s="20">
        <f>IF(Inputs!G$4="Y", 0, IF(G$11 = "", 0, IF(Inputs!G21 = "Y", G$11*Prices!$E23, 0)))*G$10</f>
        <v>0</v>
      </c>
      <c r="H75" s="20">
        <f>IF(Inputs!H$4="Y", 0, IF(H$11 = "", 0, IF(Inputs!H21 = "Y", H$11*Prices!$E23, 0)))*H$10</f>
        <v>0</v>
      </c>
    </row>
    <row r="76" spans="2:15" x14ac:dyDescent="0.25">
      <c r="D76" s="1"/>
      <c r="E76" s="1"/>
      <c r="F76" s="1"/>
      <c r="G76" s="1"/>
      <c r="H76" s="1"/>
    </row>
    <row r="77" spans="2:15" x14ac:dyDescent="0.25">
      <c r="B77" s="6" t="s">
        <v>66</v>
      </c>
    </row>
    <row r="78" spans="2:15" x14ac:dyDescent="0.25">
      <c r="C78" s="17" t="s">
        <v>16</v>
      </c>
      <c r="D78" s="18">
        <f>D66</f>
        <v>0</v>
      </c>
      <c r="E78" s="18">
        <f t="shared" ref="E78:H78" si="11">E66</f>
        <v>0</v>
      </c>
      <c r="F78" s="18">
        <f t="shared" si="11"/>
        <v>0</v>
      </c>
      <c r="G78" s="18">
        <f t="shared" si="11"/>
        <v>0</v>
      </c>
      <c r="H78" s="18">
        <f t="shared" si="11"/>
        <v>0</v>
      </c>
    </row>
    <row r="79" spans="2:15" x14ac:dyDescent="0.25">
      <c r="C79" s="17" t="s">
        <v>17</v>
      </c>
      <c r="D79" s="18">
        <f>IF(D67=0,0,D67-SUM(D16:D21))</f>
        <v>14000</v>
      </c>
      <c r="E79" s="18">
        <f t="shared" ref="E79:H79" si="12">IF(E67=0,0,E67-SUM(E16:E21))</f>
        <v>0</v>
      </c>
      <c r="F79" s="18">
        <f>IF(F67=0,0,F67-SUM(F16:F21))</f>
        <v>0</v>
      </c>
      <c r="G79" s="18">
        <f t="shared" si="12"/>
        <v>0</v>
      </c>
      <c r="H79" s="18">
        <f t="shared" si="12"/>
        <v>0</v>
      </c>
    </row>
    <row r="80" spans="2:15" x14ac:dyDescent="0.25">
      <c r="C80" s="19" t="s">
        <v>18</v>
      </c>
      <c r="D80" s="20">
        <f>IF(D68=0,0,D68-SUM(D22:D24))</f>
        <v>0</v>
      </c>
      <c r="E80" s="20">
        <f t="shared" ref="E80:H80" si="13">IF(E68=0,0,E68-SUM(E22:E24))</f>
        <v>0</v>
      </c>
      <c r="F80" s="20">
        <f t="shared" si="13"/>
        <v>0</v>
      </c>
      <c r="G80" s="20">
        <f t="shared" si="13"/>
        <v>0</v>
      </c>
      <c r="H80" s="20">
        <f t="shared" si="13"/>
        <v>0</v>
      </c>
    </row>
    <row r="81" spans="2:15" x14ac:dyDescent="0.25">
      <c r="C81" s="19" t="s">
        <v>19</v>
      </c>
      <c r="D81" s="20">
        <f t="shared" ref="D81:H81" si="14">D69</f>
        <v>0</v>
      </c>
      <c r="E81" s="20">
        <f t="shared" si="14"/>
        <v>0</v>
      </c>
      <c r="F81" s="20">
        <f t="shared" si="14"/>
        <v>0</v>
      </c>
      <c r="G81" s="20">
        <f t="shared" si="14"/>
        <v>0</v>
      </c>
      <c r="H81" s="20">
        <f t="shared" si="14"/>
        <v>0</v>
      </c>
    </row>
    <row r="83" spans="2:15" x14ac:dyDescent="0.25">
      <c r="B83" s="6" t="s">
        <v>67</v>
      </c>
    </row>
    <row r="84" spans="2:15" x14ac:dyDescent="0.25">
      <c r="C84" s="28" t="s">
        <v>16</v>
      </c>
      <c r="D84" s="29">
        <v>0</v>
      </c>
      <c r="E84" s="29">
        <v>0</v>
      </c>
      <c r="F84" s="29">
        <v>0</v>
      </c>
      <c r="G84" s="29">
        <v>0</v>
      </c>
      <c r="H84" s="29">
        <v>0</v>
      </c>
      <c r="K84" s="21">
        <f t="shared" ref="K84" si="15">IF(COUNTIF(D$66:D$69,"")&gt;2,"",IFERROR(RANK(D84,D$66:D$69),4))</f>
        <v>2</v>
      </c>
      <c r="L84" s="21">
        <f>IF(COUNTIF(E$66:E$69,"")&gt;2,"",IFERROR(RANK(E84,E$66:E$69),4))</f>
        <v>1</v>
      </c>
      <c r="M84" s="21">
        <f t="shared" ref="M84" si="16">IF(COUNTIF(F$66:F$69,"")&gt;2,"",IFERROR(RANK(F84,F$66:F$69),4))</f>
        <v>1</v>
      </c>
      <c r="N84" s="21">
        <f t="shared" ref="N84" si="17">IF(COUNTIF(G$66:G$69,"")&gt;2,"",IFERROR(RANK(G84,G$66:G$69),4))</f>
        <v>1</v>
      </c>
      <c r="O84" s="21">
        <f t="shared" ref="O84" si="18">IF(COUNTIF(H$66:H$69,"")&gt;2,"",IFERROR(RANK(H84,H$66:H$69),4))</f>
        <v>1</v>
      </c>
    </row>
    <row r="85" spans="2:15" x14ac:dyDescent="0.25">
      <c r="C85" s="17" t="s">
        <v>17</v>
      </c>
      <c r="D85" s="18">
        <f>IF(D73=0,0,D73-SUM(D29:D34))</f>
        <v>910.00000000000364</v>
      </c>
      <c r="E85" s="18">
        <f t="shared" ref="E85:H85" si="19">IF(E73=0,0,E73-SUM(E29:E34))</f>
        <v>0</v>
      </c>
      <c r="F85" s="18">
        <f t="shared" si="19"/>
        <v>0</v>
      </c>
      <c r="G85" s="18">
        <f t="shared" si="19"/>
        <v>0</v>
      </c>
      <c r="H85" s="18">
        <f t="shared" si="19"/>
        <v>0</v>
      </c>
    </row>
    <row r="86" spans="2:15" x14ac:dyDescent="0.25">
      <c r="C86" s="19" t="s">
        <v>18</v>
      </c>
      <c r="D86" s="20">
        <f>IF(D74=0,0,D74-SUM(D35:D36))</f>
        <v>0</v>
      </c>
      <c r="E86" s="20">
        <f t="shared" ref="E86:H86" si="20">IF(E74=0,0,E74-SUM(E35:E36))</f>
        <v>0</v>
      </c>
      <c r="F86" s="20">
        <f t="shared" si="20"/>
        <v>0</v>
      </c>
      <c r="G86" s="20">
        <f t="shared" si="20"/>
        <v>0</v>
      </c>
      <c r="H86" s="20">
        <f t="shared" si="20"/>
        <v>0</v>
      </c>
    </row>
    <row r="87" spans="2:15" x14ac:dyDescent="0.25">
      <c r="C87" s="19" t="s">
        <v>19</v>
      </c>
      <c r="D87" s="20">
        <f t="shared" ref="D87:H87" si="21">D75</f>
        <v>0</v>
      </c>
      <c r="E87" s="20">
        <f t="shared" si="21"/>
        <v>0</v>
      </c>
      <c r="F87" s="20">
        <f t="shared" si="21"/>
        <v>0</v>
      </c>
      <c r="G87" s="20">
        <f t="shared" si="21"/>
        <v>0</v>
      </c>
      <c r="H87" s="20">
        <f t="shared" si="21"/>
        <v>0</v>
      </c>
    </row>
    <row r="89" spans="2:15" x14ac:dyDescent="0.25">
      <c r="B89" s="6" t="s">
        <v>43</v>
      </c>
    </row>
    <row r="90" spans="2:15" x14ac:dyDescent="0.25">
      <c r="C90" t="s">
        <v>35</v>
      </c>
      <c r="D90" s="1">
        <f>_xlfn.IFNA(SUM(INDEX(D$66:D$69, MATCH(2, K$66:K$69, 0)), INDEX(D$71:D$75, MATCH(2, K$66:K$69, 0)))*Prices!$L$5*-1, 0)</f>
        <v>0</v>
      </c>
      <c r="E90" s="1">
        <f>_xlfn.IFNA(SUM(INDEX(E$66:E$69, MATCH(2, L$66:L$69, 0)), INDEX(E$71:E$75, MATCH(2, L$66:L$69, 0)))*Prices!$L$5*-1, 0)</f>
        <v>0</v>
      </c>
      <c r="F90" s="1">
        <f>_xlfn.IFNA(SUM(INDEX(F$66:F$69, MATCH(2, M$66:M$69, 0)), INDEX(F$71:F$75, MATCH(2, M$66:M$69, 0)))*Prices!$L$5*-1, 0)</f>
        <v>0</v>
      </c>
      <c r="G90" s="1">
        <f>_xlfn.IFNA(SUM(INDEX(G$66:G$69, MATCH(2, N$66:N$69, 0)), INDEX(G$71:G$75, MATCH(2, N$66:N$69, 0)))*Prices!$L$5*-1, 0)</f>
        <v>0</v>
      </c>
      <c r="H90" s="1">
        <f>_xlfn.IFNA(SUM(INDEX(H$66:H$69, MATCH(2, O$66:O$69, 0)), INDEX(H$71:H$75, MATCH(2, O$66:O$69, 0)))*Prices!$L$5*-1, 0)</f>
        <v>0</v>
      </c>
    </row>
    <row r="91" spans="2:15" x14ac:dyDescent="0.25">
      <c r="C91" t="s">
        <v>36</v>
      </c>
      <c r="D91" s="1">
        <f>_xlfn.IFNA(SUM(INDEX(D$66:D$69, MATCH(3, K$66:K$69, 0)), INDEX(D$71:D$75, MATCH(3, K$66:K$69, 0)))*Prices!$L$6*-1, 0)</f>
        <v>0</v>
      </c>
      <c r="E91" s="1">
        <f>_xlfn.IFNA(SUM(INDEX(E$66:E$69, MATCH(3, L$66:L$69, 0)), INDEX(E$71:E$75, MATCH(3, L$66:L$69, 0)))*Prices!$L$6*-1, 0)</f>
        <v>0</v>
      </c>
      <c r="F91" s="1">
        <f>_xlfn.IFNA(SUM(INDEX(F$66:F$69, MATCH(3, M$66:M$69, 0)), INDEX(F$71:F$75, MATCH(3, M$66:M$69, 0)))*Prices!$L$6*-1, 0)</f>
        <v>0</v>
      </c>
      <c r="G91" s="1">
        <f>_xlfn.IFNA(SUM(INDEX(G$66:G$69, MATCH(3, N$66:N$69, 0)), INDEX(G$71:G$75, MATCH(3, N$66:N$69, 0)))*Prices!$L$6*-1, 0)</f>
        <v>0</v>
      </c>
      <c r="H91" s="1">
        <f>_xlfn.IFNA(SUM(INDEX(H$66:H$69, MATCH(3, O$66:O$69, 0)), INDEX(H$71:H$75, MATCH(3, O$66:O$69, 0)))*Prices!$L$6*-1, 0)</f>
        <v>0</v>
      </c>
    </row>
    <row r="93" spans="2:15" x14ac:dyDescent="0.25">
      <c r="B93" s="6" t="s">
        <v>44</v>
      </c>
      <c r="D93" s="7">
        <f>SUM(D40:D50, D53:D63, D66:D69, D72:D75, D90:D91)</f>
        <v>119800</v>
      </c>
      <c r="E93" s="7">
        <f>SUM(E40:E50, E53:E63, E66:E69, E72:E75, E90:E91)</f>
        <v>0</v>
      </c>
      <c r="F93" s="7">
        <f t="shared" ref="F93:H93" si="22">SUM(F40:F50, F53:F63, F66:F69, F72:F75, F90:F91)</f>
        <v>0</v>
      </c>
      <c r="G93" s="7">
        <f t="shared" si="22"/>
        <v>0</v>
      </c>
      <c r="H93" s="7">
        <f t="shared" si="22"/>
        <v>0</v>
      </c>
    </row>
    <row r="94" spans="2:15" x14ac:dyDescent="0.25">
      <c r="D94" s="1"/>
    </row>
    <row r="95" spans="2:15" x14ac:dyDescent="0.25">
      <c r="B95" s="6" t="s">
        <v>61</v>
      </c>
      <c r="D95" s="1">
        <f>IF(D105=1, 0, IF(D105=2, $E$108, IF(D105=3, $E$109, IF(D105=4, $E$110, IF(D105=5, $E$111, "")))))</f>
        <v>0</v>
      </c>
      <c r="E95" s="1">
        <f t="shared" ref="E95:H95" si="23">IF(E105=1, 0, IF(E105=2, $E$108, IF(E105=3, $E$109, IF(E105=4, $E$110, IF(E105=5, $E$111, "")))))</f>
        <v>0</v>
      </c>
      <c r="F95" s="1">
        <f t="shared" si="23"/>
        <v>0</v>
      </c>
      <c r="G95" s="1">
        <f t="shared" si="23"/>
        <v>0</v>
      </c>
      <c r="H95" s="1">
        <f t="shared" si="23"/>
        <v>0</v>
      </c>
    </row>
    <row r="96" spans="2:15" x14ac:dyDescent="0.25">
      <c r="D96" s="1"/>
      <c r="E96" s="1"/>
      <c r="F96" s="1"/>
      <c r="G96" s="1"/>
      <c r="H96" s="1"/>
    </row>
    <row r="97" spans="2:8" x14ac:dyDescent="0.25">
      <c r="B97" s="6" t="s">
        <v>103</v>
      </c>
      <c r="D97" s="1">
        <f>IF(Inputs!$D$5 = "Y", Prices!$L$18, 0)*-1</f>
        <v>0</v>
      </c>
      <c r="E97" s="1">
        <v>0</v>
      </c>
      <c r="F97" s="1">
        <v>0</v>
      </c>
      <c r="G97" s="1">
        <v>0</v>
      </c>
      <c r="H97" s="1">
        <v>0</v>
      </c>
    </row>
    <row r="99" spans="2:8" x14ac:dyDescent="0.25">
      <c r="B99" s="6" t="s">
        <v>53</v>
      </c>
      <c r="D99" s="7">
        <f>SUM(D93, D95)</f>
        <v>119800</v>
      </c>
      <c r="E99" s="7">
        <f>SUM(E93, E95)</f>
        <v>0</v>
      </c>
      <c r="F99" s="7">
        <f>SUM(F93, F95)</f>
        <v>0</v>
      </c>
      <c r="G99" s="7">
        <f>SUM(G93, G95)</f>
        <v>0</v>
      </c>
      <c r="H99" s="7">
        <f>SUM(H93, H95)</f>
        <v>0</v>
      </c>
    </row>
    <row r="102" spans="2:8" s="21" customFormat="1" x14ac:dyDescent="0.25">
      <c r="B102" s="27"/>
      <c r="C102" s="21" t="s">
        <v>62</v>
      </c>
      <c r="D102" s="21">
        <f>IFERROR(_xlfn.RANK.EQ(D93,$D$93:$H$93),5)</f>
        <v>1</v>
      </c>
      <c r="E102" s="21">
        <f t="shared" ref="E102:H102" si="24">IFERROR(_xlfn.RANK.EQ(E93,$D$93:$H$93),5)</f>
        <v>2</v>
      </c>
      <c r="F102" s="21">
        <f t="shared" si="24"/>
        <v>2</v>
      </c>
      <c r="G102" s="21">
        <f t="shared" si="24"/>
        <v>2</v>
      </c>
      <c r="H102" s="21">
        <f t="shared" si="24"/>
        <v>2</v>
      </c>
    </row>
    <row r="103" spans="2:8" s="21" customFormat="1" x14ac:dyDescent="0.25">
      <c r="B103" s="27"/>
      <c r="D103" s="21">
        <v>0.1</v>
      </c>
      <c r="E103" s="21">
        <v>0.2</v>
      </c>
      <c r="F103" s="21">
        <v>0.3</v>
      </c>
      <c r="G103" s="21">
        <v>0.4</v>
      </c>
      <c r="H103" s="21">
        <v>0.5</v>
      </c>
    </row>
    <row r="104" spans="2:8" s="21" customFormat="1" x14ac:dyDescent="0.25">
      <c r="B104" s="27"/>
      <c r="D104" s="21">
        <f>SUM(D102:D103)</f>
        <v>1.1000000000000001</v>
      </c>
      <c r="E104" s="21">
        <f t="shared" ref="E104:H104" si="25">SUM(E102:E103)</f>
        <v>2.2000000000000002</v>
      </c>
      <c r="F104" s="21">
        <f t="shared" si="25"/>
        <v>2.2999999999999998</v>
      </c>
      <c r="G104" s="21">
        <f t="shared" si="25"/>
        <v>2.4</v>
      </c>
      <c r="H104" s="21">
        <f t="shared" si="25"/>
        <v>2.5</v>
      </c>
    </row>
    <row r="105" spans="2:8" s="21" customFormat="1" x14ac:dyDescent="0.25">
      <c r="B105" s="27"/>
      <c r="D105" s="21">
        <f>_xlfn.RANK.EQ(D104, $D$104:$H$104, 5)</f>
        <v>1</v>
      </c>
      <c r="E105" s="21">
        <f t="shared" ref="E105:H105" si="26">_xlfn.RANK.EQ(E104, $D$104:$H$104, 5)</f>
        <v>2</v>
      </c>
      <c r="F105" s="21">
        <f t="shared" si="26"/>
        <v>3</v>
      </c>
      <c r="G105" s="21">
        <f t="shared" si="26"/>
        <v>4</v>
      </c>
      <c r="H105" s="21">
        <f t="shared" si="26"/>
        <v>5</v>
      </c>
    </row>
    <row r="106" spans="2:8" s="21" customFormat="1" x14ac:dyDescent="0.25">
      <c r="B106" s="27"/>
    </row>
    <row r="107" spans="2:8" s="21" customFormat="1" x14ac:dyDescent="0.25">
      <c r="B107" s="27"/>
      <c r="C107" s="21" t="s">
        <v>50</v>
      </c>
    </row>
    <row r="108" spans="2:8" s="21" customFormat="1" x14ac:dyDescent="0.25">
      <c r="B108" s="27"/>
      <c r="D108" s="21" t="s">
        <v>39</v>
      </c>
      <c r="E108" s="23">
        <f>INDEX($D$93:$H$93, 1, MATCH(2, $D$105:$H$105, 0))*Prices!$L$10*-1</f>
        <v>0</v>
      </c>
    </row>
    <row r="109" spans="2:8" s="21" customFormat="1" x14ac:dyDescent="0.25">
      <c r="B109" s="27"/>
      <c r="D109" s="21" t="s">
        <v>40</v>
      </c>
      <c r="E109" s="23">
        <f>INDEX($D$93:$H$93, 1, MATCH(3, $D$105:$H$105, 0))*Prices!$L$11*-1</f>
        <v>0</v>
      </c>
    </row>
    <row r="110" spans="2:8" s="21" customFormat="1" x14ac:dyDescent="0.25">
      <c r="B110" s="27"/>
      <c r="D110" s="21" t="s">
        <v>51</v>
      </c>
      <c r="E110" s="23">
        <f>INDEX($D$93:$H$93, 1, MATCH(4, $D$105:$H$105, 0))*Prices!$L$11*-1</f>
        <v>0</v>
      </c>
    </row>
    <row r="111" spans="2:8" s="21" customFormat="1" x14ac:dyDescent="0.25">
      <c r="B111" s="27"/>
      <c r="D111" s="21" t="s">
        <v>52</v>
      </c>
      <c r="E111" s="23">
        <f>INDEX($D$93:$H$93, 1, MATCH(5, $D$105:$H$105, 0))*Prices!$L$11*-1</f>
        <v>0</v>
      </c>
    </row>
    <row r="115" spans="6:6" x14ac:dyDescent="0.25">
      <c r="F115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3"/>
  <sheetViews>
    <sheetView workbookViewId="0">
      <selection activeCell="L18" sqref="L18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9" t="s">
        <v>6</v>
      </c>
      <c r="D2" s="49" t="s">
        <v>26</v>
      </c>
    </row>
    <row r="3" spans="2:12" x14ac:dyDescent="0.25">
      <c r="B3" t="s">
        <v>25</v>
      </c>
      <c r="C3" s="1">
        <v>5000</v>
      </c>
      <c r="D3" s="1">
        <v>32750</v>
      </c>
      <c r="E3" s="1"/>
      <c r="F3" s="1"/>
      <c r="G3" s="1"/>
      <c r="H3" s="1"/>
      <c r="K3" s="6" t="s">
        <v>33</v>
      </c>
    </row>
    <row r="4" spans="2:12" x14ac:dyDescent="0.25">
      <c r="B4" t="s">
        <v>27</v>
      </c>
      <c r="C4" s="1">
        <v>5000</v>
      </c>
      <c r="D4" s="1">
        <v>0</v>
      </c>
      <c r="E4" s="1" t="s">
        <v>104</v>
      </c>
      <c r="F4" s="82">
        <v>0.6</v>
      </c>
      <c r="G4" s="82">
        <v>0.24</v>
      </c>
      <c r="H4" s="82">
        <v>0.2</v>
      </c>
      <c r="K4" t="s">
        <v>34</v>
      </c>
      <c r="L4" s="3">
        <v>0</v>
      </c>
    </row>
    <row r="5" spans="2:12" x14ac:dyDescent="0.25">
      <c r="E5" s="49" t="s">
        <v>105</v>
      </c>
      <c r="F5" s="49" t="s">
        <v>106</v>
      </c>
      <c r="G5" s="49" t="s">
        <v>107</v>
      </c>
      <c r="H5" s="49" t="s">
        <v>111</v>
      </c>
      <c r="K5" t="s">
        <v>35</v>
      </c>
      <c r="L5" s="3">
        <v>0.3</v>
      </c>
    </row>
    <row r="6" spans="2:12" x14ac:dyDescent="0.25">
      <c r="B6" s="15" t="s">
        <v>28</v>
      </c>
      <c r="C6" s="43">
        <v>15000</v>
      </c>
      <c r="D6" s="43">
        <v>30000</v>
      </c>
      <c r="E6" s="39">
        <v>0.27</v>
      </c>
      <c r="F6" s="39">
        <f>$E6*F$4</f>
        <v>0.16200000000000001</v>
      </c>
      <c r="G6" s="39">
        <f t="shared" ref="G6:H7" si="0">$E6*G$4</f>
        <v>6.4799999999999996E-2</v>
      </c>
      <c r="H6" s="39">
        <f t="shared" si="0"/>
        <v>5.4000000000000006E-2</v>
      </c>
      <c r="K6" t="s">
        <v>36</v>
      </c>
      <c r="L6" s="3">
        <v>0.45</v>
      </c>
    </row>
    <row r="7" spans="2:12" x14ac:dyDescent="0.25">
      <c r="B7" s="15" t="s">
        <v>29</v>
      </c>
      <c r="C7" s="43">
        <v>6750</v>
      </c>
      <c r="D7" s="43">
        <v>6750</v>
      </c>
      <c r="E7" s="39">
        <v>0</v>
      </c>
      <c r="F7" s="39">
        <f t="shared" ref="F7" si="1">$E7*F$4</f>
        <v>0</v>
      </c>
      <c r="G7" s="39">
        <f t="shared" si="0"/>
        <v>0</v>
      </c>
      <c r="H7" s="39">
        <f t="shared" si="0"/>
        <v>0</v>
      </c>
    </row>
    <row r="8" spans="2:12" x14ac:dyDescent="0.25">
      <c r="C8" s="44"/>
      <c r="D8" s="40"/>
      <c r="K8" s="6" t="s">
        <v>38</v>
      </c>
    </row>
    <row r="9" spans="2:12" x14ac:dyDescent="0.25">
      <c r="C9" s="47" t="s">
        <v>41</v>
      </c>
      <c r="E9" s="48"/>
      <c r="F9" s="48"/>
      <c r="G9" s="48"/>
      <c r="H9" s="48"/>
      <c r="K9" t="s">
        <v>37</v>
      </c>
      <c r="L9" s="3">
        <v>0</v>
      </c>
    </row>
    <row r="10" spans="2:12" x14ac:dyDescent="0.25">
      <c r="B10" s="17" t="s">
        <v>30</v>
      </c>
      <c r="C10" s="45">
        <v>1000</v>
      </c>
      <c r="E10" s="41">
        <v>0.04</v>
      </c>
      <c r="F10" s="41">
        <f t="shared" ref="F10:H18" si="2">$E10*F$4</f>
        <v>2.4E-2</v>
      </c>
      <c r="G10" s="41">
        <f t="shared" si="2"/>
        <v>9.5999999999999992E-3</v>
      </c>
      <c r="H10" s="41">
        <f t="shared" si="2"/>
        <v>8.0000000000000002E-3</v>
      </c>
      <c r="K10" t="s">
        <v>39</v>
      </c>
      <c r="L10" s="3">
        <v>0.45</v>
      </c>
    </row>
    <row r="11" spans="2:12" x14ac:dyDescent="0.25">
      <c r="B11" s="17" t="s">
        <v>10</v>
      </c>
      <c r="C11" s="45">
        <v>4000</v>
      </c>
      <c r="E11" s="41">
        <v>0.05</v>
      </c>
      <c r="F11" s="41">
        <f t="shared" si="2"/>
        <v>0.03</v>
      </c>
      <c r="G11" s="41">
        <f t="shared" si="2"/>
        <v>1.2E-2</v>
      </c>
      <c r="H11" s="41">
        <f t="shared" si="2"/>
        <v>1.0000000000000002E-2</v>
      </c>
      <c r="K11" t="s">
        <v>40</v>
      </c>
      <c r="L11" s="3">
        <v>0.5</v>
      </c>
    </row>
    <row r="12" spans="2:12" x14ac:dyDescent="0.25">
      <c r="B12" s="17" t="s">
        <v>31</v>
      </c>
      <c r="C12" s="45">
        <v>2000</v>
      </c>
      <c r="E12" s="41">
        <v>0.04</v>
      </c>
      <c r="F12" s="41">
        <f t="shared" si="2"/>
        <v>2.4E-2</v>
      </c>
      <c r="G12" s="41">
        <f t="shared" si="2"/>
        <v>9.5999999999999992E-3</v>
      </c>
      <c r="H12" s="41">
        <f t="shared" si="2"/>
        <v>8.0000000000000002E-3</v>
      </c>
    </row>
    <row r="13" spans="2:12" x14ac:dyDescent="0.25">
      <c r="B13" s="17" t="s">
        <v>11</v>
      </c>
      <c r="C13" s="45">
        <v>2000</v>
      </c>
      <c r="E13" s="41">
        <v>0.04</v>
      </c>
      <c r="F13" s="41">
        <f t="shared" si="2"/>
        <v>2.4E-2</v>
      </c>
      <c r="G13" s="41">
        <f t="shared" si="2"/>
        <v>9.5999999999999992E-3</v>
      </c>
      <c r="H13" s="41">
        <f t="shared" si="2"/>
        <v>8.0000000000000002E-3</v>
      </c>
      <c r="K13" s="4"/>
    </row>
    <row r="14" spans="2:12" x14ac:dyDescent="0.25">
      <c r="B14" s="17" t="s">
        <v>12</v>
      </c>
      <c r="C14" s="45">
        <v>6000</v>
      </c>
      <c r="E14" s="41">
        <v>0.05</v>
      </c>
      <c r="F14" s="41">
        <f t="shared" si="2"/>
        <v>0.03</v>
      </c>
      <c r="G14" s="41">
        <f t="shared" si="2"/>
        <v>1.2E-2</v>
      </c>
      <c r="H14" s="41">
        <f t="shared" si="2"/>
        <v>1.0000000000000002E-2</v>
      </c>
      <c r="K14" s="62" t="s">
        <v>80</v>
      </c>
      <c r="L14" s="61">
        <v>1.2500000000000001E-2</v>
      </c>
    </row>
    <row r="15" spans="2:12" x14ac:dyDescent="0.25">
      <c r="B15" s="17" t="s">
        <v>98</v>
      </c>
      <c r="C15" s="45">
        <v>4000</v>
      </c>
      <c r="E15" s="41">
        <v>0.05</v>
      </c>
      <c r="F15" s="41">
        <f t="shared" si="2"/>
        <v>0.03</v>
      </c>
      <c r="G15" s="41">
        <f t="shared" si="2"/>
        <v>1.2E-2</v>
      </c>
      <c r="H15" s="41">
        <f t="shared" si="2"/>
        <v>1.0000000000000002E-2</v>
      </c>
      <c r="K15" s="4" t="s">
        <v>81</v>
      </c>
      <c r="L15" s="55">
        <v>43466</v>
      </c>
    </row>
    <row r="16" spans="2:12" x14ac:dyDescent="0.25">
      <c r="B16" s="19" t="s">
        <v>13</v>
      </c>
      <c r="C16" s="46">
        <v>10000</v>
      </c>
      <c r="E16" s="42">
        <v>0.18</v>
      </c>
      <c r="F16" s="42">
        <f t="shared" si="2"/>
        <v>0.108</v>
      </c>
      <c r="G16" s="42">
        <f t="shared" si="2"/>
        <v>4.3199999999999995E-2</v>
      </c>
      <c r="H16" s="42">
        <f t="shared" si="2"/>
        <v>3.5999999999999997E-2</v>
      </c>
      <c r="K16" s="4"/>
      <c r="L16" s="3"/>
    </row>
    <row r="17" spans="2:12" x14ac:dyDescent="0.25">
      <c r="B17" s="19" t="s">
        <v>14</v>
      </c>
      <c r="C17" s="46">
        <v>5000</v>
      </c>
      <c r="E17" s="42">
        <v>7.0000000000000007E-2</v>
      </c>
      <c r="F17" s="42">
        <f t="shared" si="2"/>
        <v>4.2000000000000003E-2</v>
      </c>
      <c r="G17" s="42">
        <f t="shared" si="2"/>
        <v>1.6800000000000002E-2</v>
      </c>
      <c r="H17" s="42">
        <f t="shared" si="2"/>
        <v>1.4000000000000002E-2</v>
      </c>
    </row>
    <row r="18" spans="2:12" x14ac:dyDescent="0.25">
      <c r="B18" s="19" t="s">
        <v>32</v>
      </c>
      <c r="C18" s="46">
        <v>5000</v>
      </c>
      <c r="E18" s="42">
        <v>0</v>
      </c>
      <c r="F18" s="42">
        <f t="shared" si="2"/>
        <v>0</v>
      </c>
      <c r="G18" s="42">
        <f t="shared" si="2"/>
        <v>0</v>
      </c>
      <c r="H18" s="42">
        <f t="shared" si="2"/>
        <v>0</v>
      </c>
      <c r="K18" s="6" t="s">
        <v>102</v>
      </c>
      <c r="L18" s="1">
        <v>3525</v>
      </c>
    </row>
    <row r="19" spans="2:12" x14ac:dyDescent="0.25">
      <c r="C19" s="44"/>
      <c r="E19" s="40"/>
      <c r="F19" s="40"/>
      <c r="G19" s="40"/>
      <c r="H19" s="40"/>
    </row>
    <row r="20" spans="2:12" x14ac:dyDescent="0.25">
      <c r="B20" s="17" t="s">
        <v>16</v>
      </c>
      <c r="C20" s="45">
        <v>8500</v>
      </c>
      <c r="E20" s="41">
        <v>0</v>
      </c>
      <c r="F20" s="41">
        <f t="shared" ref="F20:H23" si="3">$E20*F$4</f>
        <v>0</v>
      </c>
      <c r="G20" s="41">
        <f t="shared" si="3"/>
        <v>0</v>
      </c>
      <c r="H20" s="41">
        <f t="shared" si="3"/>
        <v>0</v>
      </c>
    </row>
    <row r="21" spans="2:12" x14ac:dyDescent="0.25">
      <c r="B21" s="17" t="s">
        <v>17</v>
      </c>
      <c r="C21" s="45">
        <v>33000</v>
      </c>
      <c r="E21" s="41">
        <v>0.28000000000000003</v>
      </c>
      <c r="F21" s="41">
        <f t="shared" si="3"/>
        <v>0.16800000000000001</v>
      </c>
      <c r="G21" s="41">
        <f t="shared" si="3"/>
        <v>6.720000000000001E-2</v>
      </c>
      <c r="H21" s="41">
        <f t="shared" si="3"/>
        <v>5.6000000000000008E-2</v>
      </c>
    </row>
    <row r="22" spans="2:12" x14ac:dyDescent="0.25">
      <c r="B22" s="19" t="s">
        <v>18</v>
      </c>
      <c r="C22" s="46">
        <v>35000</v>
      </c>
      <c r="E22" s="42">
        <v>0.28999999999999998</v>
      </c>
      <c r="F22" s="42">
        <f t="shared" si="3"/>
        <v>0.17399999999999999</v>
      </c>
      <c r="G22" s="42">
        <f t="shared" si="3"/>
        <v>6.9599999999999995E-2</v>
      </c>
      <c r="H22" s="42">
        <f t="shared" si="3"/>
        <v>5.7999999999999996E-2</v>
      </c>
    </row>
    <row r="23" spans="2:12" x14ac:dyDescent="0.25">
      <c r="B23" s="19" t="s">
        <v>19</v>
      </c>
      <c r="C23" s="46">
        <v>28000</v>
      </c>
      <c r="E23" s="42">
        <v>0.18</v>
      </c>
      <c r="F23" s="42">
        <f t="shared" si="3"/>
        <v>0.108</v>
      </c>
      <c r="G23" s="42">
        <f t="shared" si="3"/>
        <v>4.3199999999999995E-2</v>
      </c>
      <c r="H23" s="42">
        <f t="shared" si="3"/>
        <v>3.5999999999999997E-2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2018-06-01T19:15:39Z</dcterms:modified>
</cp:coreProperties>
</file>