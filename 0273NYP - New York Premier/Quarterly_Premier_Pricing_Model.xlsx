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Inputs!$D$19:$D$20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G4" i="1"/>
  <c r="F4" i="1"/>
  <c r="E4" i="1"/>
  <c r="D4" i="1"/>
  <c r="J73" i="1" l="1"/>
  <c r="J74" i="1"/>
  <c r="J75" i="1" s="1"/>
  <c r="J72" i="1"/>
  <c r="H66" i="1"/>
  <c r="G66" i="1"/>
  <c r="F66" i="1"/>
  <c r="E66" i="1"/>
  <c r="D66" i="1"/>
  <c r="J76" i="1" l="1"/>
  <c r="G47" i="7"/>
  <c r="G48" i="7"/>
  <c r="F48" i="7" s="1"/>
  <c r="H39" i="7"/>
  <c r="H38" i="7"/>
  <c r="G84" i="1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J77" i="1" l="1"/>
  <c r="F84" i="1"/>
  <c r="H47" i="7"/>
  <c r="F47" i="7"/>
  <c r="H48" i="7"/>
  <c r="E85" i="1"/>
  <c r="D85" i="1"/>
  <c r="D39" i="7" s="1"/>
  <c r="N39" i="7" s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38" i="7" l="1"/>
  <c r="M38" i="7" s="1"/>
  <c r="K39" i="7"/>
  <c r="M39" i="7"/>
  <c r="L39" i="7"/>
  <c r="D40" i="7"/>
  <c r="F46" i="7"/>
  <c r="D15" i="1"/>
  <c r="N38" i="7" l="1"/>
  <c r="L38" i="7"/>
  <c r="K38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E75" i="1" s="1"/>
  <c r="D11" i="1"/>
  <c r="F10" i="1"/>
  <c r="F75" i="1" s="1"/>
  <c r="G10" i="1"/>
  <c r="G75" i="1" s="1"/>
  <c r="H10" i="1"/>
  <c r="H75" i="1" s="1"/>
  <c r="D10" i="1"/>
  <c r="D75" i="1" s="1"/>
  <c r="N75" i="1" l="1"/>
  <c r="G23" i="5"/>
  <c r="E23" i="5"/>
  <c r="L75" i="1"/>
  <c r="F23" i="5"/>
  <c r="M75" i="1"/>
  <c r="K75" i="1"/>
  <c r="D23" i="5"/>
  <c r="D68" i="7"/>
  <c r="H23" i="5"/>
  <c r="O75" i="1"/>
  <c r="H51" i="1"/>
  <c r="H55" i="1"/>
  <c r="H76" i="1"/>
  <c r="G56" i="1"/>
  <c r="G76" i="1"/>
  <c r="D76" i="1"/>
  <c r="K76" i="1" s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M77" i="1" s="1"/>
  <c r="F51" i="1"/>
  <c r="E52" i="1"/>
  <c r="E77" i="1"/>
  <c r="L77" i="1" s="1"/>
  <c r="F54" i="1"/>
  <c r="E56" i="1"/>
  <c r="E51" i="1"/>
  <c r="H53" i="1"/>
  <c r="H77" i="1"/>
  <c r="O77" i="1" s="1"/>
  <c r="D51" i="1"/>
  <c r="D77" i="1"/>
  <c r="K77" i="1" s="1"/>
  <c r="E53" i="1"/>
  <c r="G52" i="1"/>
  <c r="G77" i="1"/>
  <c r="N77" i="1" s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G24" i="5" l="1"/>
  <c r="N76" i="1"/>
  <c r="H24" i="5"/>
  <c r="O76" i="1"/>
  <c r="F24" i="5"/>
  <c r="M76" i="1"/>
  <c r="E24" i="5"/>
  <c r="L76" i="1"/>
  <c r="D24" i="5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O74" i="1" s="1"/>
  <c r="G65" i="1"/>
  <c r="N74" i="1" s="1"/>
  <c r="F65" i="1"/>
  <c r="M74" i="1" s="1"/>
  <c r="E65" i="1"/>
  <c r="L74" i="1" s="1"/>
  <c r="D64" i="7"/>
  <c r="D65" i="1"/>
  <c r="K74" i="1" s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D98" i="1" l="1"/>
  <c r="N37" i="7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7" i="7" l="1"/>
  <c r="G67" i="7"/>
  <c r="I67" i="7"/>
  <c r="H67" i="7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K70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<sst xmlns="http://schemas.openxmlformats.org/spreadsheetml/2006/main" count="343" uniqueCount="125">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</sst>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4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M11" sqref="M11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91" t="s">
        <v>60</v>
      </c>
      <c r="C1" s="70">
        <v>43101</v>
      </c>
    </row>
    <row r="2" spans="2:12" x14ac:dyDescent="0.25">
      <c r="B2" s="67" t="s">
        <v>74</v>
      </c>
      <c r="C2" s="71">
        <v>36</v>
      </c>
    </row>
    <row r="3" spans="2:12" x14ac:dyDescent="0.25">
      <c r="B3" s="68"/>
      <c r="C3" s="72"/>
      <c r="D3" s="13" t="s">
        <v>108</v>
      </c>
      <c r="E3" s="13" t="s">
        <v>109</v>
      </c>
      <c r="F3" s="13" t="s">
        <v>110</v>
      </c>
      <c r="G3" s="13" t="s">
        <v>111</v>
      </c>
      <c r="H3" s="14" t="s">
        <v>112</v>
      </c>
    </row>
    <row r="4" spans="2:12" ht="18" customHeight="1" x14ac:dyDescent="0.25">
      <c r="B4" s="69" t="s">
        <v>5</v>
      </c>
      <c r="D4" s="55" t="s">
        <v>3</v>
      </c>
      <c r="E4" s="55" t="s">
        <v>29</v>
      </c>
      <c r="F4" s="55"/>
      <c r="G4" s="55"/>
      <c r="H4" s="56"/>
      <c r="L4" t="s">
        <v>3</v>
      </c>
    </row>
    <row r="5" spans="2:12" ht="18" customHeight="1" x14ac:dyDescent="0.25">
      <c r="B5" s="69" t="s">
        <v>82</v>
      </c>
      <c r="D5" s="55" t="s">
        <v>29</v>
      </c>
      <c r="E5" s="55" t="s">
        <v>29</v>
      </c>
      <c r="F5" s="55"/>
      <c r="G5" s="55"/>
      <c r="H5" s="56"/>
      <c r="L5" t="s">
        <v>29</v>
      </c>
    </row>
    <row r="6" spans="2:12" ht="18" customHeight="1" x14ac:dyDescent="0.25">
      <c r="B6" s="69" t="s">
        <v>6</v>
      </c>
      <c r="D6" s="55" t="s">
        <v>3</v>
      </c>
      <c r="E6" s="55" t="s">
        <v>29</v>
      </c>
      <c r="F6" s="55"/>
      <c r="G6" s="55"/>
      <c r="H6" s="56"/>
    </row>
    <row r="7" spans="2:12" ht="18" customHeight="1" x14ac:dyDescent="0.25">
      <c r="B7" s="69" t="s">
        <v>4</v>
      </c>
      <c r="D7" s="55">
        <v>250000</v>
      </c>
      <c r="E7" s="55">
        <v>250000</v>
      </c>
      <c r="F7" s="55"/>
      <c r="G7" s="55"/>
      <c r="H7" s="56"/>
    </row>
    <row r="8" spans="2:12" ht="18" customHeight="1" x14ac:dyDescent="0.25">
      <c r="B8" s="69" t="s">
        <v>113</v>
      </c>
      <c r="D8" s="55">
        <v>1</v>
      </c>
      <c r="E8" s="55">
        <v>3</v>
      </c>
      <c r="F8" s="55"/>
      <c r="G8" s="55"/>
      <c r="H8" s="56"/>
    </row>
    <row r="9" spans="2:12" ht="18" customHeight="1" x14ac:dyDescent="0.25">
      <c r="B9" s="69" t="s">
        <v>100</v>
      </c>
      <c r="D9" s="55" t="s">
        <v>29</v>
      </c>
      <c r="E9" s="55" t="s">
        <v>29</v>
      </c>
      <c r="F9" s="55"/>
      <c r="G9" s="55"/>
      <c r="H9" s="56"/>
    </row>
    <row r="10" spans="2:12" ht="18" customHeight="1" x14ac:dyDescent="0.25">
      <c r="B10" s="69" t="s">
        <v>7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8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22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9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10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79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11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12</v>
      </c>
      <c r="D17" s="55" t="s">
        <v>29</v>
      </c>
      <c r="E17" s="55" t="s">
        <v>29</v>
      </c>
      <c r="F17" s="55"/>
      <c r="G17" s="55"/>
      <c r="H17" s="56"/>
    </row>
    <row r="18" spans="2:8" ht="18" customHeight="1" x14ac:dyDescent="0.25">
      <c r="B18" s="69" t="s">
        <v>13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14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15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16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17</v>
      </c>
      <c r="D22" s="55" t="s">
        <v>3</v>
      </c>
      <c r="E22" s="55" t="s">
        <v>29</v>
      </c>
      <c r="F22" s="55"/>
      <c r="G22" s="55"/>
      <c r="H22" s="56"/>
    </row>
    <row r="23" spans="2:8" ht="18" customHeight="1" x14ac:dyDescent="0.25">
      <c r="B23" s="69" t="s">
        <v>102</v>
      </c>
      <c r="D23" s="55" t="s">
        <v>3</v>
      </c>
      <c r="E23" s="55" t="s">
        <v>29</v>
      </c>
      <c r="F23" s="55"/>
      <c r="G23" s="55"/>
      <c r="H23" s="56"/>
    </row>
    <row r="24" spans="2:8" ht="18" customHeight="1" x14ac:dyDescent="0.25">
      <c r="B24" s="92" t="s">
        <v>101</v>
      </c>
      <c r="C24" s="93"/>
      <c r="D24" s="94" t="s">
        <v>29</v>
      </c>
      <c r="E24" s="94" t="s">
        <v>29</v>
      </c>
      <c r="F24" s="94"/>
      <c r="G24" s="94"/>
      <c r="H24" s="95"/>
    </row>
  </sheetData>
  <dataValidations count="2">
    <dataValidation type="list" allowBlank="1" showInputMessage="1" showErrorMessage="1" sqref="D9:H22 D23:D24 D4:H6">
      <formula1>$L$4:$L$5</formula1>
    </dataValidation>
    <dataValidation type="whole" operator="greaterThan" allowBlank="1" showInputMessage="1" showErrorMessage="1" sqref="D7:H8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C42" sqref="C4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79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28000</v>
      </c>
      <c r="E22" s="1">
        <f>SUM(Calcs!E65, Calcs!E74)</f>
        <v>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102</v>
      </c>
      <c r="D23" s="1">
        <f>SUM(Calcs!D66, Calcs!D75)</f>
        <v>23520</v>
      </c>
      <c r="E23" s="1">
        <f>SUM(Calcs!E66, Calcs!E75)</f>
        <v>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101</v>
      </c>
      <c r="D24" s="1">
        <f>SUM(Calcs!D67, Calcs!D76)</f>
        <v>0</v>
      </c>
      <c r="E24" s="1">
        <f>SUM(Calcs!E67, Calcs!E76)</f>
        <v>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100</v>
      </c>
      <c r="D25" s="1">
        <f>SUM(Calcs!D68, Calcs!D77)</f>
        <v>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38</v>
      </c>
    </row>
    <row r="28" spans="2:21" x14ac:dyDescent="0.25">
      <c r="C28" t="s">
        <v>39</v>
      </c>
      <c r="D28" s="1">
        <f>SUM(Calcs!D98:D102)</f>
        <v>-7056</v>
      </c>
      <c r="E28" s="1">
        <f>SUM(Calcs!E98:E102)</f>
        <v>0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118</v>
      </c>
      <c r="D29" s="1">
        <f>Calcs!D106</f>
        <v>0</v>
      </c>
      <c r="E29" s="1">
        <f>Calcs!E106</f>
        <v>-24556.5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84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40</v>
      </c>
      <c r="D32" s="7">
        <f>SUM(D7:D16, D19:D25, D28:D30)</f>
        <v>59464</v>
      </c>
      <c r="E32" s="7">
        <f>SUM(E7:E16, E19:E25, E28:E29)</f>
        <v>30013.5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76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75</v>
      </c>
      <c r="D37" s="7">
        <f>(D32/12*Inputs!$C$2+D4)*$C$35</f>
        <v>188392</v>
      </c>
      <c r="E37" s="7">
        <f>(E32/12*Inputs!$C$2+E4)*$C$35</f>
        <v>150040.5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72</v>
      </c>
    </row>
    <row r="41" spans="2:21" x14ac:dyDescent="0.25">
      <c r="C41" s="7">
        <f>SUM(Outputs_Timeline!S:S)</f>
        <v>338432.5</v>
      </c>
    </row>
    <row r="42" spans="2:21" x14ac:dyDescent="0.25">
      <c r="C42" s="52">
        <f>SUM(D37:H37)</f>
        <v>338432.5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D57" sqref="D57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59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81</v>
      </c>
      <c r="I2" s="9" t="s">
        <v>80</v>
      </c>
      <c r="J2" s="9"/>
      <c r="K2" s="9" t="s">
        <v>41</v>
      </c>
      <c r="L2" s="9" t="s">
        <v>42</v>
      </c>
      <c r="M2" s="9" t="s">
        <v>81</v>
      </c>
      <c r="N2" s="9" t="s">
        <v>80</v>
      </c>
    </row>
    <row r="3" spans="2:14" x14ac:dyDescent="0.25">
      <c r="B3" s="6" t="s">
        <v>0</v>
      </c>
    </row>
    <row r="4" spans="2:14" x14ac:dyDescent="0.25">
      <c r="C4" t="s">
        <v>77</v>
      </c>
      <c r="D4" s="1">
        <f>SUMIF(Inputs!$D$4:$H$4,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78</v>
      </c>
      <c r="D5" s="1">
        <f>SUMIF(Inputs!$D$4:$H$4,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45000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18000</v>
      </c>
      <c r="L8" s="16">
        <f>G8*$D8</f>
        <v>27000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79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56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24570.000000000004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7371.0000000000018</v>
      </c>
      <c r="L22" s="16">
        <f t="shared" ref="L22:L31" si="8">G22*$D22</f>
        <v>17199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79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28000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2800</v>
      </c>
      <c r="L37" s="20">
        <f t="shared" ref="L37" si="16">G37*$D37</f>
        <v>25200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102</v>
      </c>
      <c r="D38" s="20">
        <f>SUM(Calcs!D84:H84)</f>
        <v>23520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2352</v>
      </c>
      <c r="L38" s="20">
        <f t="shared" ref="L38:L39" si="21">G38*$D38</f>
        <v>21168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101</v>
      </c>
      <c r="D39" s="20">
        <f>SUM(Calcs!D85:H85)</f>
        <v>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0</v>
      </c>
      <c r="L39" s="20">
        <f t="shared" si="21"/>
        <v>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100</v>
      </c>
      <c r="D40" s="84">
        <f>SUM(Calcs!D86:H86)</f>
        <v>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0</v>
      </c>
      <c r="L40" s="84">
        <f t="shared" si="12"/>
        <v>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57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102</v>
      </c>
      <c r="D47" s="20">
        <f>SUM(Calcs!D93:H93)</f>
        <v>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101</v>
      </c>
      <c r="D48" s="20">
        <f>SUM(Calcs!D94:H94)</f>
        <v>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0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100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38</v>
      </c>
      <c r="K51" s="9"/>
      <c r="L51" s="9"/>
      <c r="M51" s="9"/>
    </row>
    <row r="52" spans="2:14" x14ac:dyDescent="0.25">
      <c r="C52" t="s">
        <v>39</v>
      </c>
      <c r="D52" s="1">
        <f>SUM(Outputs_External!D28:'Outputs_External'!H28)</f>
        <v>-7056</v>
      </c>
      <c r="F52" s="8">
        <f>IFERROR(SUM(K64:K70)/SUM($K$64:$N$70), 0)</f>
        <v>0.1</v>
      </c>
      <c r="G52" s="8">
        <f t="shared" ref="G52:I52" si="41">IFERROR(SUM(L64:L70)/SUM($K$64:$N$70), 0)</f>
        <v>0.9</v>
      </c>
      <c r="H52" s="8">
        <f t="shared" si="41"/>
        <v>0</v>
      </c>
      <c r="I52" s="8">
        <f t="shared" si="41"/>
        <v>0</v>
      </c>
      <c r="K52" s="12">
        <f>F52*$D$52</f>
        <v>-705.6</v>
      </c>
      <c r="L52" s="12">
        <f>G52*$D$52</f>
        <v>-6350.4000000000005</v>
      </c>
      <c r="M52" s="12">
        <f>H52*$D$52</f>
        <v>0</v>
      </c>
      <c r="N52" s="12">
        <f>I52*$D$52</f>
        <v>0</v>
      </c>
    </row>
    <row r="53" spans="2:14" x14ac:dyDescent="0.25">
      <c r="C53" t="s">
        <v>118</v>
      </c>
      <c r="D53" s="1">
        <f>SUM(Outputs_External!D29:'Outputs_External'!H29)</f>
        <v>-24556.5</v>
      </c>
      <c r="F53" s="3">
        <f>IFERROR(SUM(K8:K52)/SUM($K8:$N52), 0)</f>
        <v>0.26147815563779225</v>
      </c>
      <c r="G53" s="3">
        <f>IFERROR(SUM(L8:L52)/SUM($K8:$N52), 0)</f>
        <v>0.7385218443622078</v>
      </c>
      <c r="H53" s="3">
        <f>IFERROR(SUM(M8:M52)/SUM($K8:$N52), 0)</f>
        <v>0</v>
      </c>
      <c r="I53" s="3">
        <f>1-F53-G53-H53</f>
        <v>-1.1102230246251565E-16</v>
      </c>
      <c r="K53" s="12">
        <f>F53*$D$53</f>
        <v>-6420.9883289194458</v>
      </c>
      <c r="L53" s="12">
        <f>G53*$D$53</f>
        <v>-18135.511671080556</v>
      </c>
      <c r="M53" s="12">
        <f>H53*$D$53</f>
        <v>0</v>
      </c>
      <c r="N53" s="12">
        <f>I53*$D$53</f>
        <v>2.7263191704207657E-12</v>
      </c>
    </row>
    <row r="54" spans="2:14" x14ac:dyDescent="0.25">
      <c r="C54" t="s">
        <v>84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40</v>
      </c>
      <c r="D56" s="1">
        <f>SUM(Outputs_External!D32:'Outputs_External'!H32)</f>
        <v>89477.5</v>
      </c>
      <c r="K56" s="12">
        <f>SUM(K52:K54, K34:K40, K8:K17,K22:K31,K43:K49)</f>
        <v>23396.411671080554</v>
      </c>
      <c r="L56" s="12">
        <f t="shared" ref="L56:N56" si="43">SUM(L52:L54, L34:L40, L8:L17,L22:L31,L43:L49)</f>
        <v>66081.088328919446</v>
      </c>
      <c r="M56" s="12">
        <f t="shared" si="43"/>
        <v>0</v>
      </c>
      <c r="N56" s="12">
        <f t="shared" si="43"/>
        <v>2.7263191704207657E-12</v>
      </c>
    </row>
    <row r="57" spans="2:14" x14ac:dyDescent="0.25">
      <c r="C57" s="21" t="s">
        <v>58</v>
      </c>
      <c r="D57" s="23">
        <f>SUM(K56:N56)</f>
        <v>89477.5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72</v>
      </c>
      <c r="D59" s="1">
        <f>SUM(Outputs_Timeline!S:S)</f>
        <v>338432.5</v>
      </c>
      <c r="K59" s="12">
        <f>SUM(Outputs_Timeline!T:T)</f>
        <v>81189.23501324169</v>
      </c>
      <c r="L59" s="12">
        <f>SUM(Outputs_Timeline!U:U)</f>
        <v>257243.26498675841</v>
      </c>
      <c r="M59" s="12">
        <f>SUM(Outputs_Timeline!V:V)</f>
        <v>0</v>
      </c>
      <c r="N59" s="12">
        <f>SUM(Outputs_Timeline!W:W)</f>
        <v>8.178957511262297E-12</v>
      </c>
    </row>
    <row r="60" spans="2:14" x14ac:dyDescent="0.25">
      <c r="D60" s="1"/>
      <c r="K60" s="53">
        <f>IFERROR(K59/$D$59, 0)</f>
        <v>0.23989786741297509</v>
      </c>
      <c r="L60" s="53">
        <f>IFERROR(L59/$D$59, 0)</f>
        <v>0.76010213258702519</v>
      </c>
      <c r="M60" s="53">
        <f>IFERROR(M59/$D$59, 0)</f>
        <v>0</v>
      </c>
      <c r="N60" s="53">
        <f>IFERROR(N59/$D$59, 0)</f>
        <v>2.4167175171599351E-17</v>
      </c>
    </row>
    <row r="62" spans="2:14" x14ac:dyDescent="0.25">
      <c r="K62" s="9"/>
      <c r="L62" s="9"/>
      <c r="M62" s="9"/>
    </row>
    <row r="63" spans="2:14" x14ac:dyDescent="0.25">
      <c r="B63" s="27" t="s">
        <v>53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0</v>
      </c>
      <c r="E65" s="21"/>
      <c r="F65" s="24">
        <f>IFERROR(SUM(K$35,K$9:K$14,K$44,K$23:K$28)/SUM($K$35:$N$35,$K$9:$N$14,$K$44:$N$44,$K$23:$N$28),0)</f>
        <v>0</v>
      </c>
      <c r="G65" s="24">
        <f t="shared" ref="G65" si="45">IFERROR(SUM(L$35,L$9:L$14,L$44,L$23:L$28)/SUM($K$35:$N$35,$K$9:$N$14,$K$44:$N$44,$K$23:$N$28),0)</f>
        <v>0</v>
      </c>
      <c r="H65" s="24">
        <f>IFERROR(SUM(M$35,M$9:M$14,M$44,M$23:M$28)/SUM($K$35:$N$35,$K$9:$N$14,$K$44:$N$44,$K$23:$N$28),0)</f>
        <v>0</v>
      </c>
      <c r="I65" s="24">
        <f>IFERROR(SUM(N$35,N$9:N$14,N$44,N$23:N$28)/SUM($K$35:$N$35,$K$9:$N$14,$K$44:$N$44,$K$23:$N$28),0)</f>
        <v>0</v>
      </c>
      <c r="J65" s="21"/>
      <c r="K65" s="25">
        <f t="shared" si="44"/>
        <v>0</v>
      </c>
      <c r="L65" s="25">
        <f t="shared" si="44"/>
        <v>0</v>
      </c>
      <c r="M65" s="25">
        <f t="shared" si="44"/>
        <v>0</v>
      </c>
      <c r="N65" s="25">
        <f t="shared" si="44"/>
        <v>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28000</v>
      </c>
      <c r="E67" s="21"/>
      <c r="F67" s="24">
        <f>IFERROR(SUM(K37,K46)/SUM($K37:$N37,$K46:$N46),0)</f>
        <v>0.1</v>
      </c>
      <c r="G67" s="24">
        <f t="shared" ref="G67:I67" si="47">IFERROR(SUM(L37,L46)/SUM($K37:$N37,$K46:$N46),0)</f>
        <v>0.9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2800</v>
      </c>
      <c r="L67" s="25">
        <f t="shared" ref="L67:L70" si="49">G67*$D67</f>
        <v>25200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102</v>
      </c>
      <c r="D68" s="23">
        <f>SUM(Calcs!D66:H66)+SUM(Calcs!D75:H75)</f>
        <v>23520</v>
      </c>
      <c r="E68" s="21"/>
      <c r="F68" s="24">
        <f t="shared" ref="F68:F69" si="52">IFERROR(SUM(K38,K47)/SUM($K38:$N38,$K47:$N47),0)</f>
        <v>0.1</v>
      </c>
      <c r="G68" s="24">
        <f t="shared" ref="G68:G69" si="53">IFERROR(SUM(L38,L47)/SUM($K38:$N38,$K47:$N47),0)</f>
        <v>0.9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2352</v>
      </c>
      <c r="L68" s="25">
        <f t="shared" ref="L68:L69" si="57">G68*$D68</f>
        <v>21168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101</v>
      </c>
      <c r="D69" s="23">
        <f>SUM(Calcs!D67:H67)+SUM(Calcs!D76:H76)</f>
        <v>0</v>
      </c>
      <c r="E69" s="21"/>
      <c r="F69" s="24">
        <f t="shared" si="52"/>
        <v>0</v>
      </c>
      <c r="G69" s="24">
        <f t="shared" si="53"/>
        <v>0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0</v>
      </c>
      <c r="L69" s="25">
        <f t="shared" si="57"/>
        <v>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100</v>
      </c>
      <c r="D70" s="23">
        <f>SUM(Calcs!D68:H68)+SUM(Calcs!D77:H77)</f>
        <v>0</v>
      </c>
      <c r="E70" s="21"/>
      <c r="F70" s="24">
        <f t="shared" ref="F70" si="60">IFERROR(SUM(K40,K49)/SUM($K40:$N40,$K49:$N49),0)</f>
        <v>0</v>
      </c>
      <c r="G70" s="24">
        <f t="shared" ref="G70" si="61">IFERROR(SUM(L40,L49)/SUM($K40:$N40,$K49:$N49),0)</f>
        <v>0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0</v>
      </c>
      <c r="L70" s="25">
        <f t="shared" si="49"/>
        <v>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64</v>
      </c>
      <c r="I1" s="61"/>
      <c r="J1" s="61"/>
      <c r="K1" s="61"/>
      <c r="M1" s="61" t="s">
        <v>69</v>
      </c>
      <c r="N1" s="61"/>
      <c r="O1" s="61"/>
      <c r="P1" s="61"/>
      <c r="Q1" s="61"/>
      <c r="S1" s="61" t="s">
        <v>71</v>
      </c>
      <c r="T1" s="61"/>
      <c r="U1" s="61"/>
      <c r="V1" s="61"/>
    </row>
    <row r="2" spans="2:23" x14ac:dyDescent="0.25">
      <c r="B2" s="59" t="s">
        <v>63</v>
      </c>
      <c r="C2" s="59"/>
      <c r="D2" s="59" t="s">
        <v>68</v>
      </c>
      <c r="E2" s="59" t="s">
        <v>73</v>
      </c>
      <c r="F2" s="59" t="s">
        <v>70</v>
      </c>
      <c r="G2" s="59"/>
      <c r="H2" s="62" t="s">
        <v>65</v>
      </c>
      <c r="I2" s="62" t="s">
        <v>66</v>
      </c>
      <c r="J2" s="62" t="s">
        <v>42</v>
      </c>
      <c r="K2" s="62" t="s">
        <v>67</v>
      </c>
      <c r="M2" s="62" t="s">
        <v>65</v>
      </c>
      <c r="N2" s="62" t="s">
        <v>66</v>
      </c>
      <c r="O2" s="62" t="s">
        <v>42</v>
      </c>
      <c r="P2" s="62" t="s">
        <v>81</v>
      </c>
      <c r="Q2" s="62" t="s">
        <v>80</v>
      </c>
      <c r="S2" s="62" t="s">
        <v>65</v>
      </c>
      <c r="T2" s="62" t="s">
        <v>66</v>
      </c>
      <c r="U2" s="62" t="s">
        <v>42</v>
      </c>
      <c r="V2" s="62" t="s">
        <v>81</v>
      </c>
      <c r="W2" s="62" t="s">
        <v>80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$F9*Outputs_Internal!$D$56/12</f>
        <v>7456.458333333333</v>
      </c>
      <c r="N9" s="63">
        <f>$F9*Outputs_Internal!K$56/12</f>
        <v>1949.7009725900461</v>
      </c>
      <c r="O9" s="63">
        <f>$F9*Outputs_Internal!L$56/12</f>
        <v>5506.7573607432869</v>
      </c>
      <c r="P9" s="63">
        <f>$F9*Outputs_Internal!M$56/12</f>
        <v>0</v>
      </c>
      <c r="Q9" s="63">
        <f>$F9*Outputs_Internal!N$56/12</f>
        <v>2.2719326420173047E-13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7456.458333333333</v>
      </c>
      <c r="N10" s="63">
        <f>$F10*Outputs_Internal!K$56/12</f>
        <v>1949.7009725900461</v>
      </c>
      <c r="O10" s="63">
        <f>$F10*Outputs_Internal!L$56/12</f>
        <v>5506.7573607432869</v>
      </c>
      <c r="P10" s="63">
        <f>$F10*Outputs_Internal!M$56/12</f>
        <v>0</v>
      </c>
      <c r="Q10" s="63">
        <f>$F10*Outputs_Internal!N$56/12</f>
        <v>2.2719326420173047E-13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7456.458333333333</v>
      </c>
      <c r="N11" s="63">
        <f>$F11*Outputs_Internal!K$56/12</f>
        <v>1949.7009725900461</v>
      </c>
      <c r="O11" s="63">
        <f>$F11*Outputs_Internal!L$56/12</f>
        <v>5506.7573607432869</v>
      </c>
      <c r="P11" s="63">
        <f>$F11*Outputs_Internal!M$56/12</f>
        <v>0</v>
      </c>
      <c r="Q11" s="63">
        <f>$F11*Outputs_Internal!N$56/12</f>
        <v>2.2719326420173047E-13</v>
      </c>
      <c r="S11" s="63">
        <f t="shared" si="1"/>
        <v>92369.374999999985</v>
      </c>
      <c r="T11" s="63">
        <f t="shared" si="2"/>
        <v>16849.102917770138</v>
      </c>
      <c r="U11" s="63">
        <f>IF(MOD(MONTH($B11),3)=0,SUM(J9:J11,O9:O11),0)</f>
        <v>75520.272082229858</v>
      </c>
      <c r="V11" s="63">
        <f t="shared" si="4"/>
        <v>0</v>
      </c>
      <c r="W11" s="63">
        <f t="shared" si="5"/>
        <v>6.8157979260519141E-13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7456.458333333333</v>
      </c>
      <c r="N12" s="63">
        <f>$F12*Outputs_Internal!K$56/12</f>
        <v>1949.7009725900461</v>
      </c>
      <c r="O12" s="63">
        <f>$F12*Outputs_Internal!L$56/12</f>
        <v>5506.7573607432869</v>
      </c>
      <c r="P12" s="63">
        <f>$F12*Outputs_Internal!M$56/12</f>
        <v>0</v>
      </c>
      <c r="Q12" s="63">
        <f>$F12*Outputs_Internal!N$56/12</f>
        <v>2.2719326420173047E-13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7456.458333333333</v>
      </c>
      <c r="N13" s="63">
        <f>$F13*Outputs_Internal!K$56/12</f>
        <v>1949.7009725900461</v>
      </c>
      <c r="O13" s="63">
        <f>$F13*Outputs_Internal!L$56/12</f>
        <v>5506.7573607432869</v>
      </c>
      <c r="P13" s="63">
        <f>$F13*Outputs_Internal!M$56/12</f>
        <v>0</v>
      </c>
      <c r="Q13" s="63">
        <f>$F13*Outputs_Internal!N$56/12</f>
        <v>2.2719326420173047E-13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7456.458333333333</v>
      </c>
      <c r="N14" s="63">
        <f>$F14*Outputs_Internal!K$56/12</f>
        <v>1949.7009725900461</v>
      </c>
      <c r="O14" s="63">
        <f>$F14*Outputs_Internal!L$56/12</f>
        <v>5506.7573607432869</v>
      </c>
      <c r="P14" s="63">
        <f>$F14*Outputs_Internal!M$56/12</f>
        <v>0</v>
      </c>
      <c r="Q14" s="63">
        <f>$F14*Outputs_Internal!N$56/12</f>
        <v>2.2719326420173047E-13</v>
      </c>
      <c r="S14" s="63">
        <f t="shared" si="1"/>
        <v>22369.375</v>
      </c>
      <c r="T14" s="63">
        <f t="shared" si="2"/>
        <v>5849.1029177701384</v>
      </c>
      <c r="U14" s="63">
        <f t="shared" si="3"/>
        <v>16520.272082229862</v>
      </c>
      <c r="V14" s="63">
        <f t="shared" si="4"/>
        <v>0</v>
      </c>
      <c r="W14" s="63">
        <f t="shared" si="5"/>
        <v>6.8157979260519141E-13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7456.458333333333</v>
      </c>
      <c r="N15" s="63">
        <f>$F15*Outputs_Internal!K$56/12</f>
        <v>1949.7009725900461</v>
      </c>
      <c r="O15" s="63">
        <f>$F15*Outputs_Internal!L$56/12</f>
        <v>5506.7573607432869</v>
      </c>
      <c r="P15" s="63">
        <f>$F15*Outputs_Internal!M$56/12</f>
        <v>0</v>
      </c>
      <c r="Q15" s="63">
        <f>$F15*Outputs_Internal!N$56/12</f>
        <v>2.2719326420173047E-13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7456.458333333333</v>
      </c>
      <c r="N16" s="63">
        <f>$F16*Outputs_Internal!K$56/12</f>
        <v>1949.7009725900461</v>
      </c>
      <c r="O16" s="63">
        <f>$F16*Outputs_Internal!L$56/12</f>
        <v>5506.7573607432869</v>
      </c>
      <c r="P16" s="63">
        <f>$F16*Outputs_Internal!M$56/12</f>
        <v>0</v>
      </c>
      <c r="Q16" s="63">
        <f>$F16*Outputs_Internal!N$56/12</f>
        <v>2.2719326420173047E-13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7456.458333333333</v>
      </c>
      <c r="N17" s="63">
        <f>$F17*Outputs_Internal!K$56/12</f>
        <v>1949.7009725900461</v>
      </c>
      <c r="O17" s="63">
        <f>$F17*Outputs_Internal!L$56/12</f>
        <v>5506.7573607432869</v>
      </c>
      <c r="P17" s="63">
        <f>$F17*Outputs_Internal!M$56/12</f>
        <v>0</v>
      </c>
      <c r="Q17" s="63">
        <f>$F17*Outputs_Internal!N$56/12</f>
        <v>2.2719326420173047E-13</v>
      </c>
      <c r="S17" s="63">
        <f t="shared" si="1"/>
        <v>22369.375</v>
      </c>
      <c r="T17" s="63">
        <f t="shared" si="2"/>
        <v>5849.1029177701384</v>
      </c>
      <c r="U17" s="63">
        <f t="shared" si="3"/>
        <v>16520.272082229862</v>
      </c>
      <c r="V17" s="63">
        <f t="shared" si="4"/>
        <v>0</v>
      </c>
      <c r="W17" s="63">
        <f t="shared" si="5"/>
        <v>6.8157979260519141E-13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7456.458333333333</v>
      </c>
      <c r="N18" s="63">
        <f>$F18*Outputs_Internal!K$56/12</f>
        <v>1949.7009725900461</v>
      </c>
      <c r="O18" s="63">
        <f>$F18*Outputs_Internal!L$56/12</f>
        <v>5506.7573607432869</v>
      </c>
      <c r="P18" s="63">
        <f>$F18*Outputs_Internal!M$56/12</f>
        <v>0</v>
      </c>
      <c r="Q18" s="63">
        <f>$F18*Outputs_Internal!N$56/12</f>
        <v>2.2719326420173047E-13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7456.458333333333</v>
      </c>
      <c r="N19" s="63">
        <f>$F19*Outputs_Internal!K$56/12</f>
        <v>1949.7009725900461</v>
      </c>
      <c r="O19" s="63">
        <f>$F19*Outputs_Internal!L$56/12</f>
        <v>5506.7573607432869</v>
      </c>
      <c r="P19" s="63">
        <f>$F19*Outputs_Internal!M$56/12</f>
        <v>0</v>
      </c>
      <c r="Q19" s="63">
        <f>$F19*Outputs_Internal!N$56/12</f>
        <v>2.2719326420173047E-13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7456.458333333333</v>
      </c>
      <c r="N20" s="63">
        <f>$F20*Outputs_Internal!K$56/12</f>
        <v>1949.7009725900461</v>
      </c>
      <c r="O20" s="63">
        <f>$F20*Outputs_Internal!L$56/12</f>
        <v>5506.7573607432869</v>
      </c>
      <c r="P20" s="63">
        <f>$F20*Outputs_Internal!M$56/12</f>
        <v>0</v>
      </c>
      <c r="Q20" s="63">
        <f>$F20*Outputs_Internal!N$56/12</f>
        <v>2.2719326420173047E-13</v>
      </c>
      <c r="S20" s="63">
        <f t="shared" si="1"/>
        <v>22369.375</v>
      </c>
      <c r="T20" s="63">
        <f t="shared" si="2"/>
        <v>5849.1029177701384</v>
      </c>
      <c r="U20" s="63">
        <f t="shared" si="3"/>
        <v>16520.272082229862</v>
      </c>
      <c r="V20" s="63">
        <f t="shared" si="4"/>
        <v>0</v>
      </c>
      <c r="W20" s="63">
        <f t="shared" si="5"/>
        <v>6.8157979260519141E-13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7456.458333333333</v>
      </c>
      <c r="N21" s="63">
        <f>$F21*Outputs_Internal!K$56/12</f>
        <v>1949.7009725900461</v>
      </c>
      <c r="O21" s="63">
        <f>$F21*Outputs_Internal!L$56/12</f>
        <v>5506.7573607432869</v>
      </c>
      <c r="P21" s="63">
        <f>$F21*Outputs_Internal!M$56/12</f>
        <v>0</v>
      </c>
      <c r="Q21" s="63">
        <f>$F21*Outputs_Internal!N$56/12</f>
        <v>2.2719326420173047E-13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7456.458333333333</v>
      </c>
      <c r="N22" s="63">
        <f>$F22*Outputs_Internal!K$56/12</f>
        <v>1949.7009725900461</v>
      </c>
      <c r="O22" s="63">
        <f>$F22*Outputs_Internal!L$56/12</f>
        <v>5506.7573607432869</v>
      </c>
      <c r="P22" s="63">
        <f>$F22*Outputs_Internal!M$56/12</f>
        <v>0</v>
      </c>
      <c r="Q22" s="63">
        <f>$F22*Outputs_Internal!N$56/12</f>
        <v>2.2719326420173047E-13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7456.458333333333</v>
      </c>
      <c r="N23" s="63">
        <f>$F23*Outputs_Internal!K$56/12</f>
        <v>1949.7009725900461</v>
      </c>
      <c r="O23" s="63">
        <f>$F23*Outputs_Internal!L$56/12</f>
        <v>5506.7573607432869</v>
      </c>
      <c r="P23" s="63">
        <f>$F23*Outputs_Internal!M$56/12</f>
        <v>0</v>
      </c>
      <c r="Q23" s="63">
        <f>$F23*Outputs_Internal!N$56/12</f>
        <v>2.2719326420173047E-13</v>
      </c>
      <c r="S23" s="63">
        <f t="shared" si="1"/>
        <v>22369.375</v>
      </c>
      <c r="T23" s="63">
        <f t="shared" si="2"/>
        <v>5849.1029177701384</v>
      </c>
      <c r="U23" s="63">
        <f t="shared" si="3"/>
        <v>16520.272082229862</v>
      </c>
      <c r="V23" s="63">
        <f t="shared" si="4"/>
        <v>0</v>
      </c>
      <c r="W23" s="63">
        <f t="shared" si="5"/>
        <v>6.8157979260519141E-13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7456.458333333333</v>
      </c>
      <c r="N24" s="63">
        <f>$F24*Outputs_Internal!K$56/12</f>
        <v>1949.7009725900461</v>
      </c>
      <c r="O24" s="63">
        <f>$F24*Outputs_Internal!L$56/12</f>
        <v>5506.7573607432869</v>
      </c>
      <c r="P24" s="63">
        <f>$F24*Outputs_Internal!M$56/12</f>
        <v>0</v>
      </c>
      <c r="Q24" s="63">
        <f>$F24*Outputs_Internal!N$56/12</f>
        <v>2.2719326420173047E-13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7456.458333333333</v>
      </c>
      <c r="N25" s="63">
        <f>$F25*Outputs_Internal!K$56/12</f>
        <v>1949.7009725900461</v>
      </c>
      <c r="O25" s="63">
        <f>$F25*Outputs_Internal!L$56/12</f>
        <v>5506.7573607432869</v>
      </c>
      <c r="P25" s="63">
        <f>$F25*Outputs_Internal!M$56/12</f>
        <v>0</v>
      </c>
      <c r="Q25" s="63">
        <f>$F25*Outputs_Internal!N$56/12</f>
        <v>2.2719326420173047E-13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7456.458333333333</v>
      </c>
      <c r="N26" s="63">
        <f>$F26*Outputs_Internal!K$56/12</f>
        <v>1949.7009725900461</v>
      </c>
      <c r="O26" s="63">
        <f>$F26*Outputs_Internal!L$56/12</f>
        <v>5506.7573607432869</v>
      </c>
      <c r="P26" s="63">
        <f>$F26*Outputs_Internal!M$56/12</f>
        <v>0</v>
      </c>
      <c r="Q26" s="63">
        <f>$F26*Outputs_Internal!N$56/12</f>
        <v>2.2719326420173047E-13</v>
      </c>
      <c r="S26" s="63">
        <f t="shared" si="1"/>
        <v>22369.375</v>
      </c>
      <c r="T26" s="63">
        <f t="shared" si="2"/>
        <v>5849.1029177701384</v>
      </c>
      <c r="U26" s="63">
        <f t="shared" si="3"/>
        <v>16520.272082229862</v>
      </c>
      <c r="V26" s="63">
        <f t="shared" si="4"/>
        <v>0</v>
      </c>
      <c r="W26" s="63">
        <f t="shared" si="5"/>
        <v>6.8157979260519141E-13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7456.458333333333</v>
      </c>
      <c r="N27" s="63">
        <f>$F27*Outputs_Internal!K$56/12</f>
        <v>1949.7009725900461</v>
      </c>
      <c r="O27" s="63">
        <f>$F27*Outputs_Internal!L$56/12</f>
        <v>5506.7573607432869</v>
      </c>
      <c r="P27" s="63">
        <f>$F27*Outputs_Internal!M$56/12</f>
        <v>0</v>
      </c>
      <c r="Q27" s="63">
        <f>$F27*Outputs_Internal!N$56/12</f>
        <v>2.2719326420173047E-13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7456.458333333333</v>
      </c>
      <c r="N28" s="63">
        <f>$F28*Outputs_Internal!K$56/12</f>
        <v>1949.7009725900461</v>
      </c>
      <c r="O28" s="63">
        <f>$F28*Outputs_Internal!L$56/12</f>
        <v>5506.7573607432869</v>
      </c>
      <c r="P28" s="63">
        <f>$F28*Outputs_Internal!M$56/12</f>
        <v>0</v>
      </c>
      <c r="Q28" s="63">
        <f>$F28*Outputs_Internal!N$56/12</f>
        <v>2.2719326420173047E-13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7456.458333333333</v>
      </c>
      <c r="N29" s="63">
        <f>$F29*Outputs_Internal!K$56/12</f>
        <v>1949.7009725900461</v>
      </c>
      <c r="O29" s="63">
        <f>$F29*Outputs_Internal!L$56/12</f>
        <v>5506.7573607432869</v>
      </c>
      <c r="P29" s="63">
        <f>$F29*Outputs_Internal!M$56/12</f>
        <v>0</v>
      </c>
      <c r="Q29" s="63">
        <f>$F29*Outputs_Internal!N$56/12</f>
        <v>2.2719326420173047E-13</v>
      </c>
      <c r="S29" s="63">
        <f t="shared" si="1"/>
        <v>22369.375</v>
      </c>
      <c r="T29" s="63">
        <f t="shared" si="2"/>
        <v>5849.1029177701384</v>
      </c>
      <c r="U29" s="63">
        <f t="shared" si="3"/>
        <v>16520.272082229862</v>
      </c>
      <c r="V29" s="63">
        <f t="shared" si="4"/>
        <v>0</v>
      </c>
      <c r="W29" s="63">
        <f t="shared" si="5"/>
        <v>6.8157979260519141E-13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7456.458333333333</v>
      </c>
      <c r="N30" s="63">
        <f>$F30*Outputs_Internal!K$56/12</f>
        <v>1949.7009725900461</v>
      </c>
      <c r="O30" s="63">
        <f>$F30*Outputs_Internal!L$56/12</f>
        <v>5506.7573607432869</v>
      </c>
      <c r="P30" s="63">
        <f>$F30*Outputs_Internal!M$56/12</f>
        <v>0</v>
      </c>
      <c r="Q30" s="63">
        <f>$F30*Outputs_Internal!N$56/12</f>
        <v>2.2719326420173047E-13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7456.458333333333</v>
      </c>
      <c r="N31" s="63">
        <f>$F31*Outputs_Internal!K$56/12</f>
        <v>1949.7009725900461</v>
      </c>
      <c r="O31" s="63">
        <f>$F31*Outputs_Internal!L$56/12</f>
        <v>5506.7573607432869</v>
      </c>
      <c r="P31" s="63">
        <f>$F31*Outputs_Internal!M$56/12</f>
        <v>0</v>
      </c>
      <c r="Q31" s="63">
        <f>$F31*Outputs_Internal!N$56/12</f>
        <v>2.2719326420173047E-13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7456.458333333333</v>
      </c>
      <c r="N32" s="63">
        <f>$F32*Outputs_Internal!K$56/12</f>
        <v>1949.7009725900461</v>
      </c>
      <c r="O32" s="63">
        <f>$F32*Outputs_Internal!L$56/12</f>
        <v>5506.7573607432869</v>
      </c>
      <c r="P32" s="63">
        <f>$F32*Outputs_Internal!M$56/12</f>
        <v>0</v>
      </c>
      <c r="Q32" s="63">
        <f>$F32*Outputs_Internal!N$56/12</f>
        <v>2.2719326420173047E-13</v>
      </c>
      <c r="S32" s="63">
        <f t="shared" si="1"/>
        <v>22369.375</v>
      </c>
      <c r="T32" s="63">
        <f t="shared" si="2"/>
        <v>5849.1029177701384</v>
      </c>
      <c r="U32" s="63">
        <f t="shared" si="3"/>
        <v>16520.272082229862</v>
      </c>
      <c r="V32" s="63">
        <f t="shared" si="4"/>
        <v>0</v>
      </c>
      <c r="W32" s="63">
        <f t="shared" si="5"/>
        <v>6.8157979260519141E-13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7456.458333333333</v>
      </c>
      <c r="N33" s="63">
        <f>$F33*Outputs_Internal!K$56/12</f>
        <v>1949.7009725900461</v>
      </c>
      <c r="O33" s="63">
        <f>$F33*Outputs_Internal!L$56/12</f>
        <v>5506.7573607432869</v>
      </c>
      <c r="P33" s="63">
        <f>$F33*Outputs_Internal!M$56/12</f>
        <v>0</v>
      </c>
      <c r="Q33" s="63">
        <f>$F33*Outputs_Internal!N$56/12</f>
        <v>2.2719326420173047E-13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7456.458333333333</v>
      </c>
      <c r="N34" s="63">
        <f>$F34*Outputs_Internal!K$56/12</f>
        <v>1949.7009725900461</v>
      </c>
      <c r="O34" s="63">
        <f>$F34*Outputs_Internal!L$56/12</f>
        <v>5506.7573607432869</v>
      </c>
      <c r="P34" s="63">
        <f>$F34*Outputs_Internal!M$56/12</f>
        <v>0</v>
      </c>
      <c r="Q34" s="63">
        <f>$F34*Outputs_Internal!N$56/12</f>
        <v>2.2719326420173047E-13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7456.458333333333</v>
      </c>
      <c r="N35" s="63">
        <f>$F35*Outputs_Internal!K$56/12</f>
        <v>1949.7009725900461</v>
      </c>
      <c r="O35" s="63">
        <f>$F35*Outputs_Internal!L$56/12</f>
        <v>5506.7573607432869</v>
      </c>
      <c r="P35" s="63">
        <f>$F35*Outputs_Internal!M$56/12</f>
        <v>0</v>
      </c>
      <c r="Q35" s="63">
        <f>$F35*Outputs_Internal!N$56/12</f>
        <v>2.2719326420173047E-13</v>
      </c>
      <c r="S35" s="63">
        <f t="shared" si="1"/>
        <v>22369.375</v>
      </c>
      <c r="T35" s="63">
        <f t="shared" si="2"/>
        <v>5849.1029177701384</v>
      </c>
      <c r="U35" s="63">
        <f t="shared" si="3"/>
        <v>16520.272082229862</v>
      </c>
      <c r="V35" s="63">
        <f t="shared" si="4"/>
        <v>0</v>
      </c>
      <c r="W35" s="63">
        <f t="shared" si="5"/>
        <v>6.8157979260519141E-13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7456.458333333333</v>
      </c>
      <c r="N36" s="63">
        <f>$F36*Outputs_Internal!K$56/12</f>
        <v>1949.7009725900461</v>
      </c>
      <c r="O36" s="63">
        <f>$F36*Outputs_Internal!L$56/12</f>
        <v>5506.7573607432869</v>
      </c>
      <c r="P36" s="63">
        <f>$F36*Outputs_Internal!M$56/12</f>
        <v>0</v>
      </c>
      <c r="Q36" s="63">
        <f>$F36*Outputs_Internal!N$56/12</f>
        <v>2.2719326420173047E-13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7456.458333333333</v>
      </c>
      <c r="N37" s="63">
        <f>$F37*Outputs_Internal!K$56/12</f>
        <v>1949.7009725900461</v>
      </c>
      <c r="O37" s="63">
        <f>$F37*Outputs_Internal!L$56/12</f>
        <v>5506.7573607432869</v>
      </c>
      <c r="P37" s="63">
        <f>$F37*Outputs_Internal!M$56/12</f>
        <v>0</v>
      </c>
      <c r="Q37" s="63">
        <f>$F37*Outputs_Internal!N$56/12</f>
        <v>2.2719326420173047E-13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7456.458333333333</v>
      </c>
      <c r="N38" s="63">
        <f>$F38*Outputs_Internal!K$56/12</f>
        <v>1949.7009725900461</v>
      </c>
      <c r="O38" s="63">
        <f>$F38*Outputs_Internal!L$56/12</f>
        <v>5506.7573607432869</v>
      </c>
      <c r="P38" s="63">
        <f>$F38*Outputs_Internal!M$56/12</f>
        <v>0</v>
      </c>
      <c r="Q38" s="63">
        <f>$F38*Outputs_Internal!N$56/12</f>
        <v>2.2719326420173047E-13</v>
      </c>
      <c r="S38" s="63">
        <f t="shared" si="1"/>
        <v>22369.375</v>
      </c>
      <c r="T38" s="63">
        <f t="shared" si="2"/>
        <v>5849.1029177701384</v>
      </c>
      <c r="U38" s="63">
        <f t="shared" si="3"/>
        <v>16520.272082229862</v>
      </c>
      <c r="V38" s="63">
        <f t="shared" si="4"/>
        <v>0</v>
      </c>
      <c r="W38" s="63">
        <f t="shared" si="5"/>
        <v>6.8157979260519141E-13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7456.458333333333</v>
      </c>
      <c r="N39" s="63">
        <f>$F39*Outputs_Internal!K$56/12</f>
        <v>1949.7009725900461</v>
      </c>
      <c r="O39" s="63">
        <f>$F39*Outputs_Internal!L$56/12</f>
        <v>5506.7573607432869</v>
      </c>
      <c r="P39" s="63">
        <f>$F39*Outputs_Internal!M$56/12</f>
        <v>0</v>
      </c>
      <c r="Q39" s="63">
        <f>$F39*Outputs_Internal!N$56/12</f>
        <v>2.2719326420173047E-13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7456.458333333333</v>
      </c>
      <c r="N40" s="63">
        <f>$F40*Outputs_Internal!K$56/12</f>
        <v>1949.7009725900461</v>
      </c>
      <c r="O40" s="63">
        <f>$F40*Outputs_Internal!L$56/12</f>
        <v>5506.7573607432869</v>
      </c>
      <c r="P40" s="63">
        <f>$F40*Outputs_Internal!M$56/12</f>
        <v>0</v>
      </c>
      <c r="Q40" s="63">
        <f>$F40*Outputs_Internal!N$56/12</f>
        <v>2.2719326420173047E-13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7456.458333333333</v>
      </c>
      <c r="N41" s="63">
        <f>$F41*Outputs_Internal!K$56/12</f>
        <v>1949.7009725900461</v>
      </c>
      <c r="O41" s="63">
        <f>$F41*Outputs_Internal!L$56/12</f>
        <v>5506.7573607432869</v>
      </c>
      <c r="P41" s="63">
        <f>$F41*Outputs_Internal!M$56/12</f>
        <v>0</v>
      </c>
      <c r="Q41" s="63">
        <f>$F41*Outputs_Internal!N$56/12</f>
        <v>2.2719326420173047E-13</v>
      </c>
      <c r="S41" s="63">
        <f t="shared" si="1"/>
        <v>22369.375</v>
      </c>
      <c r="T41" s="63">
        <f t="shared" si="2"/>
        <v>5849.1029177701384</v>
      </c>
      <c r="U41" s="63">
        <f t="shared" si="3"/>
        <v>16520.272082229862</v>
      </c>
      <c r="V41" s="63">
        <f t="shared" si="4"/>
        <v>0</v>
      </c>
      <c r="W41" s="63">
        <f t="shared" si="5"/>
        <v>6.8157979260519141E-13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7456.458333333333</v>
      </c>
      <c r="N42" s="63">
        <f>$F42*Outputs_Internal!K$56/12</f>
        <v>1949.7009725900461</v>
      </c>
      <c r="O42" s="63">
        <f>$F42*Outputs_Internal!L$56/12</f>
        <v>5506.7573607432869</v>
      </c>
      <c r="P42" s="63">
        <f>$F42*Outputs_Internal!M$56/12</f>
        <v>0</v>
      </c>
      <c r="Q42" s="63">
        <f>$F42*Outputs_Internal!N$56/12</f>
        <v>2.2719326420173047E-13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7456.458333333333</v>
      </c>
      <c r="N43" s="63">
        <f>$F43*Outputs_Internal!K$56/12</f>
        <v>1949.7009725900461</v>
      </c>
      <c r="O43" s="63">
        <f>$F43*Outputs_Internal!L$56/12</f>
        <v>5506.7573607432869</v>
      </c>
      <c r="P43" s="63">
        <f>$F43*Outputs_Internal!M$56/12</f>
        <v>0</v>
      </c>
      <c r="Q43" s="63">
        <f>$F43*Outputs_Internal!N$56/12</f>
        <v>2.2719326420173047E-13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7456.458333333333</v>
      </c>
      <c r="N44" s="63">
        <f>$F44*Outputs_Internal!K$56/12</f>
        <v>1949.7009725900461</v>
      </c>
      <c r="O44" s="63">
        <f>$F44*Outputs_Internal!L$56/12</f>
        <v>5506.7573607432869</v>
      </c>
      <c r="P44" s="63">
        <f>$F44*Outputs_Internal!M$56/12</f>
        <v>0</v>
      </c>
      <c r="Q44" s="63">
        <f>$F44*Outputs_Internal!N$56/12</f>
        <v>2.2719326420173047E-13</v>
      </c>
      <c r="S44" s="63">
        <f>IF(MOD(MONTH($B44),3)=0,SUM(H42:H44,M42:M44),0)</f>
        <v>22369.375</v>
      </c>
      <c r="T44" s="63">
        <f t="shared" si="2"/>
        <v>5849.1029177701384</v>
      </c>
      <c r="U44" s="63">
        <f t="shared" si="3"/>
        <v>16520.272082229862</v>
      </c>
      <c r="V44" s="63">
        <f t="shared" si="4"/>
        <v>0</v>
      </c>
      <c r="W44" s="63">
        <f t="shared" si="5"/>
        <v>6.8157979260519141E-13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105" activePane="bottomRight" state="frozen"/>
      <selection pane="topRight" activeCell="D1" sqref="D1"/>
      <selection pane="bottomLeft" activeCell="A3" sqref="A3"/>
      <selection pane="bottomRight" activeCell="D118" sqref="D118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0)))*Inputs!D8</f>
        <v>10000</v>
      </c>
      <c r="E4" s="1">
        <f>IF(AND(Inputs!E5="Y",Inputs!E4="Y"), 0, IF(Inputs!E4="Y", SUM(Prices!$C$3, IF(Inputs!E$6 ="Y", Prices!$C$4, 0)), IF(Inputs!E4="N", Prices!$D$3, 0)))*Inputs!E8</f>
        <v>60000</v>
      </c>
      <c r="F4" s="1">
        <f>IF(AND(Inputs!F5="Y",Inputs!F4="Y"), 0, IF(Inputs!F4="Y", SUM(Prices!$C$3, IF(Inputs!F$6 ="Y", Prices!$C$4, 0)), IF(Inputs!F4="N", Prices!$D$3, 0)))*Inputs!F8</f>
        <v>0</v>
      </c>
      <c r="G4" s="1">
        <f>IF(AND(Inputs!G5="Y",Inputs!G4="Y"), 0, IF(Inputs!G4="Y", SUM(Prices!$C$3, IF(Inputs!G$6 ="Y", Prices!$C$4, 0)), IF(Inputs!G4="N", Prices!$D$3, 0)))*Inputs!G8</f>
        <v>0</v>
      </c>
      <c r="H4" s="1">
        <f>IF(AND(Inputs!H5="Y",Inputs!H4="Y"), 0, IF(Inputs!H4="Y", SUM(Prices!$C$3, IF(Inputs!H$6 ="Y", Prices!$C$4, 0)), IF(Inputs!H4="N", Prices!$D$3, 0)))*Inputs!H8</f>
        <v>0</v>
      </c>
    </row>
    <row r="5" spans="2:15" x14ac:dyDescent="0.25">
      <c r="D5" s="1"/>
      <c r="E5" s="1"/>
      <c r="F5" s="1"/>
      <c r="G5" s="1"/>
      <c r="H5" s="1"/>
      <c r="K5" s="22" t="s">
        <v>95</v>
      </c>
      <c r="L5" s="22" t="s">
        <v>94</v>
      </c>
      <c r="M5" s="22" t="s">
        <v>96</v>
      </c>
    </row>
    <row r="6" spans="2:15" x14ac:dyDescent="0.25">
      <c r="B6" s="6" t="s">
        <v>89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90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91</v>
      </c>
      <c r="D8" s="5">
        <f>IF(Inputs!D$4="N",MIN(MAX(Inputs!D$7-$K8,0),$L8-$K8),0)</f>
        <v>0</v>
      </c>
      <c r="E8" s="5">
        <f>IF(Inputs!E$4="N",MIN(MAX(Inputs!E$7-$K8,0),$L8-$K8),0)</f>
        <v>150000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93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97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98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IF(Inputs!D4="Y", Prices!$C$6, IF(Inputs!D4="N", Prices!$D$6, 0))</f>
        <v>15000</v>
      </c>
      <c r="E14" s="16">
        <f>IF(Inputs!E4="Y", Prices!$C$6, IF(Inputs!E4="N", Prices!$D$6, 0))</f>
        <v>30000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7" t="s">
        <v>21</v>
      </c>
      <c r="D15" s="18">
        <f xml:space="preserve"> IF(OR(Inputs!D10="Y",Inputs!D$20="Y"), Prices!$C10, 0)</f>
        <v>0</v>
      </c>
      <c r="E15" s="18">
        <f xml:space="preserve"> IF(OR(Inputs!E10="Y",Inputs!E$20="Y"), Prices!$C10, 0)</f>
        <v>0</v>
      </c>
      <c r="F15" s="18">
        <f xml:space="preserve"> IF(OR(Inputs!F10="Y",Inputs!F$20="Y"), Prices!$C10, 0)</f>
        <v>0</v>
      </c>
      <c r="G15" s="18">
        <f xml:space="preserve"> IF(OR(Inputs!G10="Y",Inputs!G$20="Y"), Prices!$C10, 0)</f>
        <v>0</v>
      </c>
      <c r="H15" s="18">
        <f xml:space="preserve"> IF(OR(Inputs!H10="Y",Inputs!H$20="Y"), Prices!$C10, 0)</f>
        <v>0</v>
      </c>
    </row>
    <row r="16" spans="2:15" x14ac:dyDescent="0.25">
      <c r="C16" s="17" t="s">
        <v>8</v>
      </c>
      <c r="D16" s="18">
        <f xml:space="preserve"> IF(OR(Inputs!D11="Y",Inputs!D$20="Y"), Prices!$C11, 0)</f>
        <v>0</v>
      </c>
      <c r="E16" s="18">
        <f xml:space="preserve"> IF(OR(Inputs!E11="Y",Inputs!E$20="Y"), Prices!$C11, 0)</f>
        <v>0</v>
      </c>
      <c r="F16" s="18">
        <f xml:space="preserve"> IF(OR(Inputs!F11="Y",Inputs!F$20="Y"), Prices!$C11, 0)</f>
        <v>0</v>
      </c>
      <c r="G16" s="18">
        <f xml:space="preserve"> IF(OR(Inputs!G11="Y",Inputs!G$20="Y"), Prices!$C11, 0)</f>
        <v>0</v>
      </c>
      <c r="H16" s="18">
        <f xml:space="preserve"> IF(OR(Inputs!H11="Y",Inputs!H$20="Y"), Prices!$C11, 0)</f>
        <v>0</v>
      </c>
    </row>
    <row r="17" spans="2:8" x14ac:dyDescent="0.25">
      <c r="C17" s="17" t="s">
        <v>22</v>
      </c>
      <c r="D17" s="18">
        <f xml:space="preserve"> IF(OR(Inputs!D12="Y",Inputs!D$20="Y"), Prices!$C12, 0)</f>
        <v>0</v>
      </c>
      <c r="E17" s="18">
        <f xml:space="preserve"> IF(OR(Inputs!E12="Y",Inputs!E$20="Y"), Prices!$C12, 0)</f>
        <v>0</v>
      </c>
      <c r="F17" s="18">
        <f xml:space="preserve"> IF(OR(Inputs!F12="Y",Inputs!F$20="Y"), Prices!$C12, 0)</f>
        <v>0</v>
      </c>
      <c r="G17" s="18">
        <f xml:space="preserve"> IF(OR(Inputs!G12="Y",Inputs!G$20="Y"), Prices!$C12, 0)</f>
        <v>0</v>
      </c>
      <c r="H17" s="18">
        <f xml:space="preserve"> IF(OR(Inputs!H12="Y",Inputs!H$20="Y"), Prices!$C12, 0)</f>
        <v>0</v>
      </c>
    </row>
    <row r="18" spans="2:8" x14ac:dyDescent="0.25">
      <c r="C18" s="17" t="s">
        <v>9</v>
      </c>
      <c r="D18" s="18">
        <f xml:space="preserve"> IF(OR(Inputs!D13="Y",Inputs!D$20="Y"), Prices!$C13, 0)</f>
        <v>0</v>
      </c>
      <c r="E18" s="18">
        <f xml:space="preserve"> IF(OR(Inputs!E13="Y",Inputs!E$20="Y"), Prices!$C13, 0)</f>
        <v>0</v>
      </c>
      <c r="F18" s="18">
        <f xml:space="preserve"> IF(OR(Inputs!F13="Y",Inputs!F$20="Y"), Prices!$C13, 0)</f>
        <v>0</v>
      </c>
      <c r="G18" s="18">
        <f xml:space="preserve"> IF(OR(Inputs!G13="Y",Inputs!G$20="Y"), Prices!$C13, 0)</f>
        <v>0</v>
      </c>
      <c r="H18" s="18">
        <f xml:space="preserve"> IF(OR(Inputs!H13="Y",Inputs!H$20="Y"), Prices!$C13, 0)</f>
        <v>0</v>
      </c>
    </row>
    <row r="19" spans="2:8" x14ac:dyDescent="0.25">
      <c r="C19" s="17" t="s">
        <v>10</v>
      </c>
      <c r="D19" s="18">
        <f xml:space="preserve"> IF(OR(Inputs!D14="Y",Inputs!D$20="Y"), Prices!$C14, 0)</f>
        <v>0</v>
      </c>
      <c r="E19" s="18">
        <f xml:space="preserve"> IF(OR(Inputs!E14="Y",Inputs!E$20="Y"), Prices!$C14, 0)</f>
        <v>0</v>
      </c>
      <c r="F19" s="18">
        <f xml:space="preserve"> IF(OR(Inputs!F14="Y",Inputs!F$20="Y"), Prices!$C14, 0)</f>
        <v>0</v>
      </c>
      <c r="G19" s="18">
        <f xml:space="preserve"> IF(OR(Inputs!G14="Y",Inputs!G$20="Y"), Prices!$C14, 0)</f>
        <v>0</v>
      </c>
      <c r="H19" s="18">
        <f xml:space="preserve"> IF(OR(Inputs!H14="Y",Inputs!H$20="Y"), Prices!$C14, 0)</f>
        <v>0</v>
      </c>
    </row>
    <row r="20" spans="2:8" x14ac:dyDescent="0.25">
      <c r="C20" s="17" t="s">
        <v>79</v>
      </c>
      <c r="D20" s="18">
        <f xml:space="preserve"> IF(OR(Inputs!D15="Y",Inputs!D$20="Y"), Prices!$C15, 0)</f>
        <v>0</v>
      </c>
      <c r="E20" s="18">
        <f xml:space="preserve"> IF(OR(Inputs!E15="Y",Inputs!E$20="Y"), Prices!$C15, 0)</f>
        <v>0</v>
      </c>
      <c r="F20" s="18">
        <f xml:space="preserve"> IF(OR(Inputs!F15="Y",Inputs!F$20="Y"), Prices!$C15, 0)</f>
        <v>0</v>
      </c>
      <c r="G20" s="18">
        <f xml:space="preserve"> IF(OR(Inputs!G15="Y",Inputs!G$20="Y"), Prices!$C15, 0)</f>
        <v>0</v>
      </c>
      <c r="H20" s="18">
        <f xml:space="preserve"> IF(OR(Inputs!H15="Y",Inputs!H$20="Y"), Prices!$C15, 0)</f>
        <v>0</v>
      </c>
    </row>
    <row r="21" spans="2:8" x14ac:dyDescent="0.25">
      <c r="C21" s="19" t="s">
        <v>11</v>
      </c>
      <c r="D21" s="20">
        <f xml:space="preserve"> IF(OR(Inputs!D16="Y",Inputs!D$21="Y"), Prices!$C16, 0)</f>
        <v>0</v>
      </c>
      <c r="E21" s="20">
        <f xml:space="preserve"> IF(OR(Inputs!E16="Y",Inputs!E$21="Y"), Prices!$C16, 0)</f>
        <v>0</v>
      </c>
      <c r="F21" s="20">
        <f xml:space="preserve"> IF(OR(Inputs!F16="Y",Inputs!F$21="Y"), Prices!$C16, 0)</f>
        <v>0</v>
      </c>
      <c r="G21" s="20">
        <f xml:space="preserve"> IF(OR(Inputs!G16="Y",Inputs!G$21="Y"), Prices!$C16, 0)</f>
        <v>0</v>
      </c>
      <c r="H21" s="20">
        <f xml:space="preserve"> IF(OR(Inputs!H16="Y",Inputs!H$21="Y"), Prices!$C16, 0)</f>
        <v>0</v>
      </c>
    </row>
    <row r="22" spans="2:8" x14ac:dyDescent="0.25">
      <c r="C22" s="19" t="s">
        <v>12</v>
      </c>
      <c r="D22" s="20">
        <f xml:space="preserve"> IF(OR(Inputs!D17="Y",Inputs!D$21="Y"), Prices!$C17, 0)</f>
        <v>0</v>
      </c>
      <c r="E22" s="20">
        <f xml:space="preserve"> IF(OR(Inputs!E17="Y",Inputs!E$21="Y"), Prices!$C17, 0)</f>
        <v>0</v>
      </c>
      <c r="F22" s="20">
        <f xml:space="preserve"> IF(OR(Inputs!F17="Y",Inputs!F$21="Y"), Prices!$C17, 0)</f>
        <v>0</v>
      </c>
      <c r="G22" s="20">
        <f xml:space="preserve"> IF(OR(Inputs!G17="Y",Inputs!G$21="Y"), Prices!$C17, 0)</f>
        <v>0</v>
      </c>
      <c r="H22" s="20">
        <f xml:space="preserve"> IF(OR(Inputs!H17="Y",Inputs!H$21="Y"), Prices!$C17, 0)</f>
        <v>0</v>
      </c>
    </row>
    <row r="23" spans="2:8" x14ac:dyDescent="0.25">
      <c r="C23" s="19" t="s">
        <v>23</v>
      </c>
      <c r="D23" s="20">
        <f xml:space="preserve"> IF(OR(Inputs!D18="Y",Inputs!D$21="Y"), Prices!$C18, 0)</f>
        <v>0</v>
      </c>
      <c r="E23" s="20">
        <f xml:space="preserve"> IF(OR(Inputs!E18="Y",Inputs!E$21="Y"), Prices!$C18, 0)</f>
        <v>0</v>
      </c>
      <c r="F23" s="20">
        <f xml:space="preserve"> IF(OR(Inputs!F18="Y",Inputs!F$21="Y"), Prices!$C18, 0)</f>
        <v>0</v>
      </c>
      <c r="G23" s="20">
        <f xml:space="preserve"> IF(OR(Inputs!G18="Y",Inputs!G$21="Y"), Prices!$C18, 0)</f>
        <v>0</v>
      </c>
      <c r="H23" s="20">
        <f xml:space="preserve"> IF(OR(Inputs!H18="Y",Inputs!H$21="Y"), Prices!$C18, 0)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24570.000000000004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25">
      <c r="C27" s="17" t="s">
        <v>21</v>
      </c>
      <c r="D27" s="18">
        <f>IF(OR(Inputs!D$4="Y", D$11 = 0), 0, IF(OR(Inputs!D10="Y",Inputs!D$20="Y"),PRODUCT(D$11, Prices!$E10),0))*D$10</f>
        <v>0</v>
      </c>
      <c r="E27" s="18">
        <f>IF(OR(Inputs!E$4="Y", E$11 = 0), 0, IF(OR(Inputs!E10="Y",Inputs!E$20="Y"),PRODUCT(E$11, Prices!$E10),0))*E$10</f>
        <v>0</v>
      </c>
      <c r="F27" s="18">
        <f>IF(OR(Inputs!F$4="Y", F$11 = 0), 0, IF(OR(Inputs!F10="Y",Inputs!F$20="Y"),PRODUCT(F$11, Prices!$E10),0))*F$10</f>
        <v>0</v>
      </c>
      <c r="G27" s="18">
        <f>IF(OR(Inputs!G$4="Y", G$11 = 0), 0, IF(OR(Inputs!G10="Y",Inputs!G$20="Y"),PRODUCT(G$11, Prices!$E10),0))*G$10</f>
        <v>0</v>
      </c>
      <c r="H27" s="18">
        <f>IF(OR(Inputs!H$4="Y", H$11 = 0), 0, IF(OR(Inputs!H10="Y",Inputs!H$20="Y"),PRODUCT(H$11, Prices!$E10),0))*H$10</f>
        <v>0</v>
      </c>
    </row>
    <row r="28" spans="2:8" x14ac:dyDescent="0.25">
      <c r="C28" s="17" t="s">
        <v>8</v>
      </c>
      <c r="D28" s="18">
        <f>IF(OR(Inputs!D$4="Y", D$11 = 0), 0, IF(OR(Inputs!D11="Y",Inputs!D$20="Y"),PRODUCT(D$11, Prices!$E11),0))*D$10</f>
        <v>0</v>
      </c>
      <c r="E28" s="18">
        <f>IF(OR(Inputs!E$4="Y", E$11 = 0), 0, IF(OR(Inputs!E11="Y",Inputs!E$20="Y"),PRODUCT(E$11, Prices!$E11),0))*E$10</f>
        <v>0</v>
      </c>
      <c r="F28" s="18">
        <f>IF(OR(Inputs!F$4="Y", F$11 = 0), 0, IF(OR(Inputs!F11="Y",Inputs!F$20="Y"),PRODUCT(F$11, Prices!$E11),0))*F$10</f>
        <v>0</v>
      </c>
      <c r="G28" s="18">
        <f>IF(OR(Inputs!G$4="Y", G$11 = 0), 0, IF(OR(Inputs!G11="Y",Inputs!G$20="Y"),PRODUCT(G$11, Prices!$E11),0))*G$10</f>
        <v>0</v>
      </c>
      <c r="H28" s="18">
        <f>IF(OR(Inputs!H$4="Y", H$11 = 0), 0, IF(OR(Inputs!H11="Y",Inputs!H$20="Y"),PRODUCT(H$11, Prices!$E11),0))*H$10</f>
        <v>0</v>
      </c>
    </row>
    <row r="29" spans="2:8" x14ac:dyDescent="0.25">
      <c r="C29" s="17" t="s">
        <v>22</v>
      </c>
      <c r="D29" s="18">
        <f>IF(OR(Inputs!D$4="Y", D$11 = 0), 0, IF(OR(Inputs!D12="Y",Inputs!D$20="Y"),PRODUCT(D$11, Prices!$E12),0))*D$10</f>
        <v>0</v>
      </c>
      <c r="E29" s="18">
        <f>IF(OR(Inputs!E$4="Y", E$11 = 0), 0, IF(OR(Inputs!E12="Y",Inputs!E$20="Y"),PRODUCT(E$11, Prices!$E12),0))*E$10</f>
        <v>0</v>
      </c>
      <c r="F29" s="18">
        <f>IF(OR(Inputs!F$4="Y", F$11 = 0), 0, IF(OR(Inputs!F12="Y",Inputs!F$20="Y"),PRODUCT(F$11, Prices!$E12),0))*F$10</f>
        <v>0</v>
      </c>
      <c r="G29" s="18">
        <f>IF(OR(Inputs!G$4="Y", G$11 = 0), 0, IF(OR(Inputs!G12="Y",Inputs!G$20="Y"),PRODUCT(G$11, Prices!$E12),0))*G$10</f>
        <v>0</v>
      </c>
      <c r="H29" s="18">
        <f>IF(OR(Inputs!H$4="Y", H$11 = 0), 0, IF(OR(Inputs!H12="Y",Inputs!H$20="Y"),PRODUCT(H$11, Prices!$E12),0))*H$10</f>
        <v>0</v>
      </c>
    </row>
    <row r="30" spans="2:8" x14ac:dyDescent="0.25">
      <c r="C30" s="17" t="s">
        <v>9</v>
      </c>
      <c r="D30" s="18">
        <f>IF(OR(Inputs!D$4="Y", D$11 = 0), 0, IF(OR(Inputs!D13="Y",Inputs!D$20="Y"),PRODUCT(D$11, Prices!$E13),0))*D$10</f>
        <v>0</v>
      </c>
      <c r="E30" s="18">
        <f>IF(OR(Inputs!E$4="Y", E$11 = 0), 0, IF(OR(Inputs!E13="Y",Inputs!E$20="Y"),PRODUCT(E$11, Prices!$E13),0))*E$10</f>
        <v>0</v>
      </c>
      <c r="F30" s="18">
        <f>IF(OR(Inputs!F$4="Y", F$11 = 0), 0, IF(OR(Inputs!F13="Y",Inputs!F$20="Y"),PRODUCT(F$11, Prices!$E13),0))*F$10</f>
        <v>0</v>
      </c>
      <c r="G30" s="18">
        <f>IF(OR(Inputs!G$4="Y", G$11 = 0), 0, IF(OR(Inputs!G13="Y",Inputs!G$20="Y"),PRODUCT(G$11, Prices!$E13),0))*G$10</f>
        <v>0</v>
      </c>
      <c r="H30" s="18">
        <f>IF(OR(Inputs!H$4="Y", H$11 = 0), 0, IF(OR(Inputs!H13="Y",Inputs!H$20="Y"),PRODUCT(H$11, Prices!$E13),0))*H$10</f>
        <v>0</v>
      </c>
    </row>
    <row r="31" spans="2:8" x14ac:dyDescent="0.25">
      <c r="C31" s="17" t="s">
        <v>10</v>
      </c>
      <c r="D31" s="18">
        <f>IF(OR(Inputs!D$4="Y", D$11 = 0), 0, IF(OR(Inputs!D14="Y",Inputs!D$20="Y"),PRODUCT(D$11, Prices!$E14),0))*D$10</f>
        <v>0</v>
      </c>
      <c r="E31" s="18">
        <f>IF(OR(Inputs!E$4="Y", E$11 = 0), 0, IF(OR(Inputs!E14="Y",Inputs!E$20="Y"),PRODUCT(E$11, Prices!$E14),0))*E$10</f>
        <v>0</v>
      </c>
      <c r="F31" s="18">
        <f>IF(OR(Inputs!F$4="Y", F$11 = 0), 0, IF(OR(Inputs!F14="Y",Inputs!F$20="Y"),PRODUCT(F$11, Prices!$E14),0))*F$10</f>
        <v>0</v>
      </c>
      <c r="G31" s="18">
        <f>IF(OR(Inputs!G$4="Y", G$11 = 0), 0, IF(OR(Inputs!G14="Y",Inputs!G$20="Y"),PRODUCT(G$11, Prices!$E14),0))*G$10</f>
        <v>0</v>
      </c>
      <c r="H31" s="18">
        <f>IF(OR(Inputs!H$4="Y", H$11 = 0), 0, IF(OR(Inputs!H14="Y",Inputs!H$20="Y"),PRODUCT(H$11, Prices!$E14),0))*H$10</f>
        <v>0</v>
      </c>
    </row>
    <row r="32" spans="2:8" x14ac:dyDescent="0.25">
      <c r="C32" s="17" t="s">
        <v>79</v>
      </c>
      <c r="D32" s="18">
        <f>IF(OR(Inputs!D$4="Y", D$11 = 0), 0, IF(OR(Inputs!D15="Y",Inputs!D$20="Y"),PRODUCT(D$11, Prices!$E15),0))*D$10</f>
        <v>0</v>
      </c>
      <c r="E32" s="18">
        <f>IF(OR(Inputs!E$4="Y", E$11 = 0), 0, IF(OR(Inputs!E15="Y",Inputs!E$20="Y"),PRODUCT(E$11, Prices!$E15),0))*E$10</f>
        <v>0</v>
      </c>
      <c r="F32" s="18">
        <f>IF(OR(Inputs!F$4="Y", F$11 = 0), 0, IF(OR(Inputs!F15="Y",Inputs!F$20="Y"),PRODUCT(F$11, Prices!$E15),0))*F$10</f>
        <v>0</v>
      </c>
      <c r="G32" s="18">
        <f>IF(OR(Inputs!G$4="Y", G$11 = 0), 0, IF(OR(Inputs!G15="Y",Inputs!G$20="Y"),PRODUCT(G$11, Prices!$E15),0))*G$10</f>
        <v>0</v>
      </c>
      <c r="H32" s="18">
        <f>IF(OR(Inputs!H$4="Y", H$11 = 0), 0, IF(OR(Inputs!H15="Y",Inputs!H$20="Y"),PRODUCT(H$11, Prices!$E15),0))*H$10</f>
        <v>0</v>
      </c>
    </row>
    <row r="33" spans="2:8" x14ac:dyDescent="0.25">
      <c r="C33" s="19" t="s">
        <v>11</v>
      </c>
      <c r="D33" s="20">
        <f>IF(OR(Inputs!D$4="Y", D$11 = 0), 0, IF(OR(Inputs!D16="Y",Inputs!D$21="Y"),PRODUCT(D$11, Prices!$E16),0))*D$10</f>
        <v>0</v>
      </c>
      <c r="E33" s="20">
        <f>IF(OR(Inputs!E$4="Y", E$11 = 0), 0, IF(OR(Inputs!E16="Y",Inputs!E$21="Y"),PRODUCT(E$11, Prices!$E16),0))*E$10</f>
        <v>0</v>
      </c>
      <c r="F33" s="20">
        <f>IF(OR(Inputs!F$4="Y", F$11 = 0), 0, IF(OR(Inputs!F16="Y",Inputs!F$21="Y"),PRODUCT(F$11, Prices!$E16),0))*F$10</f>
        <v>0</v>
      </c>
      <c r="G33" s="20">
        <f>IF(OR(Inputs!G$4="Y", G$11 = 0), 0, IF(OR(Inputs!G16="Y",Inputs!G$21="Y"),PRODUCT(G$11, Prices!$E16),0))*G$10</f>
        <v>0</v>
      </c>
      <c r="H33" s="20">
        <f>IF(OR(Inputs!H$4="Y", H$11 = 0), 0, IF(OR(Inputs!H16="Y",Inputs!H$21="Y"),PRODUCT(H$11, Prices!$E16),0))*H$10</f>
        <v>0</v>
      </c>
    </row>
    <row r="34" spans="2:8" x14ac:dyDescent="0.25">
      <c r="C34" s="19" t="s">
        <v>12</v>
      </c>
      <c r="D34" s="20">
        <f>IF(OR(Inputs!D$4="Y", D$11 = 0), 0, IF(OR(Inputs!D17="Y",Inputs!D$21="Y"),PRODUCT(D$11, Prices!$E17),0))*D$10</f>
        <v>0</v>
      </c>
      <c r="E34" s="20">
        <f>IF(OR(Inputs!E$4="Y", E$11 = 0), 0, IF(OR(Inputs!E17="Y",Inputs!E$21="Y"),PRODUCT(E$11, Prices!$E17),0))*E$10</f>
        <v>0</v>
      </c>
      <c r="F34" s="20">
        <f>IF(OR(Inputs!F$4="Y", F$11 = 0), 0, IF(OR(Inputs!F17="Y",Inputs!F$21="Y"),PRODUCT(F$11, Prices!$E17),0))*F$10</f>
        <v>0</v>
      </c>
      <c r="G34" s="20">
        <f>IF(OR(Inputs!G$4="Y", G$11 = 0), 0, IF(OR(Inputs!G17="Y",Inputs!G$21="Y"),PRODUCT(G$11, Prices!$E17),0))*G$10</f>
        <v>0</v>
      </c>
      <c r="H34" s="20">
        <f>IF(OR(Inputs!H$4="Y", H$11 = 0), 0, IF(OR(Inputs!H17="Y",Inputs!H$21="Y"),PRODUCT(H$11,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IF(Inputs!D4="Y", Prices!$C$6, IF(Inputs!D4="N", Prices!$D$6, 0))</f>
        <v>15000</v>
      </c>
      <c r="E38" s="16">
        <f>IF(Inputs!E4="Y", Prices!$C$6, IF(Inputs!E4="N", Prices!$D$6, 0))</f>
        <v>30000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25">
      <c r="C39" s="17" t="s">
        <v>21</v>
      </c>
      <c r="D39" s="18">
        <f>IF(AND(Inputs!D10="Y",Inputs!D$20="N"),Prices!$C10,0)</f>
        <v>0</v>
      </c>
      <c r="E39" s="18">
        <f>IF(AND(Inputs!E10="Y",Inputs!E$20="N"),Prices!$C10,0)</f>
        <v>0</v>
      </c>
      <c r="F39" s="18">
        <f>IF(AND(Inputs!F10="Y",Inputs!F$20="N"),Prices!$C10,0)</f>
        <v>0</v>
      </c>
      <c r="G39" s="18">
        <f>IF(AND(Inputs!G10="Y",Inputs!G$20="N"),Prices!$C10,0)</f>
        <v>0</v>
      </c>
      <c r="H39" s="18">
        <f>IF(AND(Inputs!H10="Y",Inputs!H$20="N"),Prices!$C10,0)</f>
        <v>0</v>
      </c>
    </row>
    <row r="40" spans="2:8" x14ac:dyDescent="0.25">
      <c r="C40" s="17" t="s">
        <v>8</v>
      </c>
      <c r="D40" s="18">
        <f>IF(AND(Inputs!D11="Y",Inputs!D$20="N"),Prices!$C11,0)</f>
        <v>0</v>
      </c>
      <c r="E40" s="18">
        <f>IF(AND(Inputs!E11="Y",Inputs!E$20="N"),Prices!$C11,0)</f>
        <v>0</v>
      </c>
      <c r="F40" s="18">
        <f>IF(AND(Inputs!F11="Y",Inputs!F$20="N"),Prices!$C11,0)</f>
        <v>0</v>
      </c>
      <c r="G40" s="18">
        <f>IF(AND(Inputs!G11="Y",Inputs!G$20="N"),Prices!$C11,0)</f>
        <v>0</v>
      </c>
      <c r="H40" s="18">
        <f>IF(AND(Inputs!H11="Y",Inputs!H$20="N"),Prices!$C11,0)</f>
        <v>0</v>
      </c>
    </row>
    <row r="41" spans="2:8" x14ac:dyDescent="0.25">
      <c r="C41" s="17" t="s">
        <v>22</v>
      </c>
      <c r="D41" s="18">
        <f>IF(AND(Inputs!D12="Y",Inputs!D$20="N"),Prices!$C12,0)</f>
        <v>0</v>
      </c>
      <c r="E41" s="18">
        <f>IF(AND(Inputs!E12="Y",Inputs!E$20="N"),Prices!$C12,0)</f>
        <v>0</v>
      </c>
      <c r="F41" s="18">
        <f>IF(AND(Inputs!F12="Y",Inputs!F$20="N"),Prices!$C12,0)</f>
        <v>0</v>
      </c>
      <c r="G41" s="18">
        <f>IF(AND(Inputs!G12="Y",Inputs!G$20="N"),Prices!$C12,0)</f>
        <v>0</v>
      </c>
      <c r="H41" s="18">
        <f>IF(AND(Inputs!H12="Y",Inputs!H$20="N"),Prices!$C12,0)</f>
        <v>0</v>
      </c>
    </row>
    <row r="42" spans="2:8" x14ac:dyDescent="0.25">
      <c r="C42" s="17" t="s">
        <v>9</v>
      </c>
      <c r="D42" s="18">
        <f>IF(AND(Inputs!D13="Y",Inputs!D$20="N"),Prices!$C13,0)</f>
        <v>0</v>
      </c>
      <c r="E42" s="18">
        <f>IF(AND(Inputs!E13="Y",Inputs!E$20="N"),Prices!$C13,0)</f>
        <v>0</v>
      </c>
      <c r="F42" s="18">
        <f>IF(AND(Inputs!F13="Y",Inputs!F$20="N"),Prices!$C13,0)</f>
        <v>0</v>
      </c>
      <c r="G42" s="18">
        <f>IF(AND(Inputs!G13="Y",Inputs!G$20="N"),Prices!$C13,0)</f>
        <v>0</v>
      </c>
      <c r="H42" s="18">
        <f>IF(AND(Inputs!H13="Y",Inputs!H$20="N"),Prices!$C13,0)</f>
        <v>0</v>
      </c>
    </row>
    <row r="43" spans="2:8" x14ac:dyDescent="0.25">
      <c r="C43" s="17" t="s">
        <v>10</v>
      </c>
      <c r="D43" s="18">
        <f>IF(AND(Inputs!D14="Y",Inputs!D$20="N"),Prices!$C14,0)</f>
        <v>0</v>
      </c>
      <c r="E43" s="18">
        <f>IF(AND(Inputs!E14="Y",Inputs!E$20="N"),Prices!$C14,0)</f>
        <v>0</v>
      </c>
      <c r="F43" s="18">
        <f>IF(AND(Inputs!F14="Y",Inputs!F$20="N"),Prices!$C14,0)</f>
        <v>0</v>
      </c>
      <c r="G43" s="18">
        <f>IF(AND(Inputs!G14="Y",Inputs!G$20="N"),Prices!$C14,0)</f>
        <v>0</v>
      </c>
      <c r="H43" s="18">
        <f>IF(AND(Inputs!H14="Y",Inputs!H$20="N"),Prices!$C14,0)</f>
        <v>0</v>
      </c>
    </row>
    <row r="44" spans="2:8" x14ac:dyDescent="0.25">
      <c r="C44" s="17" t="s">
        <v>79</v>
      </c>
      <c r="D44" s="18">
        <f>IF(AND(Inputs!D15="Y",Inputs!D$20="N"),Prices!$C15,0)</f>
        <v>0</v>
      </c>
      <c r="E44" s="18">
        <f>IF(AND(Inputs!E15="Y",Inputs!E$20="N"),Prices!$C15,0)</f>
        <v>0</v>
      </c>
      <c r="F44" s="18">
        <f>IF(AND(Inputs!F15="Y",Inputs!F$20="N"),Prices!$C15,0)</f>
        <v>0</v>
      </c>
      <c r="G44" s="18">
        <f>IF(AND(Inputs!G15="Y",Inputs!G$20="N"),Prices!$C15,0)</f>
        <v>0</v>
      </c>
      <c r="H44" s="18">
        <f>IF(AND(Inputs!H15="Y",Inputs!H$20="N"),Prices!$C15,0)</f>
        <v>0</v>
      </c>
    </row>
    <row r="45" spans="2:8" x14ac:dyDescent="0.25">
      <c r="C45" s="19" t="s">
        <v>11</v>
      </c>
      <c r="D45" s="20">
        <f>IF(AND(Inputs!D16="Y",Inputs!D$21="N"),Prices!$C16,0)</f>
        <v>0</v>
      </c>
      <c r="E45" s="20">
        <f>IF(AND(Inputs!E16="Y",Inputs!E$21="N"),Prices!$C16,0)</f>
        <v>0</v>
      </c>
      <c r="F45" s="20">
        <f>IF(AND(Inputs!F16="Y",Inputs!F$21="N"),Prices!$C16,0)</f>
        <v>0</v>
      </c>
      <c r="G45" s="20">
        <f>IF(AND(Inputs!G16="Y",Inputs!G$21="N"),Prices!$C16,0)</f>
        <v>0</v>
      </c>
      <c r="H45" s="20">
        <f>IF(AND(Inputs!H16="Y",Inputs!H$21="N"),Prices!$C16,0)</f>
        <v>0</v>
      </c>
    </row>
    <row r="46" spans="2:8" x14ac:dyDescent="0.25">
      <c r="C46" s="19" t="s">
        <v>12</v>
      </c>
      <c r="D46" s="20">
        <f>IF(AND(Inputs!D17="Y",Inputs!D$21="N"),Prices!$C17,0)</f>
        <v>0</v>
      </c>
      <c r="E46" s="20">
        <f>IF(AND(Inputs!E17="Y",Inputs!E$21="N"),Prices!$C17,0)</f>
        <v>0</v>
      </c>
      <c r="F46" s="20">
        <f>IF(AND(Inputs!F17="Y",Inputs!F$21="N"),Prices!$C17,0)</f>
        <v>0</v>
      </c>
      <c r="G46" s="20">
        <f>IF(AND(Inputs!G17="Y",Inputs!G$21="N"),Prices!$C17,0)</f>
        <v>0</v>
      </c>
      <c r="H46" s="20">
        <f>IF(AND(Inputs!H17="Y",Inputs!H$21="N"),Prices!$C17,0)</f>
        <v>0</v>
      </c>
    </row>
    <row r="47" spans="2:8" x14ac:dyDescent="0.25">
      <c r="C47" s="19" t="s">
        <v>23</v>
      </c>
      <c r="D47" s="20">
        <f>IF(AND(Inputs!D18="Y",Inputs!D$21="N"),Prices!$C18,0)</f>
        <v>0</v>
      </c>
      <c r="E47" s="20">
        <f>IF(AND(Inputs!E18="Y",Inputs!E$21="N"),Prices!$C18,0)</f>
        <v>0</v>
      </c>
      <c r="F47" s="20">
        <f>IF(AND(Inputs!F18="Y",Inputs!F$21="N"),Prices!$C18,0)</f>
        <v>0</v>
      </c>
      <c r="G47" s="20">
        <f>IF(AND(Inputs!G18="Y",Inputs!G$21="N"),Prices!$C18,0)</f>
        <v>0</v>
      </c>
      <c r="H47" s="20">
        <f>IF(AND(Inputs!H18="Y",Inputs!H$21="N"),Prices!$C18,0)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24570.000000000004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25">
      <c r="C51" s="17" t="s">
        <v>21</v>
      </c>
      <c r="D51" s="18">
        <f>IF(OR(Inputs!D$4="Y", D$11 = 0), 0, IF(AND(Inputs!D10="Y",Inputs!D$20="N"),PRODUCT(D$11, Prices!$E10)*D$10,0))</f>
        <v>0</v>
      </c>
      <c r="E51" s="18">
        <f>IF(OR(Inputs!E$4="Y", E$11 = 0), 0, IF(AND(Inputs!E10="Y",Inputs!E$20="N"),PRODUCT(E$11, Prices!$E10)*E$10,0))</f>
        <v>0</v>
      </c>
      <c r="F51" s="18">
        <f>IF(OR(Inputs!F$4="Y", F$11 = 0), 0, IF(AND(Inputs!F10="Y",Inputs!F$20="N"),PRODUCT(F$11, Prices!$E10)*F$10,0))</f>
        <v>0</v>
      </c>
      <c r="G51" s="18">
        <f>IF(OR(Inputs!G$4="Y", G$11 = 0), 0, IF(AND(Inputs!G10="Y",Inputs!G$20="N"),PRODUCT(G$11, Prices!$E10)*G$10,0))</f>
        <v>0</v>
      </c>
      <c r="H51" s="18">
        <f>IF(OR(Inputs!H$4="Y", H$11 = 0), 0, IF(AND(Inputs!H10="Y",Inputs!H$20="N"),PRODUCT(H$11, Prices!$E10)*H$10,0))</f>
        <v>0</v>
      </c>
    </row>
    <row r="52" spans="2:8" x14ac:dyDescent="0.25">
      <c r="C52" s="17" t="s">
        <v>8</v>
      </c>
      <c r="D52" s="18">
        <f>IF(OR(Inputs!D$4="Y", D$11 = 0), 0, IF(AND(Inputs!D11="Y",Inputs!D$20="N"),PRODUCT(D$11, Prices!$E11)*D$10,0))</f>
        <v>0</v>
      </c>
      <c r="E52" s="18">
        <f>IF(OR(Inputs!E$4="Y", E$11 = 0), 0, IF(AND(Inputs!E11="Y",Inputs!E$20="N"),PRODUCT(E$11, Prices!$E11)*E$10,0))</f>
        <v>0</v>
      </c>
      <c r="F52" s="18">
        <f>IF(OR(Inputs!F$4="Y", F$11 = 0), 0, IF(AND(Inputs!F11="Y",Inputs!F$20="N"),PRODUCT(F$11, Prices!$E11)*F$10,0))</f>
        <v>0</v>
      </c>
      <c r="G52" s="18">
        <f>IF(OR(Inputs!G$4="Y", G$11 = 0), 0, IF(AND(Inputs!G11="Y",Inputs!G$20="N"),PRODUCT(G$11, Prices!$E11)*G$10,0))</f>
        <v>0</v>
      </c>
      <c r="H52" s="18">
        <f>IF(OR(Inputs!H$4="Y", H$11 = 0), 0, IF(AND(Inputs!H11="Y",Inputs!H$20="N"),PRODUCT(H$11, Prices!$E11)*H$10,0))</f>
        <v>0</v>
      </c>
    </row>
    <row r="53" spans="2:8" x14ac:dyDescent="0.25">
      <c r="C53" s="17" t="s">
        <v>22</v>
      </c>
      <c r="D53" s="18">
        <f>IF(OR(Inputs!D$4="Y", D$11 = 0), 0, IF(AND(Inputs!D12="Y",Inputs!D$20="N"),PRODUCT(D$11, Prices!$E12)*D$10,0))</f>
        <v>0</v>
      </c>
      <c r="E53" s="18">
        <f>IF(OR(Inputs!E$4="Y", E$11 = 0), 0, IF(AND(Inputs!E12="Y",Inputs!E$20="N"),PRODUCT(E$11, Prices!$E12)*E$10,0))</f>
        <v>0</v>
      </c>
      <c r="F53" s="18">
        <f>IF(OR(Inputs!F$4="Y", F$11 = 0), 0, IF(AND(Inputs!F12="Y",Inputs!F$20="N"),PRODUCT(F$11, Prices!$E12)*F$10,0))</f>
        <v>0</v>
      </c>
      <c r="G53" s="18">
        <f>IF(OR(Inputs!G$4="Y", G$11 = 0), 0, IF(AND(Inputs!G12="Y",Inputs!G$20="N"),PRODUCT(G$11, Prices!$E12)*G$10,0))</f>
        <v>0</v>
      </c>
      <c r="H53" s="18">
        <f>IF(OR(Inputs!H$4="Y", H$11 = 0), 0, IF(AND(Inputs!H12="Y",Inputs!H$20="N"),PRODUCT(H$11, Prices!$E12)*H$10,0))</f>
        <v>0</v>
      </c>
    </row>
    <row r="54" spans="2:8" x14ac:dyDescent="0.25">
      <c r="C54" s="17" t="s">
        <v>9</v>
      </c>
      <c r="D54" s="18">
        <f>IF(OR(Inputs!D$4="Y", D$11 = 0), 0, IF(AND(Inputs!D13="Y",Inputs!D$20="N"),PRODUCT(D$11, Prices!$E13)*D$10,0))</f>
        <v>0</v>
      </c>
      <c r="E54" s="18">
        <f>IF(OR(Inputs!E$4="Y", E$11 = 0), 0, IF(AND(Inputs!E13="Y",Inputs!E$20="N"),PRODUCT(E$11, Prices!$E13)*E$10,0))</f>
        <v>0</v>
      </c>
      <c r="F54" s="18">
        <f>IF(OR(Inputs!F$4="Y", F$11 = 0), 0, IF(AND(Inputs!F13="Y",Inputs!F$20="N"),PRODUCT(F$11, Prices!$E13)*F$10,0))</f>
        <v>0</v>
      </c>
      <c r="G54" s="18">
        <f>IF(OR(Inputs!G$4="Y", G$11 = 0), 0, IF(AND(Inputs!G13="Y",Inputs!G$20="N"),PRODUCT(G$11, Prices!$E13)*G$10,0))</f>
        <v>0</v>
      </c>
      <c r="H54" s="18">
        <f>IF(OR(Inputs!H$4="Y", H$11 = 0), 0, IF(AND(Inputs!H13="Y",Inputs!H$20="N"),PRODUCT(H$11, Prices!$E13)*H$10,0))</f>
        <v>0</v>
      </c>
    </row>
    <row r="55" spans="2:8" x14ac:dyDescent="0.25">
      <c r="C55" s="17" t="s">
        <v>10</v>
      </c>
      <c r="D55" s="18">
        <f>IF(OR(Inputs!D$4="Y", D$11 = 0), 0, IF(AND(Inputs!D14="Y",Inputs!D$20="N"),PRODUCT(D$11, Prices!$E14)*D$10,0))</f>
        <v>0</v>
      </c>
      <c r="E55" s="18">
        <f>IF(OR(Inputs!E$4="Y", E$11 = 0), 0, IF(AND(Inputs!E14="Y",Inputs!E$20="N"),PRODUCT(E$11, Prices!$E14)*E$10,0))</f>
        <v>0</v>
      </c>
      <c r="F55" s="18">
        <f>IF(OR(Inputs!F$4="Y", F$11 = 0), 0, IF(AND(Inputs!F14="Y",Inputs!F$20="N"),PRODUCT(F$11, Prices!$E14)*F$10,0))</f>
        <v>0</v>
      </c>
      <c r="G55" s="18">
        <f>IF(OR(Inputs!G$4="Y", G$11 = 0), 0, IF(AND(Inputs!G14="Y",Inputs!G$20="N"),PRODUCT(G$11, Prices!$E14)*G$10,0))</f>
        <v>0</v>
      </c>
      <c r="H55" s="18">
        <f>IF(OR(Inputs!H$4="Y", H$11 = 0), 0, IF(AND(Inputs!H14="Y",Inputs!H$20="N"),PRODUCT(H$11, Prices!$E14)*H$10,0))</f>
        <v>0</v>
      </c>
    </row>
    <row r="56" spans="2:8" x14ac:dyDescent="0.25">
      <c r="C56" s="17" t="s">
        <v>79</v>
      </c>
      <c r="D56" s="18">
        <f>IF(OR(Inputs!D$4="Y", D$11 = 0), 0, IF(AND(Inputs!D15="Y",Inputs!D$20="N"),PRODUCT(D$11, Prices!$E15)*D$10,0))</f>
        <v>0</v>
      </c>
      <c r="E56" s="18">
        <f>IF(OR(Inputs!E$4="Y", E$11 = 0), 0, IF(AND(Inputs!E15="Y",Inputs!E$20="N"),PRODUCT(E$11, Prices!$E15)*E$10,0))</f>
        <v>0</v>
      </c>
      <c r="F56" s="18">
        <f>IF(OR(Inputs!F$4="Y", F$11 = 0), 0, IF(AND(Inputs!F15="Y",Inputs!F$20="N"),PRODUCT(F$11, Prices!$E15)*F$10,0))</f>
        <v>0</v>
      </c>
      <c r="G56" s="18">
        <f>IF(OR(Inputs!G$4="Y", G$11 = 0), 0, IF(AND(Inputs!G15="Y",Inputs!G$20="N"),PRODUCT(G$11, Prices!$E15)*G$10,0))</f>
        <v>0</v>
      </c>
      <c r="H56" s="18">
        <f>IF(OR(Inputs!H$4="Y", H$11 = 0), 0, IF(AND(Inputs!H15="Y",Inputs!H$20="N"),PRODUCT(H$11, Prices!$E15)*H$10,0))</f>
        <v>0</v>
      </c>
    </row>
    <row r="57" spans="2:8" x14ac:dyDescent="0.25">
      <c r="C57" s="19" t="s">
        <v>11</v>
      </c>
      <c r="D57" s="20">
        <f>IF(OR(Inputs!D$4="Y", D$11 = 0), 0, IF(AND(Inputs!D16="Y",Inputs!D$21="N"),PRODUCT(D$11, Prices!$E16)*D$10,0))</f>
        <v>0</v>
      </c>
      <c r="E57" s="20">
        <f>IF(OR(Inputs!E$4="Y", E$11 = 0), 0, IF(AND(Inputs!E16="Y",Inputs!E$21="N"),PRODUCT(E$11, Prices!$E16)*E$10,0))</f>
        <v>0</v>
      </c>
      <c r="F57" s="20">
        <f>IF(OR(Inputs!F$4="Y", F$11 = 0), 0, IF(AND(Inputs!F16="Y",Inputs!F$21="N"),PRODUCT(F$11, Prices!$E16)*F$10,0))</f>
        <v>0</v>
      </c>
      <c r="G57" s="20">
        <f>IF(OR(Inputs!G$4="Y", G$11 = 0), 0, IF(AND(Inputs!G16="Y",Inputs!G$21="N"),PRODUCT(G$11, Prices!$E16)*G$10,0))</f>
        <v>0</v>
      </c>
      <c r="H57" s="20">
        <f>IF(OR(Inputs!H$4="Y", H$11 = 0), 0, IF(AND(Inputs!H16="Y",Inputs!H$21="N"),PRODUCT(H$11, Prices!$E16)*H$10,0))</f>
        <v>0</v>
      </c>
    </row>
    <row r="58" spans="2:8" x14ac:dyDescent="0.25">
      <c r="C58" s="19" t="s">
        <v>12</v>
      </c>
      <c r="D58" s="20">
        <f>IF(OR(Inputs!D$4="Y", D$11 = 0), 0, IF(AND(Inputs!D17="Y",Inputs!D$21="N"),PRODUCT(D$11, Prices!$E17)*D$10,0))</f>
        <v>0</v>
      </c>
      <c r="E58" s="20">
        <f>IF(OR(Inputs!E$4="Y", E$11 = 0), 0, IF(AND(Inputs!E17="Y",Inputs!E$21="N"),PRODUCT(E$11, Prices!$E17)*E$10,0))</f>
        <v>0</v>
      </c>
      <c r="F58" s="20">
        <f>IF(OR(Inputs!F$4="Y", F$11 = 0), 0, IF(AND(Inputs!F17="Y",Inputs!F$21="N"),PRODUCT(F$11, Prices!$E17)*F$10,0))</f>
        <v>0</v>
      </c>
      <c r="G58" s="20">
        <f>IF(OR(Inputs!G$4="Y", G$11 = 0), 0, IF(AND(Inputs!G17="Y",Inputs!G$21="N"),PRODUCT(G$11, Prices!$E17)*G$10,0))</f>
        <v>0</v>
      </c>
      <c r="H58" s="20">
        <f>IF(OR(Inputs!H$4="Y", H$11 = 0), 0, IF(AND(Inputs!H17="Y",Inputs!H$21="N"),PRODUCT(H$11,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IF(Inputs!D$20 = "Y", 0, IF(Inputs!D19="Y", Prices!$C20, 0))</f>
        <v>0</v>
      </c>
      <c r="E62" s="18">
        <f>IF(Inputs!E$20 = "Y", 0, IF(Inputs!E19="Y", Prices!$C20, 0))</f>
        <v>0</v>
      </c>
      <c r="F62" s="18">
        <f>IF(Inputs!F$20 = "Y", 0, IF(Inputs!F19="Y", Prices!$C20, 0))</f>
        <v>0</v>
      </c>
      <c r="G62" s="18">
        <f>IF(Inputs!G$20 = "Y", 0, IF(Inputs!G19="Y", Prices!$C20, 0))</f>
        <v>0</v>
      </c>
      <c r="H62" s="18">
        <f>IF(Inputs!H$20 = "Y", 0, IF(Inputs!H19="Y", Prices!$C20, 0))</f>
        <v>0</v>
      </c>
    </row>
    <row r="63" spans="2:8" x14ac:dyDescent="0.25">
      <c r="C63" s="17" t="s">
        <v>15</v>
      </c>
      <c r="D63" s="18">
        <f>IF(Inputs!D20="Y", Prices!$C21, 0)</f>
        <v>0</v>
      </c>
      <c r="E63" s="18">
        <f>IF(Inputs!E20="Y", Prices!$C21, 0)</f>
        <v>0</v>
      </c>
      <c r="F63" s="18">
        <f>IF(Inputs!F20="Y", Prices!$C21, 0)</f>
        <v>0</v>
      </c>
      <c r="G63" s="18">
        <f>IF(Inputs!G20="Y", Prices!$C21, 0)</f>
        <v>0</v>
      </c>
      <c r="H63" s="18">
        <f>IF(Inputs!H20="Y", Prices!$C21, 0)</f>
        <v>0</v>
      </c>
    </row>
    <row r="64" spans="2:8" x14ac:dyDescent="0.25">
      <c r="C64" s="19" t="s">
        <v>16</v>
      </c>
      <c r="D64" s="20">
        <f>IF(Inputs!D21="Y", Prices!$C22, 0)</f>
        <v>0</v>
      </c>
      <c r="E64" s="20">
        <f>IF(Inputs!E21="Y", Prices!$C22, 0)</f>
        <v>0</v>
      </c>
      <c r="F64" s="20">
        <f>IF(Inputs!F21="Y", Prices!$C22, 0)</f>
        <v>0</v>
      </c>
      <c r="G64" s="20">
        <f>IF(Inputs!G21="Y", Prices!$C22, 0)</f>
        <v>0</v>
      </c>
      <c r="H64" s="20">
        <f>IF(Inputs!H21="Y", Prices!$C22, 0)</f>
        <v>0</v>
      </c>
    </row>
    <row r="65" spans="2:15" x14ac:dyDescent="0.25">
      <c r="C65" s="19" t="s">
        <v>17</v>
      </c>
      <c r="D65" s="20">
        <f>IF(Inputs!D22="Y", Prices!$C23, 0)</f>
        <v>28000</v>
      </c>
      <c r="E65" s="20">
        <f>IF(Inputs!E22="Y", Prices!$C23, 0)</f>
        <v>0</v>
      </c>
      <c r="F65" s="20">
        <f>IF(Inputs!F22="Y", Prices!$C23, 0)</f>
        <v>0</v>
      </c>
      <c r="G65" s="20">
        <f>IF(Inputs!G22="Y", Prices!$C23, 0)</f>
        <v>0</v>
      </c>
      <c r="H65" s="20">
        <f>IF(Inputs!H22="Y", Prices!$C23, 0)</f>
        <v>0</v>
      </c>
    </row>
    <row r="66" spans="2:15" x14ac:dyDescent="0.25">
      <c r="C66" s="19" t="s">
        <v>102</v>
      </c>
      <c r="D66" s="20">
        <f>IF(Inputs!D23="Y", Prices!$C24 * IF(Inputs!D22="Y",1-Prices!$L$20,1), 0)</f>
        <v>23520</v>
      </c>
      <c r="E66" s="20">
        <f>IF(Inputs!E23="Y", Prices!$C24 * IF(Inputs!E22="Y",1-Prices!$L$20,1), 0)</f>
        <v>0</v>
      </c>
      <c r="F66" s="20">
        <f>IF(Inputs!F23="Y", Prices!$C24 * IF(Inputs!F22="Y",1-Prices!$L$20,1), 0)</f>
        <v>0</v>
      </c>
      <c r="G66" s="20">
        <f>IF(Inputs!G23="Y", Prices!$C24 * IF(Inputs!G22="Y",1-Prices!$L$20,1), 0)</f>
        <v>0</v>
      </c>
      <c r="H66" s="20">
        <f>IF(Inputs!H23="Y", Prices!$C24 * IF(Inputs!H22="Y",1-Prices!$L$20,1), 0)</f>
        <v>0</v>
      </c>
    </row>
    <row r="67" spans="2:15" x14ac:dyDescent="0.25">
      <c r="C67" s="19" t="s">
        <v>101</v>
      </c>
      <c r="D67" s="20">
        <f>IF(Inputs!D24="Y", Prices!$C25, 0)</f>
        <v>0</v>
      </c>
      <c r="E67" s="20">
        <f>IF(Inputs!E24="Y", Prices!$C25, 0)</f>
        <v>0</v>
      </c>
      <c r="F67" s="20">
        <f>IF(Inputs!F24="Y", Prices!$C25, 0)</f>
        <v>0</v>
      </c>
      <c r="G67" s="20">
        <f>IF(Inputs!G24="Y", Prices!$C25, 0)</f>
        <v>0</v>
      </c>
      <c r="H67" s="20">
        <f>IF(Inputs!H24="Y", Prices!$C25, 0)</f>
        <v>0</v>
      </c>
    </row>
    <row r="68" spans="2:15" x14ac:dyDescent="0.25">
      <c r="C68" s="81" t="s">
        <v>99</v>
      </c>
      <c r="D68" s="84">
        <f>IF(Inputs!D9="Y", Prices!$C26, 0)</f>
        <v>0</v>
      </c>
      <c r="E68" s="84">
        <f>IF(Inputs!E9="Y", Prices!$C26, 0)</f>
        <v>0</v>
      </c>
      <c r="F68" s="84">
        <f>IF(Inputs!F9="Y", Prices!$C26, 0)</f>
        <v>0</v>
      </c>
      <c r="G68" s="84">
        <f>IF(Inputs!G9="Y", Prices!$C26, 0)</f>
        <v>0</v>
      </c>
      <c r="H68" s="84">
        <f>IF(Inputs!H9="Y", Prices!$C26, 0)</f>
        <v>0</v>
      </c>
    </row>
    <row r="70" spans="2:15" x14ac:dyDescent="0.25">
      <c r="B70" s="6" t="s">
        <v>46</v>
      </c>
      <c r="J70" s="89" t="s">
        <v>107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IF(Inputs!D$4="Y", 0, IF(D$11 = "", 0, IF(Inputs!D20 = "Y", D$11*Prices!$E21, 0)))*D$10</f>
        <v>0</v>
      </c>
      <c r="E72" s="18">
        <f>IF(Inputs!E$4="Y", 0, IF(E$11 = "", 0, IF(Inputs!E20 = "Y", E$11*Prices!$E21, 0)))*E$10</f>
        <v>0</v>
      </c>
      <c r="F72" s="18">
        <f>IF(Inputs!F$4="Y", 0, IF(F$11 = "", 0, IF(Inputs!F20 = "Y", F$11*Prices!$E21, 0)))*F$10</f>
        <v>0</v>
      </c>
      <c r="G72" s="18">
        <f>IF(Inputs!G$4="Y", 0, IF(G$11 = "", 0, IF(Inputs!G20 = "Y", G$11*Prices!$E21, 0)))*G$10</f>
        <v>0</v>
      </c>
      <c r="H72" s="18">
        <f>IF(Inputs!H$4="Y", 0, IF(H$11 = "", 0, IF(Inputs!H20 = "Y", H$11*Prices!$E21, 0)))*H$10</f>
        <v>0</v>
      </c>
      <c r="J72" s="90">
        <f>J71+0.0001</f>
        <v>1.1000000000000001E-3</v>
      </c>
      <c r="K72" s="23">
        <f t="shared" ref="K72:O72" si="3">D63+D72+$J72</f>
        <v>1.1000000000000001E-3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IF(Inputs!D$4="Y", 0, IF(D$11 = "", 0, IF(Inputs!D21 = "Y", D$11*Prices!$E22, 0)))*D$10</f>
        <v>0</v>
      </c>
      <c r="E73" s="20">
        <f>IF(Inputs!E$4="Y", 0, IF(E$11 = "", 0, IF(Inputs!E21 = "Y", E$11*Prices!$E22, 0)))*E$10</f>
        <v>0</v>
      </c>
      <c r="F73" s="20">
        <f>IF(Inputs!F$4="Y", 0, IF(F$11 = "", 0, IF(Inputs!F21 = "Y", F$11*Prices!$E22, 0)))*F$10</f>
        <v>0</v>
      </c>
      <c r="G73" s="20">
        <f>IF(Inputs!G$4="Y", 0, IF(G$11 = "", 0, IF(Inputs!G21 = "Y", G$11*Prices!$E22, 0)))*G$10</f>
        <v>0</v>
      </c>
      <c r="H73" s="20">
        <f>IF(Inputs!H$4="Y", 0, IF(H$11 = "", 0, IF(Inputs!H21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IF(Inputs!D$4="Y", 0, IF(D$11 = "", 0, IF(Inputs!D22 = "Y", D$11*Prices!$E23, 0)))*D$10</f>
        <v>0</v>
      </c>
      <c r="E74" s="20">
        <f>IF(Inputs!E$4="Y", 0, IF(E$11 = "", 0, IF(Inputs!E22 = "Y", E$11*Prices!$E23, 0)))*E$10</f>
        <v>0</v>
      </c>
      <c r="F74" s="20">
        <f>IF(Inputs!F$4="Y", 0, IF(F$11 = "", 0, IF(Inputs!F22 = "Y", F$11*Prices!$E23, 0)))*F$10</f>
        <v>0</v>
      </c>
      <c r="G74" s="20">
        <f>IF(Inputs!G$4="Y", 0, IF(G$11 = "", 0, IF(Inputs!G22 = "Y", G$11*Prices!$E23, 0)))*G$10</f>
        <v>0</v>
      </c>
      <c r="H74" s="20">
        <f>IF(Inputs!H$4="Y", 0, IF(H$11 = "", 0, IF(Inputs!H22 = "Y", H$11*Prices!$E23, 0)))*H$10</f>
        <v>0</v>
      </c>
      <c r="J74" s="90">
        <f t="shared" si="4"/>
        <v>1.3000000000000002E-3</v>
      </c>
      <c r="K74" s="23">
        <f t="shared" ref="K74:O74" si="6">D65+D74+$J74</f>
        <v>28000.0013</v>
      </c>
      <c r="L74" s="23">
        <f t="shared" si="6"/>
        <v>1.3000000000000002E-3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102</v>
      </c>
      <c r="D75" s="20">
        <f>IF(Inputs!D$4="Y", 0, IF(D$11 = "", 0, IF(Inputs!D23 = "Y", D$11*Prices!$E24 * IF(Inputs!D22="Y",1-Prices!$L$20,1), 0)))*D$10</f>
        <v>0</v>
      </c>
      <c r="E75" s="20">
        <f>IF(Inputs!E$4="Y", 0, IF(E$11 = "", 0, IF(Inputs!E23 = "Y", E$11*Prices!$E24 * IF(Inputs!E22="Y",1-Prices!$L$20,1), 0)))*E$10</f>
        <v>0</v>
      </c>
      <c r="F75" s="20">
        <f>IF(Inputs!F$4="Y", 0, IF(F$11 = "", 0, IF(Inputs!F23 = "Y", F$11*Prices!$E24 * IF(Inputs!F22="Y",1-Prices!$L$20,1), 0)))*F$10</f>
        <v>0</v>
      </c>
      <c r="G75" s="20">
        <f>IF(Inputs!G$4="Y", 0, IF(G$11 = "", 0, IF(Inputs!G23 = "Y", G$11*Prices!$E24 * IF(Inputs!G22="Y",1-Prices!$L$20,1), 0)))*G$10</f>
        <v>0</v>
      </c>
      <c r="H75" s="20">
        <f>IF(Inputs!H$4="Y", 0, IF(H$11 = "", 0, IF(Inputs!H23 = "Y", H$11*Prices!$E24 * IF(Inputs!H22="Y",1-Prices!$L$20,1), 0)))*H$10</f>
        <v>0</v>
      </c>
      <c r="J75" s="90">
        <f t="shared" si="4"/>
        <v>1.4000000000000002E-3</v>
      </c>
      <c r="K75" s="23">
        <f t="shared" ref="K75:O75" si="7">D66+D75+$J75</f>
        <v>23520.001400000001</v>
      </c>
      <c r="L75" s="23">
        <f t="shared" si="7"/>
        <v>1.4000000000000002E-3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101</v>
      </c>
      <c r="D76" s="20">
        <f>IF(Inputs!D$4="Y", 0, IF(D$11 = "", 0, IF(Inputs!D24 = "Y", D$11*Prices!$E25, 0)))*D$10</f>
        <v>0</v>
      </c>
      <c r="E76" s="20">
        <f>IF(Inputs!E$4="Y", 0, IF(E$11 = "", 0, IF(Inputs!E24 = "Y", E$11*Prices!$E25, 0)))*E$10</f>
        <v>0</v>
      </c>
      <c r="F76" s="20">
        <f>IF(Inputs!F$4="Y", 0, IF(F$11 = "", 0, IF(Inputs!F24 = "Y", F$11*Prices!$E25, 0)))*F$10</f>
        <v>0</v>
      </c>
      <c r="G76" s="20">
        <f>IF(Inputs!G$4="Y", 0, IF(G$11 = "", 0, IF(Inputs!G24 = "Y", G$11*Prices!$E25, 0)))*G$10</f>
        <v>0</v>
      </c>
      <c r="H76" s="20">
        <f>IF(Inputs!H$4="Y", 0, IF(H$11 = "", 0, IF(Inputs!H24 = "Y", H$11*Prices!$E25, 0)))*H$10</f>
        <v>0</v>
      </c>
      <c r="J76" s="90">
        <f t="shared" si="4"/>
        <v>1.5000000000000002E-3</v>
      </c>
      <c r="K76" s="23">
        <f t="shared" ref="K76:O76" si="8">D67+D76+$J76</f>
        <v>1.5000000000000002E-3</v>
      </c>
      <c r="L76" s="23">
        <f t="shared" si="8"/>
        <v>1.5000000000000002E-3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99</v>
      </c>
      <c r="D77" s="84">
        <f>IF(Inputs!D$4="Y", 0, IF(D$11 = "", 0, IF(Inputs!D9 = "Y", D$11*Prices!$E26, 0)))*D$10</f>
        <v>0</v>
      </c>
      <c r="E77" s="84">
        <f>IF(Inputs!E$4="Y", 0, IF(E$11 = "", 0, IF(Inputs!E9 = "Y", E$11*Prices!$E26, 0)))*E$10</f>
        <v>0</v>
      </c>
      <c r="F77" s="84">
        <f>IF(Inputs!F$4="Y", 0, IF(F$11 = "", 0, IF(Inputs!F9 = "Y", F$11*Prices!$E26, 0)))*F$10</f>
        <v>0</v>
      </c>
      <c r="G77" s="84">
        <f>IF(Inputs!G$4="Y", 0, IF(G$11 = "", 0, IF(Inputs!G9 = "Y", G$11*Prices!$E26, 0)))*G$10</f>
        <v>0</v>
      </c>
      <c r="H77" s="84">
        <f>IF(Inputs!H$4="Y", 0, IF(H$11 = "", 0, IF(Inputs!H9 = "Y", H$11*Prices!$E26, 0)))*H$10</f>
        <v>0</v>
      </c>
      <c r="J77" s="90">
        <f t="shared" si="4"/>
        <v>1.6000000000000003E-3</v>
      </c>
      <c r="K77" s="23">
        <f t="shared" ref="K77:O77" si="9">D68+D77+$J77</f>
        <v>1.6000000000000003E-3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47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6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5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28000</v>
      </c>
      <c r="E83" s="20">
        <f>E65</f>
        <v>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1</v>
      </c>
      <c r="L83" s="21">
        <f t="shared" si="14"/>
        <v>4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102</v>
      </c>
      <c r="D84" s="20">
        <f t="shared" ref="D84:H84" si="15">D66</f>
        <v>23520</v>
      </c>
      <c r="E84" s="20">
        <f t="shared" si="15"/>
        <v>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3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101</v>
      </c>
      <c r="D85" s="20">
        <f t="shared" ref="D85:H85" si="17">D67</f>
        <v>0</v>
      </c>
      <c r="E85" s="20">
        <f t="shared" si="17"/>
        <v>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2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99</v>
      </c>
      <c r="D86" s="84">
        <f t="shared" ref="D86:H86" si="19">D68</f>
        <v>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3</v>
      </c>
      <c r="L86" s="21">
        <f t="shared" si="20"/>
        <v>1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48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102</v>
      </c>
      <c r="D93" s="20">
        <f t="shared" ref="D93:H93" si="21">D75</f>
        <v>0</v>
      </c>
      <c r="E93" s="20">
        <f t="shared" si="21"/>
        <v>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101</v>
      </c>
      <c r="D94" s="20">
        <f t="shared" ref="D94:H94" si="22">D76</f>
        <v>0</v>
      </c>
      <c r="E94" s="20">
        <f t="shared" si="22"/>
        <v>0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99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30</v>
      </c>
    </row>
    <row r="98" spans="1:8" x14ac:dyDescent="0.25">
      <c r="A98" s="88">
        <v>2</v>
      </c>
      <c r="C98" t="s">
        <v>26</v>
      </c>
      <c r="D98" s="1">
        <f>_xlfn.IFNA(SUM(INDEX(D$62:D$68, MATCH($A98, K$80:K$86, 0)), INDEX(D$71:D$77, MATCH($A98, K$80:K$86, 0)))*Prices!$L$5*-1, 0)</f>
        <v>-7056</v>
      </c>
      <c r="E98" s="1">
        <f>_xlfn.IFNA(SUM(INDEX(E$62:E$68, MATCH($A98, L$80:L$86, 0)), INDEX(E$71:E$77, MATCH($A98, L$80:L$86, 0)))*Prices!$L$5*-1, 0)</f>
        <v>0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27</v>
      </c>
      <c r="D99" s="1">
        <f>_xlfn.IFNA(SUM(INDEX(D$62:D$68, MATCH($A99, K$80:K$86, 0)), INDEX(D$71:D$77, MATCH($A99, K$80:K$86, 0)))*Prices!$L$6*-1, 0)</f>
        <v>0</v>
      </c>
      <c r="E99" s="1">
        <f>_xlfn.IFNA(SUM(INDEX(E$62:E$68, MATCH($A99, L$80:L$86, 0)), INDEX(E$71:E$77, MATCH($A99, L$80:L$86, 0)))*Prices!$L$6*-1, 0)</f>
        <v>0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103</v>
      </c>
      <c r="D100" s="1">
        <f>_xlfn.IFNA(SUM(INDEX(D$62:D$68, MATCH($A100, K$80:K$86, 0)), INDEX(D$71:D$77, MATCH($A100, K$80:K$86, 0)))*Prices!$L$6*-1, 0)</f>
        <v>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104</v>
      </c>
      <c r="D101" s="1">
        <f>_xlfn.IFNA(SUM(INDEX(D$62:D$68, MATCH($A101, K$80:K$86, 0)), INDEX(D$71:D$77, MATCH($A101, K$80:K$86, 0)))*Prices!$L$6*-1, 0)</f>
        <v>0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105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115</v>
      </c>
      <c r="D104" s="7">
        <f>SUM(D38:D47, D50:D59, D62:D68, D71:D77, D98:D102)</f>
        <v>59464</v>
      </c>
      <c r="E104" s="7">
        <f t="shared" ref="E104:H104" si="24">SUM(E38:E47, E50:E59, E62:E68, E71:E77, E98:E102)</f>
        <v>54570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43</v>
      </c>
      <c r="D106" s="1">
        <f>IF(D116=1, 0, IF(D116=2, $E$119, IF(D116=3, $E$120, IF(D116=4, $E$121, IF(D116=5, $E$122, "")))))</f>
        <v>0</v>
      </c>
      <c r="E106" s="1">
        <f t="shared" ref="E106:H106" si="25">IF(E116=1, 0, IF(E116=2, $E$119, IF(E116=3, $E$120, IF(E116=4, $E$121, IF(E116=5, $E$122, "")))))</f>
        <v>-24556.5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84</v>
      </c>
      <c r="D108" s="1">
        <f>IF(Inputs!$D$5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116</v>
      </c>
      <c r="D110" s="7">
        <f>SUM(D104, D106)</f>
        <v>59464</v>
      </c>
      <c r="E110" s="7">
        <f>SUM(E104, E106)</f>
        <v>30013.5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117</v>
      </c>
      <c r="D113" s="21">
        <f>IFERROR(_xlfn.RANK.EQ(D104,$D$104:$H$104),5)</f>
        <v>1</v>
      </c>
      <c r="E113" s="21">
        <f t="shared" ref="E113:H113" si="26">IFERROR(_xlfn.RANK.EQ(E104,$D$104:$H$104),5)</f>
        <v>2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1.1000000000000001</v>
      </c>
      <c r="E115" s="21">
        <f t="shared" ref="E115:H115" si="27">SUM(E113:E114)</f>
        <v>2.2000000000000002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1</v>
      </c>
      <c r="E116" s="21">
        <f t="shared" ref="E116:H116" si="28">_xlfn.RANK.EQ(E115, $D$115:$H$115, 5)</f>
        <v>2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118</v>
      </c>
    </row>
    <row r="119" spans="2:8" s="21" customFormat="1" x14ac:dyDescent="0.25">
      <c r="B119" s="27"/>
      <c r="D119" s="21" t="s">
        <v>119</v>
      </c>
      <c r="E119" s="23">
        <f>INDEX($D$104:$H$104, 1, MATCH(2, $D$116:$H$116, 0))*Prices!$L$10*-1</f>
        <v>-24556.5</v>
      </c>
    </row>
    <row r="120" spans="2:8" s="21" customFormat="1" x14ac:dyDescent="0.25">
      <c r="B120" s="27"/>
      <c r="D120" s="21" t="s">
        <v>120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121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122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workbookViewId="0">
      <selection activeCell="K9" sqref="K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114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85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86</v>
      </c>
      <c r="F5" s="48" t="s">
        <v>87</v>
      </c>
      <c r="G5" s="48" t="s">
        <v>88</v>
      </c>
      <c r="H5" s="48" t="s">
        <v>92</v>
      </c>
      <c r="K5" t="s">
        <v>26</v>
      </c>
      <c r="L5" s="3">
        <v>0.3</v>
      </c>
    </row>
    <row r="6" spans="2:12" x14ac:dyDescent="0.25">
      <c r="B6" s="15" t="s">
        <v>20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124</v>
      </c>
    </row>
    <row r="9" spans="2:12" x14ac:dyDescent="0.25">
      <c r="C9" s="46" t="s">
        <v>28</v>
      </c>
      <c r="E9" s="47"/>
      <c r="F9" s="47"/>
      <c r="G9" s="47"/>
      <c r="H9" s="47"/>
      <c r="K9" t="s">
        <v>123</v>
      </c>
      <c r="L9" s="3">
        <v>0</v>
      </c>
    </row>
    <row r="10" spans="2:12" x14ac:dyDescent="0.25">
      <c r="B10" s="17" t="s">
        <v>21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119</v>
      </c>
      <c r="L10" s="3">
        <v>0.45</v>
      </c>
    </row>
    <row r="11" spans="2:12" x14ac:dyDescent="0.2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120</v>
      </c>
      <c r="L11" s="3">
        <v>0.5</v>
      </c>
    </row>
    <row r="12" spans="2:12" x14ac:dyDescent="0.25">
      <c r="B12" s="17" t="s">
        <v>22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61</v>
      </c>
      <c r="L14" s="57">
        <v>1.2500000000000001E-2</v>
      </c>
    </row>
    <row r="15" spans="2:12" x14ac:dyDescent="0.25">
      <c r="B15" s="17" t="s">
        <v>79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62</v>
      </c>
      <c r="L15" s="54">
        <v>43466</v>
      </c>
    </row>
    <row r="16" spans="2:12" x14ac:dyDescent="0.2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23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83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106</v>
      </c>
      <c r="L20" s="3">
        <v>0.3</v>
      </c>
    </row>
    <row r="21" spans="2:12" x14ac:dyDescent="0.2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</row>
    <row r="24" spans="2:12" x14ac:dyDescent="0.25">
      <c r="B24" s="19" t="s">
        <v>102</v>
      </c>
      <c r="C24" s="45">
        <v>33600</v>
      </c>
      <c r="E24" s="41">
        <v>0.25</v>
      </c>
      <c r="F24" s="41">
        <f t="shared" ref="F24:H26" si="3">$E24*F$4</f>
        <v>0.15</v>
      </c>
      <c r="G24" s="41">
        <f t="shared" si="3"/>
        <v>0.06</v>
      </c>
      <c r="H24" s="41">
        <f t="shared" si="3"/>
        <v>0.05</v>
      </c>
    </row>
    <row r="25" spans="2:12" x14ac:dyDescent="0.25">
      <c r="B25" s="19" t="s">
        <v>101</v>
      </c>
      <c r="C25" s="45">
        <v>20000</v>
      </c>
      <c r="E25" s="41">
        <v>0.14000000000000001</v>
      </c>
      <c r="F25" s="41">
        <f t="shared" si="3"/>
        <v>8.4000000000000005E-2</v>
      </c>
      <c r="G25" s="41">
        <f t="shared" si="3"/>
        <v>3.3600000000000005E-2</v>
      </c>
      <c r="H25" s="41">
        <f t="shared" si="3"/>
        <v>2.8000000000000004E-2</v>
      </c>
    </row>
    <row r="26" spans="2:12" x14ac:dyDescent="0.25">
      <c r="B26" s="81" t="s">
        <v>99</v>
      </c>
      <c r="C26" s="82">
        <v>6750</v>
      </c>
      <c r="E26" s="83">
        <v>0.42</v>
      </c>
      <c r="F26" s="83">
        <f t="shared" si="3"/>
        <v>0.252</v>
      </c>
      <c r="G26" s="83">
        <f t="shared" si="3"/>
        <v>0.10079999999999999</v>
      </c>
      <c r="H26" s="83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2018-07-25T19:55:04Z</dcterms:modified>
</cp:coreProperties>
</file>