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Collaborative Members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N63" i="7" s="1"/>
  <c r="H63" i="7"/>
  <c r="M63" i="7" s="1"/>
  <c r="G63" i="7"/>
  <c r="L63" i="7" s="1"/>
  <c r="F63" i="7"/>
  <c r="K63" i="7" s="1"/>
  <c r="I62" i="7"/>
  <c r="N62" i="7" s="1"/>
  <c r="H62" i="7"/>
  <c r="M62" i="7" s="1"/>
  <c r="G62" i="7"/>
  <c r="L62" i="7" s="1"/>
  <c r="F62" i="7"/>
  <c r="K62" i="7" s="1"/>
  <c r="I61" i="7"/>
  <c r="N61" i="7" s="1"/>
  <c r="H61" i="7"/>
  <c r="M61" i="7" s="1"/>
  <c r="G61" i="7"/>
  <c r="L61" i="7" s="1"/>
  <c r="F61" i="7"/>
  <c r="K61" i="7" s="1"/>
  <c r="I60" i="7"/>
  <c r="N60" i="7" s="1"/>
  <c r="H60" i="7"/>
  <c r="M60" i="7" s="1"/>
  <c r="G60" i="7"/>
  <c r="L60" i="7" s="1"/>
  <c r="F60" i="7"/>
  <c r="K60" i="7" s="1"/>
  <c r="F48" i="7" s="1"/>
  <c r="H45" i="7"/>
  <c r="H44" i="7"/>
  <c r="H43" i="7"/>
  <c r="H42" i="7"/>
  <c r="H39" i="7"/>
  <c r="H38" i="7"/>
  <c r="H37" i="7"/>
  <c r="H36" i="7"/>
  <c r="I33" i="7"/>
  <c r="H33" i="7"/>
  <c r="I32" i="7"/>
  <c r="N32" i="7" s="1"/>
  <c r="H32" i="7"/>
  <c r="I31" i="7"/>
  <c r="H31" i="7"/>
  <c r="I30" i="7"/>
  <c r="H30" i="7"/>
  <c r="I29" i="7"/>
  <c r="H29" i="7"/>
  <c r="I28" i="7"/>
  <c r="N28" i="7" s="1"/>
  <c r="H28" i="7"/>
  <c r="I27" i="7"/>
  <c r="H27" i="7"/>
  <c r="I26" i="7"/>
  <c r="H26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5" i="7"/>
  <c r="N44" i="7"/>
  <c r="N43" i="7"/>
  <c r="N42" i="7"/>
  <c r="N39" i="7"/>
  <c r="N38" i="7"/>
  <c r="N37" i="7"/>
  <c r="N36" i="7"/>
  <c r="N33" i="7"/>
  <c r="N31" i="7"/>
  <c r="N30" i="7"/>
  <c r="N29" i="7"/>
  <c r="N27" i="7"/>
  <c r="N26" i="7"/>
  <c r="N25" i="7"/>
  <c r="N23" i="7"/>
  <c r="N18" i="7"/>
  <c r="N17" i="7"/>
  <c r="N16" i="7"/>
  <c r="N15" i="7"/>
  <c r="N14" i="7"/>
  <c r="N13" i="7"/>
  <c r="N12" i="7"/>
  <c r="N11" i="7"/>
  <c r="N10" i="7"/>
  <c r="N8" i="7"/>
  <c r="G48" i="7" l="1"/>
  <c r="H48" i="7"/>
  <c r="I48" i="7"/>
  <c r="D9" i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6" i="7"/>
  <c r="G25" i="7"/>
  <c r="G24" i="7"/>
  <c r="G23" i="7"/>
  <c r="D24" i="7"/>
  <c r="D33" i="7"/>
  <c r="P88" i="8" l="1"/>
  <c r="Q88" i="8"/>
  <c r="P84" i="8"/>
  <c r="Q84" i="8"/>
  <c r="Q3" i="8"/>
  <c r="P3" i="8"/>
  <c r="P91" i="8"/>
  <c r="Q91" i="8"/>
  <c r="P87" i="8"/>
  <c r="Q87" i="8"/>
  <c r="P83" i="8"/>
  <c r="Q83" i="8"/>
  <c r="P79" i="8"/>
  <c r="Q79" i="8"/>
  <c r="P92" i="8"/>
  <c r="Q92" i="8"/>
  <c r="P80" i="8"/>
  <c r="Q80" i="8"/>
  <c r="P94" i="8"/>
  <c r="Q94" i="8"/>
  <c r="P90" i="8"/>
  <c r="Q90" i="8"/>
  <c r="P86" i="8"/>
  <c r="Q86" i="8"/>
  <c r="P82" i="8"/>
  <c r="Q82" i="8"/>
  <c r="P78" i="8"/>
  <c r="Q78" i="8"/>
  <c r="P93" i="8"/>
  <c r="Q93" i="8"/>
  <c r="P89" i="8"/>
  <c r="Q89" i="8"/>
  <c r="P85" i="8"/>
  <c r="Q85" i="8"/>
  <c r="P81" i="8"/>
  <c r="Q81" i="8"/>
  <c r="P5" i="8"/>
  <c r="Q5" i="8"/>
  <c r="P4" i="8"/>
  <c r="Q4" i="8"/>
  <c r="D5" i="8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26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8" i="1" s="1"/>
  <c r="D35" i="1"/>
  <c r="J5" i="8" l="1"/>
  <c r="I5" i="8"/>
  <c r="H5" i="8"/>
  <c r="K5" i="8"/>
  <c r="E6" i="8"/>
  <c r="D8" i="5"/>
  <c r="D7" i="8"/>
  <c r="D18" i="7"/>
  <c r="L18" i="7" s="1"/>
  <c r="D14" i="7"/>
  <c r="D11" i="7"/>
  <c r="D15" i="7"/>
  <c r="D10" i="7"/>
  <c r="D12" i="7"/>
  <c r="D16" i="7"/>
  <c r="D13" i="7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J7" i="8" l="1"/>
  <c r="K7" i="8"/>
  <c r="I7" i="8"/>
  <c r="H7" i="8"/>
  <c r="E7" i="8"/>
  <c r="F6" i="8"/>
  <c r="D8" i="8"/>
  <c r="H75" i="1"/>
  <c r="G74" i="1"/>
  <c r="H74" i="1"/>
  <c r="G75" i="1"/>
  <c r="F75" i="1"/>
  <c r="D75" i="1"/>
  <c r="E74" i="1"/>
  <c r="E75" i="1"/>
  <c r="E20" i="5"/>
  <c r="F20" i="5"/>
  <c r="G20" i="5"/>
  <c r="P6" i="8" l="1"/>
  <c r="Q6" i="8"/>
  <c r="K8" i="8"/>
  <c r="J8" i="8"/>
  <c r="I8" i="8"/>
  <c r="H8" i="8"/>
  <c r="E8" i="8"/>
  <c r="F7" i="8"/>
  <c r="D37" i="7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P7" i="8" l="1"/>
  <c r="Q7" i="8"/>
  <c r="E9" i="8"/>
  <c r="F8" i="8"/>
  <c r="D4" i="7"/>
  <c r="H9" i="8" s="1"/>
  <c r="K5" i="7"/>
  <c r="L5" i="7"/>
  <c r="M5" i="7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K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P8" i="8" l="1"/>
  <c r="Q8" i="8"/>
  <c r="H6" i="8"/>
  <c r="N4" i="7"/>
  <c r="K10" i="8"/>
  <c r="I10" i="8"/>
  <c r="H10" i="8"/>
  <c r="J10" i="8"/>
  <c r="E10" i="8"/>
  <c r="F9" i="8"/>
  <c r="K4" i="7"/>
  <c r="I6" i="8" s="1"/>
  <c r="K8" i="7"/>
  <c r="L8" i="7"/>
  <c r="D39" i="7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D29" i="7"/>
  <c r="D31" i="7"/>
  <c r="D30" i="7"/>
  <c r="D32" i="7"/>
  <c r="D25" i="7"/>
  <c r="D26" i="7"/>
  <c r="D27" i="7"/>
  <c r="D23" i="7"/>
  <c r="K23" i="7" s="1"/>
  <c r="H80" i="1"/>
  <c r="E81" i="1"/>
  <c r="D62" i="7"/>
  <c r="E80" i="1"/>
  <c r="D61" i="7"/>
  <c r="D63" i="7"/>
  <c r="D80" i="1"/>
  <c r="D82" i="1"/>
  <c r="D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I9" i="8" l="1"/>
  <c r="P9" i="8"/>
  <c r="Q9" i="8"/>
  <c r="J11" i="8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K43" i="7" s="1"/>
  <c r="D44" i="7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D85" i="1"/>
  <c r="M18" i="7"/>
  <c r="K18" i="7"/>
  <c r="D86" i="1"/>
  <c r="E86" i="1"/>
  <c r="E85" i="1"/>
  <c r="F86" i="1"/>
  <c r="F85" i="1"/>
  <c r="G86" i="1"/>
  <c r="G85" i="1"/>
  <c r="H86" i="1"/>
  <c r="H85" i="1"/>
  <c r="P10" i="8" l="1"/>
  <c r="Q10" i="8"/>
  <c r="P48" i="8"/>
  <c r="Q48" i="8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Q49" i="8" l="1"/>
  <c r="P49" i="8"/>
  <c r="P11" i="8"/>
  <c r="Q11" i="8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P12" i="8" l="1"/>
  <c r="Q12" i="8"/>
  <c r="P50" i="8"/>
  <c r="Q50" i="8"/>
  <c r="K48" i="7"/>
  <c r="F50" i="7" s="1"/>
  <c r="L48" i="7"/>
  <c r="M48" i="7"/>
  <c r="N48" i="7"/>
  <c r="K14" i="8"/>
  <c r="I14" i="8"/>
  <c r="J14" i="8"/>
  <c r="H14" i="8"/>
  <c r="E14" i="8"/>
  <c r="F13" i="8"/>
  <c r="F51" i="8"/>
  <c r="D15" i="8"/>
  <c r="E99" i="1"/>
  <c r="H99" i="1"/>
  <c r="G99" i="1"/>
  <c r="P13" i="8" l="1"/>
  <c r="Q13" i="8"/>
  <c r="P51" i="8"/>
  <c r="Q51" i="8"/>
  <c r="H49" i="7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P52" i="8" l="1"/>
  <c r="Q52" i="8"/>
  <c r="P14" i="8"/>
  <c r="Q14" i="8"/>
  <c r="I50" i="7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P15" i="8" l="1"/>
  <c r="Q15" i="8"/>
  <c r="P53" i="8"/>
  <c r="Q53" i="8"/>
  <c r="K17" i="8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92" i="1" s="1"/>
  <c r="H28" i="5" s="1"/>
  <c r="H30" i="5" s="1"/>
  <c r="P54" i="8" l="1"/>
  <c r="Q54" i="8"/>
  <c r="P16" i="8"/>
  <c r="Q16" i="8"/>
  <c r="H35" i="5"/>
  <c r="K18" i="8"/>
  <c r="I18" i="8"/>
  <c r="H18" i="8"/>
  <c r="J18" i="8"/>
  <c r="E18" i="8"/>
  <c r="F17" i="8"/>
  <c r="F55" i="8"/>
  <c r="D19" i="8"/>
  <c r="E94" i="1"/>
  <c r="E92" i="1" s="1"/>
  <c r="E28" i="5" s="1"/>
  <c r="E30" i="5" s="1"/>
  <c r="E35" i="5" s="1"/>
  <c r="F94" i="1"/>
  <c r="F92" i="1" s="1"/>
  <c r="F28" i="5" s="1"/>
  <c r="F30" i="5" s="1"/>
  <c r="F35" i="5" s="1"/>
  <c r="D94" i="1"/>
  <c r="G27" i="5"/>
  <c r="D49" i="7" s="1"/>
  <c r="G94" i="1"/>
  <c r="G92" i="1" s="1"/>
  <c r="G28" i="5" s="1"/>
  <c r="G30" i="5" s="1"/>
  <c r="P55" i="8" l="1"/>
  <c r="Q55" i="8"/>
  <c r="P17" i="8"/>
  <c r="Q17" i="8"/>
  <c r="D92" i="1"/>
  <c r="D28" i="5" s="1"/>
  <c r="L49" i="7"/>
  <c r="M49" i="7"/>
  <c r="K49" i="7"/>
  <c r="N49" i="7"/>
  <c r="J19" i="8"/>
  <c r="I19" i="8"/>
  <c r="H19" i="8"/>
  <c r="K19" i="8"/>
  <c r="E19" i="8"/>
  <c r="F18" i="8"/>
  <c r="F56" i="8"/>
  <c r="D20" i="8"/>
  <c r="G35" i="5"/>
  <c r="P56" i="8" l="1"/>
  <c r="Q56" i="8"/>
  <c r="P18" i="8"/>
  <c r="Q18" i="8"/>
  <c r="D30" i="5"/>
  <c r="D35" i="5" s="1"/>
  <c r="C40" i="5" s="1"/>
  <c r="D50" i="7"/>
  <c r="N50" i="7" s="1"/>
  <c r="N52" i="7" s="1"/>
  <c r="J20" i="8"/>
  <c r="K20" i="8"/>
  <c r="H20" i="8"/>
  <c r="I20" i="8"/>
  <c r="D21" i="8"/>
  <c r="E20" i="8"/>
  <c r="F19" i="8"/>
  <c r="D52" i="7"/>
  <c r="M89" i="8" s="1"/>
  <c r="F57" i="8"/>
  <c r="Q19" i="8" l="1"/>
  <c r="P19" i="8"/>
  <c r="P57" i="8"/>
  <c r="Q57" i="8"/>
  <c r="M50" i="7"/>
  <c r="M52" i="7" s="1"/>
  <c r="L50" i="7"/>
  <c r="L52" i="7" s="1"/>
  <c r="K50" i="7"/>
  <c r="K52" i="7" s="1"/>
  <c r="N17" i="8" s="1"/>
  <c r="E21" i="8"/>
  <c r="F20" i="8"/>
  <c r="K21" i="8"/>
  <c r="I21" i="8"/>
  <c r="J21" i="8"/>
  <c r="H21" i="8"/>
  <c r="M51" i="8"/>
  <c r="M11" i="8"/>
  <c r="M18" i="8"/>
  <c r="O54" i="8"/>
  <c r="O80" i="8"/>
  <c r="O7" i="8"/>
  <c r="O55" i="8"/>
  <c r="O51" i="8"/>
  <c r="O83" i="8"/>
  <c r="O17" i="8"/>
  <c r="O52" i="8"/>
  <c r="O87" i="8"/>
  <c r="O90" i="8"/>
  <c r="O56" i="8"/>
  <c r="O50" i="8"/>
  <c r="O53" i="8"/>
  <c r="O88" i="8"/>
  <c r="O48" i="8"/>
  <c r="O15" i="8"/>
  <c r="O93" i="8"/>
  <c r="O12" i="8"/>
  <c r="O92" i="8"/>
  <c r="O79" i="8"/>
  <c r="O10" i="8"/>
  <c r="O16" i="8"/>
  <c r="O14" i="8"/>
  <c r="O89" i="8"/>
  <c r="O5" i="8"/>
  <c r="O84" i="8"/>
  <c r="O6" i="8"/>
  <c r="O81" i="8"/>
  <c r="O94" i="8"/>
  <c r="O19" i="8"/>
  <c r="O91" i="8"/>
  <c r="O9" i="8"/>
  <c r="O20" i="8"/>
  <c r="O82" i="8"/>
  <c r="O8" i="8"/>
  <c r="O13" i="8"/>
  <c r="O3" i="8"/>
  <c r="O86" i="8"/>
  <c r="O85" i="8"/>
  <c r="O4" i="8"/>
  <c r="O78" i="8"/>
  <c r="O49" i="8"/>
  <c r="O18" i="8"/>
  <c r="O11" i="8"/>
  <c r="N94" i="8"/>
  <c r="N51" i="8"/>
  <c r="N55" i="8"/>
  <c r="N87" i="8"/>
  <c r="N19" i="8"/>
  <c r="N13" i="8"/>
  <c r="N20" i="8"/>
  <c r="N92" i="8"/>
  <c r="N12" i="8"/>
  <c r="N78" i="8"/>
  <c r="N86" i="8"/>
  <c r="N49" i="8"/>
  <c r="N84" i="8"/>
  <c r="N56" i="8"/>
  <c r="M3" i="8"/>
  <c r="N3" i="8"/>
  <c r="N11" i="8"/>
  <c r="N82" i="8"/>
  <c r="M84" i="8"/>
  <c r="M19" i="8"/>
  <c r="N91" i="8"/>
  <c r="N14" i="8"/>
  <c r="N93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56" i="8"/>
  <c r="M90" i="8"/>
  <c r="M13" i="8"/>
  <c r="M81" i="8"/>
  <c r="M85" i="8"/>
  <c r="M53" i="8"/>
  <c r="M57" i="8"/>
  <c r="O57" i="8"/>
  <c r="F58" i="8"/>
  <c r="D22" i="8"/>
  <c r="N18" i="8" l="1"/>
  <c r="N5" i="8"/>
  <c r="N6" i="8"/>
  <c r="N90" i="8"/>
  <c r="N88" i="8"/>
  <c r="N52" i="8"/>
  <c r="N79" i="8"/>
  <c r="N83" i="8"/>
  <c r="N80" i="8"/>
  <c r="N8" i="8"/>
  <c r="N9" i="8"/>
  <c r="T11" i="8" s="1"/>
  <c r="N57" i="8"/>
  <c r="N48" i="8"/>
  <c r="N10" i="8"/>
  <c r="N7" i="8"/>
  <c r="N81" i="8"/>
  <c r="N16" i="8"/>
  <c r="N15" i="8"/>
  <c r="N50" i="8"/>
  <c r="N54" i="8"/>
  <c r="N89" i="8"/>
  <c r="N4" i="8"/>
  <c r="N85" i="8"/>
  <c r="P58" i="8"/>
  <c r="Q58" i="8"/>
  <c r="P20" i="8"/>
  <c r="Q20" i="8"/>
  <c r="D53" i="7"/>
  <c r="K22" i="8"/>
  <c r="I22" i="8"/>
  <c r="J22" i="8"/>
  <c r="H22" i="8"/>
  <c r="E22" i="8"/>
  <c r="F21" i="8"/>
  <c r="S5" i="8"/>
  <c r="T8" i="8"/>
  <c r="T14" i="8"/>
  <c r="T5" i="8"/>
  <c r="U20" i="8"/>
  <c r="U5" i="8"/>
  <c r="U11" i="8"/>
  <c r="U8" i="8"/>
  <c r="T20" i="8"/>
  <c r="U17" i="8"/>
  <c r="U14" i="8"/>
  <c r="T17" i="8"/>
  <c r="S20" i="8"/>
  <c r="S11" i="8"/>
  <c r="S8" i="8"/>
  <c r="S14" i="8"/>
  <c r="S17" i="8"/>
  <c r="N58" i="8"/>
  <c r="M58" i="8"/>
  <c r="O58" i="8"/>
  <c r="F59" i="8"/>
  <c r="D23" i="8"/>
  <c r="P21" i="8" l="1"/>
  <c r="Q21" i="8"/>
  <c r="Q59" i="8"/>
  <c r="P59" i="8"/>
  <c r="E23" i="8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P22" i="8" l="1"/>
  <c r="Q22" i="8"/>
  <c r="P60" i="8"/>
  <c r="Q60" i="8"/>
  <c r="M22" i="8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Q23" i="8" l="1"/>
  <c r="P23" i="8"/>
  <c r="P61" i="8"/>
  <c r="Q61" i="8"/>
  <c r="N23" i="8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P62" i="8" l="1"/>
  <c r="Q62" i="8"/>
  <c r="P24" i="8"/>
  <c r="Q24" i="8"/>
  <c r="N24" i="8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P25" i="8" l="1"/>
  <c r="Q25" i="8"/>
  <c r="P63" i="8"/>
  <c r="Q63" i="8"/>
  <c r="N25" i="8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P64" i="8" l="1"/>
  <c r="Q64" i="8"/>
  <c r="P26" i="8"/>
  <c r="Q26" i="8"/>
  <c r="J28" i="8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Q65" i="8" l="1"/>
  <c r="P65" i="8"/>
  <c r="Q27" i="8"/>
  <c r="P27" i="8"/>
  <c r="M27" i="8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P66" i="8" l="1"/>
  <c r="Q66" i="8"/>
  <c r="P28" i="8"/>
  <c r="Q28" i="8"/>
  <c r="O28" i="8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P67" i="8" l="1"/>
  <c r="Q67" i="8"/>
  <c r="P29" i="8"/>
  <c r="Q29" i="8"/>
  <c r="O29" i="8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P68" i="8" l="1"/>
  <c r="Q68" i="8"/>
  <c r="P30" i="8"/>
  <c r="Q30" i="8"/>
  <c r="M30" i="8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P69" i="8" l="1"/>
  <c r="Q69" i="8"/>
  <c r="P31" i="8"/>
  <c r="Q31" i="8"/>
  <c r="O31" i="8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P70" i="8" l="1"/>
  <c r="Q70" i="8"/>
  <c r="P32" i="8"/>
  <c r="Q32" i="8"/>
  <c r="M32" i="8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P71" i="8" l="1"/>
  <c r="Q71" i="8"/>
  <c r="P33" i="8"/>
  <c r="Q33" i="8"/>
  <c r="O33" i="8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P72" i="8" l="1"/>
  <c r="Q72" i="8"/>
  <c r="P34" i="8"/>
  <c r="Q34" i="8"/>
  <c r="N34" i="8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P73" i="8" l="1"/>
  <c r="Q73" i="8"/>
  <c r="Q35" i="8"/>
  <c r="P35" i="8"/>
  <c r="N35" i="8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P74" i="8" l="1"/>
  <c r="Q74" i="8"/>
  <c r="P36" i="8"/>
  <c r="Q36" i="8"/>
  <c r="N36" i="8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P75" i="8" l="1"/>
  <c r="Q75" i="8"/>
  <c r="P37" i="8"/>
  <c r="Q37" i="8"/>
  <c r="N37" i="8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P76" i="8" l="1"/>
  <c r="Q76" i="8"/>
  <c r="P38" i="8"/>
  <c r="Q38" i="8"/>
  <c r="O38" i="8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P77" i="8" l="1"/>
  <c r="Q77" i="8"/>
  <c r="Q39" i="8"/>
  <c r="P39" i="8"/>
  <c r="O39" i="8"/>
  <c r="M39" i="8"/>
  <c r="N39" i="8"/>
  <c r="K41" i="8"/>
  <c r="I41" i="8"/>
  <c r="J41" i="8"/>
  <c r="H41" i="8"/>
  <c r="E41" i="8"/>
  <c r="F40" i="8"/>
  <c r="M77" i="8"/>
  <c r="O77" i="8"/>
  <c r="N77" i="8"/>
  <c r="D42" i="8"/>
  <c r="P40" i="8" l="1"/>
  <c r="Q40" i="8"/>
  <c r="M40" i="8"/>
  <c r="O40" i="8"/>
  <c r="N40" i="8"/>
  <c r="K42" i="8"/>
  <c r="I42" i="8"/>
  <c r="H42" i="8"/>
  <c r="J42" i="8"/>
  <c r="E42" i="8"/>
  <c r="F41" i="8"/>
  <c r="D43" i="8"/>
  <c r="P41" i="8" l="1"/>
  <c r="Q41" i="8"/>
  <c r="N41" i="8"/>
  <c r="T41" i="8" s="1"/>
  <c r="M41" i="8"/>
  <c r="S41" i="8" s="1"/>
  <c r="O41" i="8"/>
  <c r="U41" i="8" s="1"/>
  <c r="J43" i="8"/>
  <c r="I43" i="8"/>
  <c r="H43" i="8"/>
  <c r="K43" i="8"/>
  <c r="F42" i="8"/>
  <c r="E43" i="8"/>
  <c r="D44" i="8"/>
  <c r="E44" i="8" l="1"/>
  <c r="F43" i="8"/>
  <c r="P42" i="8"/>
  <c r="Q42" i="8"/>
  <c r="J44" i="8"/>
  <c r="H44" i="8"/>
  <c r="K44" i="8"/>
  <c r="I44" i="8"/>
  <c r="O42" i="8"/>
  <c r="N42" i="8"/>
  <c r="M42" i="8"/>
  <c r="D45" i="8"/>
  <c r="P43" i="8" l="1"/>
  <c r="Q43" i="8"/>
  <c r="M43" i="8"/>
  <c r="O43" i="8"/>
  <c r="N43" i="8"/>
  <c r="E45" i="8"/>
  <c r="F44" i="8"/>
  <c r="K45" i="8"/>
  <c r="I45" i="8"/>
  <c r="J45" i="8"/>
  <c r="H45" i="8"/>
  <c r="D46" i="8"/>
  <c r="U44" i="8" l="1"/>
  <c r="E46" i="8"/>
  <c r="F45" i="8"/>
  <c r="P44" i="8"/>
  <c r="Q44" i="8"/>
  <c r="O44" i="8"/>
  <c r="N44" i="8"/>
  <c r="T44" i="8" s="1"/>
  <c r="M44" i="8"/>
  <c r="S44" i="8" s="1"/>
  <c r="K46" i="8"/>
  <c r="I46" i="8"/>
  <c r="J46" i="8"/>
  <c r="H46" i="8"/>
  <c r="D47" i="8"/>
  <c r="P45" i="8" l="1"/>
  <c r="Q45" i="8"/>
  <c r="O45" i="8"/>
  <c r="N45" i="8"/>
  <c r="M45" i="8"/>
  <c r="E47" i="8"/>
  <c r="F46" i="8"/>
  <c r="J47" i="8"/>
  <c r="H47" i="8"/>
  <c r="I47" i="8"/>
  <c r="K47" i="8"/>
  <c r="D48" i="8"/>
  <c r="P46" i="8" l="1"/>
  <c r="Q46" i="8"/>
  <c r="O46" i="8"/>
  <c r="N46" i="8"/>
  <c r="M46" i="8"/>
  <c r="E48" i="8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7" i="8"/>
  <c r="J48" i="8"/>
  <c r="H48" i="8"/>
  <c r="I48" i="8"/>
  <c r="K48" i="8"/>
  <c r="D49" i="8"/>
  <c r="P47" i="8" l="1"/>
  <c r="Q47" i="8"/>
  <c r="N47" i="8"/>
  <c r="M47" i="8"/>
  <c r="S47" i="8" s="1"/>
  <c r="O47" i="8"/>
  <c r="F1" i="8"/>
  <c r="U47" i="8"/>
  <c r="T47" i="8"/>
  <c r="K49" i="8"/>
  <c r="I49" i="8"/>
  <c r="J49" i="8"/>
  <c r="H49" i="8"/>
  <c r="D50" i="8"/>
  <c r="K50" i="8" l="1"/>
  <c r="I50" i="8"/>
  <c r="J50" i="8"/>
  <c r="H50" i="8"/>
  <c r="S50" i="8" s="1"/>
  <c r="D51" i="8"/>
  <c r="T50" i="8"/>
  <c r="U50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H56" i="8"/>
  <c r="S56" i="8" s="1"/>
  <c r="K56" i="8"/>
  <c r="I56" i="8"/>
  <c r="T56" i="8" s="1"/>
  <c r="D57" i="8"/>
  <c r="U56" i="8"/>
  <c r="K57" i="8" l="1"/>
  <c r="I57" i="8"/>
  <c r="J57" i="8"/>
  <c r="H57" i="8"/>
  <c r="D58" i="8"/>
  <c r="K58" i="8" l="1"/>
  <c r="I58" i="8"/>
  <c r="H58" i="8"/>
  <c r="J58" i="8"/>
  <c r="D59" i="8"/>
  <c r="J59" i="8" l="1"/>
  <c r="U59" i="8" s="1"/>
  <c r="I59" i="8"/>
  <c r="T59" i="8" s="1"/>
  <c r="H59" i="8"/>
  <c r="S59" i="8" s="1"/>
  <c r="K59" i="8"/>
  <c r="D60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U62" i="8" s="1"/>
  <c r="D63" i="8"/>
  <c r="T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H68" i="8"/>
  <c r="K68" i="8"/>
  <c r="I68" i="8"/>
  <c r="T68" i="8" s="1"/>
  <c r="D69" i="8"/>
  <c r="S68" i="8"/>
  <c r="U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K71" i="8"/>
  <c r="H71" i="8"/>
  <c r="S71" i="8" s="1"/>
  <c r="D72" i="8"/>
  <c r="T71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S74" i="8" s="1"/>
  <c r="J74" i="8"/>
  <c r="U74" i="8" s="1"/>
  <c r="D75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H80" i="8"/>
  <c r="S80" i="8" s="1"/>
  <c r="K80" i="8"/>
  <c r="I80" i="8"/>
  <c r="T80" i="8" s="1"/>
  <c r="D81" i="8"/>
  <c r="U80" i="8"/>
  <c r="K81" i="8" l="1"/>
  <c r="I81" i="8"/>
  <c r="J81" i="8"/>
  <c r="H81" i="8"/>
  <c r="D82" i="8"/>
  <c r="K82" i="8" l="1"/>
  <c r="I82" i="8"/>
  <c r="H82" i="8"/>
  <c r="J82" i="8"/>
  <c r="D83" i="8"/>
  <c r="J83" i="8" l="1"/>
  <c r="I83" i="8"/>
  <c r="K83" i="8"/>
  <c r="H83" i="8"/>
  <c r="S83" i="8" s="1"/>
  <c r="D84" i="8"/>
  <c r="T83" i="8"/>
  <c r="U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S86" i="8" s="1"/>
  <c r="J86" i="8"/>
  <c r="U86" i="8" s="1"/>
  <c r="D87" i="8"/>
  <c r="T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U92" i="8" s="1"/>
  <c r="L55" i="7" s="1"/>
  <c r="H92" i="8"/>
  <c r="K92" i="8"/>
  <c r="I92" i="8"/>
  <c r="T92" i="8" s="1"/>
  <c r="K55" i="7" s="1"/>
  <c r="D93" i="8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5" i="7" l="1"/>
  <c r="M56" i="7" s="1"/>
</calcChain>
</file>

<file path=xl/sharedStrings.xml><?xml version="1.0" encoding="utf-8"?>
<sst xmlns="http://schemas.openxmlformats.org/spreadsheetml/2006/main" count="285" uniqueCount="108">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</sst>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5" x14ac:dyDescent="0.25"/>
  <cols>
    <col min="1" max="1" width="5.140625" customWidth="1"/>
    <col min="2" max="2" width="21.42578125" customWidth="1"/>
    <col min="3" max="3" width="18" style="68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82</v>
      </c>
      <c r="C1" s="74">
        <v>43101</v>
      </c>
    </row>
    <row r="2" spans="2:12" x14ac:dyDescent="0.25">
      <c r="B2" s="70" t="s">
        <v>96</v>
      </c>
      <c r="C2" s="75">
        <v>36</v>
      </c>
    </row>
    <row r="3" spans="2:12" x14ac:dyDescent="0.25">
      <c r="B3" s="71"/>
      <c r="C3" s="76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7</v>
      </c>
      <c r="D5" s="56" t="s">
        <v>44</v>
      </c>
      <c r="E5" s="56"/>
      <c r="F5" s="56"/>
      <c r="G5" s="56"/>
      <c r="H5" s="56"/>
      <c r="L5" t="s">
        <v>44</v>
      </c>
    </row>
    <row r="6" spans="2:12" ht="18" customHeight="1" x14ac:dyDescent="0.25">
      <c r="B6" s="72" t="s">
        <v>8</v>
      </c>
      <c r="D6" s="56" t="s">
        <v>44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9</v>
      </c>
      <c r="D8" s="56" t="s">
        <v>44</v>
      </c>
      <c r="E8" s="56"/>
      <c r="F8" s="56"/>
      <c r="G8" s="56"/>
      <c r="H8" s="56"/>
    </row>
    <row r="9" spans="2:12" ht="18" customHeight="1" x14ac:dyDescent="0.25">
      <c r="B9" s="72" t="s">
        <v>10</v>
      </c>
      <c r="D9" s="56" t="s">
        <v>44</v>
      </c>
      <c r="E9" s="56"/>
      <c r="F9" s="56"/>
      <c r="G9" s="56"/>
      <c r="H9" s="56"/>
    </row>
    <row r="10" spans="2:12" ht="18" customHeight="1" x14ac:dyDescent="0.25">
      <c r="B10" s="72" t="s">
        <v>11</v>
      </c>
      <c r="D10" s="56" t="s">
        <v>44</v>
      </c>
      <c r="E10" s="56"/>
      <c r="F10" s="56"/>
      <c r="G10" s="56"/>
      <c r="H10" s="56"/>
    </row>
    <row r="11" spans="2:12" ht="18" customHeight="1" x14ac:dyDescent="0.25">
      <c r="B11" s="72" t="s">
        <v>33</v>
      </c>
      <c r="D11" s="56" t="s">
        <v>44</v>
      </c>
      <c r="E11" s="56"/>
      <c r="F11" s="56"/>
      <c r="G11" s="56"/>
      <c r="H11" s="56"/>
    </row>
    <row r="12" spans="2:12" ht="18" customHeight="1" x14ac:dyDescent="0.25">
      <c r="B12" s="72" t="s">
        <v>12</v>
      </c>
      <c r="D12" s="56" t="s">
        <v>44</v>
      </c>
      <c r="E12" s="56"/>
      <c r="F12" s="56"/>
      <c r="G12" s="56"/>
      <c r="H12" s="56"/>
    </row>
    <row r="13" spans="2:12" ht="18" customHeight="1" x14ac:dyDescent="0.25">
      <c r="B13" s="72" t="s">
        <v>13</v>
      </c>
      <c r="D13" s="56" t="s">
        <v>44</v>
      </c>
      <c r="E13" s="56"/>
      <c r="F13" s="56"/>
      <c r="G13" s="56"/>
      <c r="H13" s="56"/>
    </row>
    <row r="14" spans="2:12" ht="18" customHeight="1" x14ac:dyDescent="0.25">
      <c r="B14" s="72" t="s">
        <v>105</v>
      </c>
      <c r="D14" s="56" t="s">
        <v>44</v>
      </c>
      <c r="E14" s="56"/>
      <c r="F14" s="56"/>
      <c r="G14" s="56"/>
      <c r="H14" s="56"/>
    </row>
    <row r="15" spans="2:12" ht="18" customHeight="1" x14ac:dyDescent="0.25">
      <c r="B15" s="72" t="s">
        <v>14</v>
      </c>
      <c r="D15" s="56" t="s">
        <v>44</v>
      </c>
      <c r="E15" s="56"/>
      <c r="F15" s="56"/>
      <c r="G15" s="56"/>
      <c r="H15" s="56"/>
    </row>
    <row r="16" spans="2:12" ht="18" customHeight="1" x14ac:dyDescent="0.25">
      <c r="B16" s="72" t="s">
        <v>15</v>
      </c>
      <c r="D16" s="56" t="s">
        <v>44</v>
      </c>
      <c r="E16" s="56"/>
      <c r="F16" s="56"/>
      <c r="G16" s="56"/>
      <c r="H16" s="56"/>
    </row>
    <row r="17" spans="2:8" ht="18" customHeight="1" x14ac:dyDescent="0.25">
      <c r="B17" s="72" t="s">
        <v>16</v>
      </c>
      <c r="D17" s="56" t="s">
        <v>44</v>
      </c>
      <c r="E17" s="56"/>
      <c r="F17" s="56"/>
      <c r="G17" s="56"/>
      <c r="H17" s="56"/>
    </row>
    <row r="18" spans="2:8" ht="18" customHeight="1" x14ac:dyDescent="0.25">
      <c r="B18" s="72" t="s">
        <v>17</v>
      </c>
      <c r="D18" s="56" t="s">
        <v>4</v>
      </c>
      <c r="E18" s="56"/>
      <c r="F18" s="56"/>
      <c r="G18" s="56"/>
      <c r="H18" s="56"/>
    </row>
    <row r="19" spans="2:8" ht="18" customHeight="1" x14ac:dyDescent="0.25">
      <c r="B19" s="72" t="s">
        <v>18</v>
      </c>
      <c r="D19" s="56" t="s">
        <v>44</v>
      </c>
      <c r="E19" s="56"/>
      <c r="F19" s="56"/>
      <c r="G19" s="56"/>
      <c r="H19" s="56"/>
    </row>
    <row r="20" spans="2:8" ht="18" customHeight="1" x14ac:dyDescent="0.25">
      <c r="B20" s="72" t="s">
        <v>19</v>
      </c>
      <c r="D20" s="56" t="s">
        <v>44</v>
      </c>
      <c r="E20" s="56"/>
      <c r="F20" s="56"/>
      <c r="G20" s="56"/>
      <c r="H20" s="56"/>
    </row>
    <row r="21" spans="2:8" ht="18" customHeight="1" x14ac:dyDescent="0.25">
      <c r="B21" s="73" t="s">
        <v>20</v>
      </c>
      <c r="C21" s="69"/>
      <c r="D21" s="57" t="s">
        <v>44</v>
      </c>
      <c r="E21" s="57"/>
      <c r="F21" s="57"/>
      <c r="G21" s="57"/>
      <c r="H21" s="57"/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0" sqref="D30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105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8500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103</v>
      </c>
      <c r="D28" s="1">
        <f>Calcs!D92</f>
        <v>0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23500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75500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75500</v>
      </c>
    </row>
    <row r="40" spans="2:21" x14ac:dyDescent="0.25">
      <c r="C40" s="53">
        <f>SUM(D35:H35)</f>
        <v>75500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24" activePane="bottomRight" state="frozen"/>
      <selection pane="topRight" activeCell="D1" sqref="D1"/>
      <selection pane="bottomLeft" activeCell="A3" sqref="A3"/>
      <selection pane="bottomRight" activeCell="L52" sqref="L5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106</v>
      </c>
      <c r="I2" s="9" t="s">
        <v>107</v>
      </c>
      <c r="J2" s="9"/>
      <c r="K2" s="9" t="s">
        <v>62</v>
      </c>
      <c r="L2" s="9" t="s">
        <v>63</v>
      </c>
      <c r="M2" s="9" t="s">
        <v>106</v>
      </c>
      <c r="N2" s="9" t="s">
        <v>107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5000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0</v>
      </c>
      <c r="L9" s="16">
        <f t="shared" ref="L9:L17" si="4">G9*$D9</f>
        <v>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0</v>
      </c>
      <c r="L10" s="18">
        <f t="shared" si="4"/>
        <v>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0</v>
      </c>
      <c r="L11" s="18">
        <f t="shared" si="4"/>
        <v>0</v>
      </c>
      <c r="M11" s="18">
        <f t="shared" si="2"/>
        <v>0</v>
      </c>
      <c r="N11" s="18">
        <f t="shared" si="2"/>
        <v>0</v>
      </c>
    </row>
    <row r="12" spans="2:14" x14ac:dyDescent="0.25">
      <c r="C12" s="17" t="s">
        <v>33</v>
      </c>
      <c r="D12" s="18">
        <f>SUM(Calcs!D13:H13)</f>
        <v>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0</v>
      </c>
      <c r="L12" s="18">
        <f t="shared" si="4"/>
        <v>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0</v>
      </c>
      <c r="L13" s="18">
        <f t="shared" si="4"/>
        <v>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0</v>
      </c>
      <c r="L14" s="18">
        <f t="shared" si="4"/>
        <v>0</v>
      </c>
      <c r="M14" s="18">
        <f t="shared" si="2"/>
        <v>0</v>
      </c>
      <c r="N14" s="18">
        <f t="shared" si="2"/>
        <v>0</v>
      </c>
    </row>
    <row r="15" spans="2:14" x14ac:dyDescent="0.25">
      <c r="C15" s="17" t="s">
        <v>105</v>
      </c>
      <c r="D15" s="18">
        <f>SUM(Calcs!D16:H16)</f>
        <v>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 t="shared" si="8"/>
        <v>0.44999999999999996</v>
      </c>
      <c r="G26" s="37">
        <f t="shared" si="5"/>
        <v>0.55000000000000004</v>
      </c>
      <c r="H26" s="37">
        <f t="shared" si="9"/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105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17</v>
      </c>
      <c r="D36" s="18">
        <f>SUM(Calcs!D73:H73)</f>
        <v>8500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7650</v>
      </c>
      <c r="L36" s="18">
        <f t="shared" si="12"/>
        <v>850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0.9</v>
      </c>
      <c r="G48" s="8">
        <f>IFERROR(SUM(L59:L62)/SUM($K$59:$M$62), 0)</f>
        <v>0.1</v>
      </c>
      <c r="H48" s="8">
        <f>IFERROR(SUM(M59:M62)/SUM($K$59:$M$62), 0)</f>
        <v>0</v>
      </c>
      <c r="I48" s="8">
        <f>IFERROR(SUM(N59:N62)/SUM($K$59:$M$62),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0.58085106382978724</v>
      </c>
      <c r="G49" s="3">
        <f>IFERROR(SUM(L8:L48)/SUM($K8:$N48), 0)</f>
        <v>0.41914893617021276</v>
      </c>
      <c r="H49" s="3">
        <f>IFERROR(SUM(M8:M48)/SUM($K8:$N48), 0)</f>
        <v>0</v>
      </c>
      <c r="I49" s="3">
        <f>1-F49-G49-H49</f>
        <v>0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103</v>
      </c>
      <c r="D50" s="1">
        <f>SUM(Outputs_External!D28:H28)</f>
        <v>0</v>
      </c>
      <c r="F50" s="3">
        <f>IFERROR(SUM(K8:K48)/SUM($K$8:$N48), 0)</f>
        <v>0.58085106382978724</v>
      </c>
      <c r="G50" s="3">
        <f>IFERROR(SUM(L8:L48)/SUM($K$8:$N48), 0)</f>
        <v>0.41914893617021276</v>
      </c>
      <c r="H50" s="3">
        <f>IFERROR(SUM(M8:M48)/SUM($K$8:$N48), 0)</f>
        <v>0</v>
      </c>
      <c r="I50" s="3">
        <f>1-F50-G50-H50</f>
        <v>0</v>
      </c>
      <c r="K50" s="80">
        <f>F50*$D$50</f>
        <v>0</v>
      </c>
      <c r="L50" s="80">
        <f>G50*$D$50</f>
        <v>0</v>
      </c>
      <c r="M50" s="12">
        <f>H50*$D$50</f>
        <v>0</v>
      </c>
      <c r="N50" s="12">
        <f>I50*$D$50</f>
        <v>0</v>
      </c>
    </row>
    <row r="51" spans="2:14" x14ac:dyDescent="0.25">
      <c r="K51" s="9"/>
      <c r="L51" s="9"/>
      <c r="M51" s="9"/>
    </row>
    <row r="52" spans="2:14" x14ac:dyDescent="0.25">
      <c r="B52" s="6" t="s">
        <v>61</v>
      </c>
      <c r="D52" s="1">
        <f>SUM(Outputs_External!D30:'Outputs_External'!H30)</f>
        <v>23500</v>
      </c>
      <c r="K52" s="12">
        <f>SUM(K48:K50, K36:K39, K8:K18,K23:K33,K42:K45)</f>
        <v>13650</v>
      </c>
      <c r="L52" s="12">
        <f>SUM(L48:L50, L36:L39, L8:L18,L23:L33,L42:L45)</f>
        <v>9850</v>
      </c>
      <c r="M52" s="12">
        <f>SUM(M48:M50, M36:M39, M8:M18,M23:M33,M42:M45)</f>
        <v>0</v>
      </c>
      <c r="N52" s="12">
        <f>SUM(N48:N50, N36:N39, N8:N18,N23:N33,N42:N45)</f>
        <v>0</v>
      </c>
    </row>
    <row r="53" spans="2:14" x14ac:dyDescent="0.25">
      <c r="C53" s="21" t="s">
        <v>80</v>
      </c>
      <c r="D53" s="23">
        <f>SUM(K52:N52)</f>
        <v>23500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94</v>
      </c>
      <c r="D55" s="1">
        <f>SUM(Outputs_Timeline!S:S)</f>
        <v>75500</v>
      </c>
      <c r="K55" s="12">
        <f>SUM(Outputs_Timeline!T:T)</f>
        <v>43450</v>
      </c>
      <c r="L55" s="12">
        <f>SUM(Outputs_Timeline!U:U)</f>
        <v>32050</v>
      </c>
      <c r="M55" s="12">
        <f>SUM(Outputs_Timeline!V:V)</f>
        <v>0</v>
      </c>
      <c r="N55" s="12">
        <f>SUM(Outputs_Timeline!W:W)</f>
        <v>0</v>
      </c>
    </row>
    <row r="56" spans="2:14" x14ac:dyDescent="0.25">
      <c r="D56" s="1"/>
      <c r="K56" s="54">
        <f>IFERROR(K55/$D$55, 0)</f>
        <v>0.57549668874172188</v>
      </c>
      <c r="L56" s="54">
        <f>IFERROR(L55/$D$55, 0)</f>
        <v>0.42450331125827817</v>
      </c>
      <c r="M56" s="54">
        <f>IFERROR(M55/$D$55, 0)</f>
        <v>0</v>
      </c>
      <c r="N56" s="54">
        <f>IFERROR(N55/$D$55, 0)</f>
        <v>0</v>
      </c>
    </row>
    <row r="58" spans="2:14" x14ac:dyDescent="0.25">
      <c r="K58" s="9"/>
      <c r="L58" s="9"/>
      <c r="M58" s="9"/>
    </row>
    <row r="59" spans="2:14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17</v>
      </c>
      <c r="D60" s="23">
        <f>SUM(Calcs!D61:H61)+SUM(Calcs!D67:H67)</f>
        <v>8500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7650</v>
      </c>
      <c r="L60" s="25">
        <f t="shared" si="18"/>
        <v>850</v>
      </c>
      <c r="M60" s="25">
        <f t="shared" si="18"/>
        <v>0</v>
      </c>
      <c r="N60" s="25">
        <f t="shared" si="18"/>
        <v>0</v>
      </c>
    </row>
    <row r="61" spans="2:14" x14ac:dyDescent="0.25">
      <c r="B61" s="27"/>
      <c r="C61" s="21" t="s">
        <v>18</v>
      </c>
      <c r="D61" s="23">
        <f>SUM(Calcs!D62:H62)+SUM(Calcs!D68:H68)</f>
        <v>0</v>
      </c>
      <c r="E61" s="21"/>
      <c r="F61" s="24">
        <f>IFERROR(SUM(K$37,K$10:K$15,K$43,K$25:K$30)/SUM($K$37:$M$37,$K$10:$M$15,$K$43:$M$43,$K$25:$M$30),0)</f>
        <v>0</v>
      </c>
      <c r="G61" s="24">
        <f t="shared" ref="G61" si="19">IFERROR(SUM(L$37,L$10:L$15,L$43,L$25:L$30)/SUM($K$37:$M$37,$K$10:$M$15,$K$43:$M$43,$K$25:$M$30),0)</f>
        <v>0</v>
      </c>
      <c r="H61" s="24">
        <f>IFERROR(SUM(M$37,M$10:M$15,M$43,M$25:M$30)/SUM($K$37:$N$37,$K$10:$N$15,$K$43:$N$43,$K$25:$N$30),0)</f>
        <v>0</v>
      </c>
      <c r="I61" s="24">
        <f>IFERROR(SUM(N$37,N$10:N$15,N$43,N$25:N$30)/SUM($K$37:$N$37,$K$10:$N$15,$K$43:$N$43,$K$25:$N$30),0)</f>
        <v>0</v>
      </c>
      <c r="J61" s="21"/>
      <c r="K61" s="25">
        <f t="shared" si="18"/>
        <v>0</v>
      </c>
      <c r="L61" s="25">
        <f t="shared" si="18"/>
        <v>0</v>
      </c>
      <c r="M61" s="25">
        <f t="shared" si="18"/>
        <v>0</v>
      </c>
      <c r="N61" s="25">
        <f t="shared" si="18"/>
        <v>0</v>
      </c>
    </row>
    <row r="62" spans="2:14" x14ac:dyDescent="0.25">
      <c r="B62" s="27"/>
      <c r="C62" s="21" t="s">
        <v>19</v>
      </c>
      <c r="D62" s="23">
        <f>SUM(Calcs!D63:H63)+SUM(Calcs!D69:H69)</f>
        <v>0</v>
      </c>
      <c r="E62" s="21"/>
      <c r="F62" s="24">
        <f>IFERROR(SUM(K39,K17:K19,K45,K32:K34)/SUM($K$38:$M$38,$K$16:$M$18,$K$44:$M$44,$K$31:$M$33),0)</f>
        <v>0</v>
      </c>
      <c r="G62" s="24">
        <f>IFERROR(SUM(L39,L17:L19,L45,L32:L34)/SUM($K$38:$M$38,$K$16:$M$18,$K$44:$M$44,$K$31:$M$33),0)</f>
        <v>0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0</v>
      </c>
      <c r="L62" s="25">
        <f t="shared" si="18"/>
        <v>0</v>
      </c>
      <c r="M62" s="25">
        <f t="shared" si="18"/>
        <v>0</v>
      </c>
      <c r="N62" s="25">
        <f t="shared" si="18"/>
        <v>0</v>
      </c>
    </row>
    <row r="63" spans="2:14" x14ac:dyDescent="0.25">
      <c r="B63" s="27"/>
      <c r="C63" s="21" t="s">
        <v>20</v>
      </c>
      <c r="D63" s="23">
        <f>SUM(Calcs!D64:H64)+SUM(Calcs!D70:H70)</f>
        <v>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6" sqref="O6:O17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36</v>
      </c>
      <c r="H1" s="63" t="s">
        <v>86</v>
      </c>
      <c r="I1" s="63"/>
      <c r="J1" s="63"/>
      <c r="K1" s="63"/>
      <c r="M1" s="63" t="s">
        <v>91</v>
      </c>
      <c r="N1" s="63"/>
      <c r="O1" s="63"/>
      <c r="P1" s="63"/>
      <c r="Q1" s="63"/>
      <c r="S1" s="63" t="s">
        <v>93</v>
      </c>
      <c r="T1" s="63"/>
      <c r="U1" s="63"/>
      <c r="V1" s="63"/>
      <c r="W1" s="63"/>
    </row>
    <row r="2" spans="2:23" x14ac:dyDescent="0.25">
      <c r="B2" s="61" t="s">
        <v>85</v>
      </c>
      <c r="C2" s="61"/>
      <c r="D2" s="61" t="s">
        <v>90</v>
      </c>
      <c r="E2" s="61" t="s">
        <v>95</v>
      </c>
      <c r="F2" s="61" t="s">
        <v>92</v>
      </c>
      <c r="G2" s="61"/>
      <c r="H2" s="64" t="s">
        <v>87</v>
      </c>
      <c r="I2" s="64" t="s">
        <v>88</v>
      </c>
      <c r="J2" s="64" t="s">
        <v>63</v>
      </c>
      <c r="K2" s="64" t="s">
        <v>89</v>
      </c>
      <c r="M2" s="64" t="s">
        <v>87</v>
      </c>
      <c r="N2" s="64" t="s">
        <v>88</v>
      </c>
      <c r="O2" s="64" t="s">
        <v>63</v>
      </c>
      <c r="P2" s="64" t="s">
        <v>106</v>
      </c>
      <c r="Q2" s="64" t="s">
        <v>107</v>
      </c>
      <c r="S2" s="64" t="s">
        <v>87</v>
      </c>
      <c r="T2" s="64" t="s">
        <v>88</v>
      </c>
      <c r="U2" s="64" t="s">
        <v>63</v>
      </c>
      <c r="V2" s="64" t="s">
        <v>106</v>
      </c>
      <c r="W2" s="64" t="s">
        <v>107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$F3*Outputs_Internal!M$51/12</f>
        <v>0</v>
      </c>
      <c r="Q3" s="65">
        <f>$F3*Outputs_Internal!N$51/12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$F4*Outputs_Internal!M$51/12</f>
        <v>0</v>
      </c>
      <c r="Q4" s="65">
        <f>$F4*Outputs_Internal!N$51/12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$F5*Outputs_Internal!M$51/12</f>
        <v>0</v>
      </c>
      <c r="Q5" s="65">
        <f>$F5*Outputs_Internal!N$51/12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0</v>
      </c>
      <c r="H6" s="65">
        <f>IF($B6=Inputs!$C$1,SUM(Outputs_Internal!$D$4, Outputs_Internal!$D$5),0)*$D6</f>
        <v>0</v>
      </c>
      <c r="I6" s="65">
        <f>IF($B6=Inputs!$C$1,SUM(Outputs_Internal!K$4, Outputs_Internal!K$5),0)*$D6</f>
        <v>0</v>
      </c>
      <c r="J6" s="65">
        <f>IF($B6=Inputs!$C$1,SUM(Outputs_Internal!L$4, Outputs_Internal!L$5),0)*$D6</f>
        <v>0</v>
      </c>
      <c r="K6" s="65">
        <f>IF($B6=Inputs!$C$1,SUM(Outputs_Internal!M$4, Outputs_Internal!$M$5),0)*$D6</f>
        <v>0</v>
      </c>
      <c r="M6" s="65">
        <f>$F6*Outputs_Internal!$D$52/12</f>
        <v>0</v>
      </c>
      <c r="N6" s="65">
        <f>$F6*Outputs_Internal!K$52/12</f>
        <v>0</v>
      </c>
      <c r="O6" s="65">
        <f>$F6*Outputs_Internal!L$52/12</f>
        <v>0</v>
      </c>
      <c r="P6" s="65">
        <f>$F6*Outputs_Internal!M$51/12</f>
        <v>0</v>
      </c>
      <c r="Q6" s="65">
        <f>$F6*Outputs_Internal!N$51/12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0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0</v>
      </c>
      <c r="N7" s="65">
        <f>$F7*Outputs_Internal!K$52/12</f>
        <v>0</v>
      </c>
      <c r="O7" s="65">
        <f>$F7*Outputs_Internal!L$52/12</f>
        <v>0</v>
      </c>
      <c r="P7" s="65">
        <f>$F7*Outputs_Internal!M$51/12</f>
        <v>0</v>
      </c>
      <c r="Q7" s="65">
        <f>$F7*Outputs_Internal!N$51/12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0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0</v>
      </c>
      <c r="N8" s="65">
        <f>$F8*Outputs_Internal!K$52/12</f>
        <v>0</v>
      </c>
      <c r="O8" s="65">
        <f>$F8*Outputs_Internal!L$52/12</f>
        <v>0</v>
      </c>
      <c r="P8" s="65">
        <f>$F8*Outputs_Internal!M$51/12</f>
        <v>0</v>
      </c>
      <c r="Q8" s="65">
        <f>$F8*Outputs_Internal!N$51/12</f>
        <v>0</v>
      </c>
      <c r="S8" s="65">
        <f t="shared" si="2"/>
        <v>0</v>
      </c>
      <c r="T8" s="65">
        <f t="shared" si="3"/>
        <v>0</v>
      </c>
      <c r="U8" s="65">
        <f t="shared" si="4"/>
        <v>0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1</v>
      </c>
      <c r="H9" s="65">
        <f>IF($B9=Inputs!$C$1,SUM(Outputs_Internal!$D$4, Outputs_Internal!$D$5),0)*$D9</f>
        <v>5000</v>
      </c>
      <c r="I9" s="65">
        <f>IF($B9=Inputs!$C$1,SUM(Outputs_Internal!K$4, Outputs_Internal!K$5),0)*$D9</f>
        <v>2500</v>
      </c>
      <c r="J9" s="65">
        <f>IF($B9=Inputs!$C$1,SUM(Outputs_Internal!L$4, Outputs_Internal!L$5),0)*$D9</f>
        <v>2500</v>
      </c>
      <c r="K9" s="65">
        <f>IF($B9=Inputs!$C$1,SUM(Outputs_Internal!M$4, Outputs_Internal!$M$5),0)*$D9</f>
        <v>0</v>
      </c>
      <c r="M9" s="65">
        <f>$F9*Outputs_Internal!$D$52/12</f>
        <v>1958.3333333333333</v>
      </c>
      <c r="N9" s="65">
        <f>$F9*Outputs_Internal!K$52/12</f>
        <v>1137.5</v>
      </c>
      <c r="O9" s="65">
        <f>$F9*Outputs_Internal!L$52/12</f>
        <v>820.83333333333337</v>
      </c>
      <c r="P9" s="65">
        <f>$F9*Outputs_Internal!M$51/12</f>
        <v>0</v>
      </c>
      <c r="Q9" s="65">
        <f>$F9*Outputs_Internal!N$51/12</f>
        <v>0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1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1958.3333333333333</v>
      </c>
      <c r="N10" s="65">
        <f>$F10*Outputs_Internal!K$52/12</f>
        <v>1137.5</v>
      </c>
      <c r="O10" s="65">
        <f>$F10*Outputs_Internal!L$52/12</f>
        <v>820.83333333333337</v>
      </c>
      <c r="P10" s="65">
        <f>$F10*Outputs_Internal!M$51/12</f>
        <v>0</v>
      </c>
      <c r="Q10" s="65">
        <f>$F10*Outputs_Internal!N$51/12</f>
        <v>0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1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1958.3333333333333</v>
      </c>
      <c r="N11" s="65">
        <f>$F11*Outputs_Internal!K$52/12</f>
        <v>1137.5</v>
      </c>
      <c r="O11" s="65">
        <f>$F11*Outputs_Internal!L$52/12</f>
        <v>820.83333333333337</v>
      </c>
      <c r="P11" s="65">
        <f>$F11*Outputs_Internal!M$51/12</f>
        <v>0</v>
      </c>
      <c r="Q11" s="65">
        <f>$F11*Outputs_Internal!N$51/12</f>
        <v>0</v>
      </c>
      <c r="S11" s="65">
        <f t="shared" si="2"/>
        <v>10875</v>
      </c>
      <c r="T11" s="65">
        <f t="shared" si="3"/>
        <v>5912.5</v>
      </c>
      <c r="U11" s="65">
        <f>IF(MOD(MONTH($B11),3)=0,SUM(J9:J11,O9:O11),0)</f>
        <v>4962.5</v>
      </c>
      <c r="V11" s="65">
        <f t="shared" si="4"/>
        <v>0</v>
      </c>
      <c r="W11" s="65">
        <f t="shared" si="4"/>
        <v>0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0</v>
      </c>
      <c r="I12" s="65">
        <f>IF($B12=Inputs!$C$1,SUM(Outputs_Internal!K$4, Outputs_Internal!K$5),0)*$D12</f>
        <v>0</v>
      </c>
      <c r="J12" s="65">
        <f>IF($B12=Inputs!$C$1,SUM(Outputs_Internal!L$4, Outputs_Internal!L$5),0)*$D12</f>
        <v>0</v>
      </c>
      <c r="K12" s="65">
        <f>IF($B12=Inputs!$C$1,SUM(Outputs_Internal!M$4, Outputs_Internal!$M$5),0)*$D12</f>
        <v>0</v>
      </c>
      <c r="M12" s="65">
        <f>$F12*Outputs_Internal!$D$52/12</f>
        <v>1958.3333333333333</v>
      </c>
      <c r="N12" s="65">
        <f>$F12*Outputs_Internal!K$52/12</f>
        <v>1137.5</v>
      </c>
      <c r="O12" s="65">
        <f>$F12*Outputs_Internal!L$52/12</f>
        <v>820.83333333333337</v>
      </c>
      <c r="P12" s="65">
        <f>$F12*Outputs_Internal!M$51/12</f>
        <v>0</v>
      </c>
      <c r="Q12" s="65">
        <f>$F12*Outputs_Internal!N$51/12</f>
        <v>0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1958.3333333333333</v>
      </c>
      <c r="N13" s="65">
        <f>$F13*Outputs_Internal!K$52/12</f>
        <v>1137.5</v>
      </c>
      <c r="O13" s="65">
        <f>$F13*Outputs_Internal!L$52/12</f>
        <v>820.83333333333337</v>
      </c>
      <c r="P13" s="65">
        <f>$F13*Outputs_Internal!M$51/12</f>
        <v>0</v>
      </c>
      <c r="Q13" s="65">
        <f>$F13*Outputs_Internal!N$51/12</f>
        <v>0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1958.3333333333333</v>
      </c>
      <c r="N14" s="65">
        <f>$F14*Outputs_Internal!K$52/12</f>
        <v>1137.5</v>
      </c>
      <c r="O14" s="65">
        <f>$F14*Outputs_Internal!L$52/12</f>
        <v>820.83333333333337</v>
      </c>
      <c r="P14" s="65">
        <f>$F14*Outputs_Internal!M$51/12</f>
        <v>0</v>
      </c>
      <c r="Q14" s="65">
        <f>$F14*Outputs_Internal!N$51/12</f>
        <v>0</v>
      </c>
      <c r="S14" s="65">
        <f t="shared" si="2"/>
        <v>5875</v>
      </c>
      <c r="T14" s="65">
        <f t="shared" si="3"/>
        <v>3412.5</v>
      </c>
      <c r="U14" s="65">
        <f t="shared" si="4"/>
        <v>2462.5</v>
      </c>
      <c r="V14" s="65">
        <f t="shared" si="4"/>
        <v>0</v>
      </c>
      <c r="W14" s="65">
        <f t="shared" si="4"/>
        <v>0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1958.3333333333333</v>
      </c>
      <c r="N15" s="65">
        <f>$F15*Outputs_Internal!K$52/12</f>
        <v>1137.5</v>
      </c>
      <c r="O15" s="65">
        <f>$F15*Outputs_Internal!L$52/12</f>
        <v>820.83333333333337</v>
      </c>
      <c r="P15" s="65">
        <f>$F15*Outputs_Internal!M$51/12</f>
        <v>0</v>
      </c>
      <c r="Q15" s="65">
        <f>$F15*Outputs_Internal!N$51/12</f>
        <v>0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1958.3333333333333</v>
      </c>
      <c r="N16" s="65">
        <f>$F16*Outputs_Internal!K$52/12</f>
        <v>1137.5</v>
      </c>
      <c r="O16" s="65">
        <f>$F16*Outputs_Internal!L$52/12</f>
        <v>820.83333333333337</v>
      </c>
      <c r="P16" s="65">
        <f>$F16*Outputs_Internal!M$51/12</f>
        <v>0</v>
      </c>
      <c r="Q16" s="65">
        <f>$F16*Outputs_Internal!N$51/12</f>
        <v>0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1958.3333333333333</v>
      </c>
      <c r="N17" s="65">
        <f>$F17*Outputs_Internal!K$52/12</f>
        <v>1137.5</v>
      </c>
      <c r="O17" s="65">
        <f>$F17*Outputs_Internal!L$52/12</f>
        <v>820.83333333333337</v>
      </c>
      <c r="P17" s="65">
        <f>$F17*Outputs_Internal!M$51/12</f>
        <v>0</v>
      </c>
      <c r="Q17" s="65">
        <f>$F17*Outputs_Internal!N$51/12</f>
        <v>0</v>
      </c>
      <c r="S17" s="65">
        <f t="shared" si="2"/>
        <v>5875</v>
      </c>
      <c r="T17" s="65">
        <f t="shared" si="3"/>
        <v>3412.5</v>
      </c>
      <c r="U17" s="65">
        <f t="shared" si="4"/>
        <v>2462.5</v>
      </c>
      <c r="V17" s="65">
        <f t="shared" si="4"/>
        <v>0</v>
      </c>
      <c r="W17" s="65">
        <f t="shared" si="4"/>
        <v>0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1958.3333333333333</v>
      </c>
      <c r="N18" s="65">
        <f>$F18*Outputs_Internal!K$52/12</f>
        <v>1137.5</v>
      </c>
      <c r="O18" s="65">
        <f>$F18*Outputs_Internal!L$52/12</f>
        <v>820.83333333333337</v>
      </c>
      <c r="P18" s="65">
        <f>$F18*Outputs_Internal!M$51/12</f>
        <v>0</v>
      </c>
      <c r="Q18" s="65">
        <f>$F18*Outputs_Internal!N$51/12</f>
        <v>0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1958.3333333333333</v>
      </c>
      <c r="N19" s="65">
        <f>$F19*Outputs_Internal!K$52/12</f>
        <v>1137.5</v>
      </c>
      <c r="O19" s="65">
        <f>$F19*Outputs_Internal!L$52/12</f>
        <v>820.83333333333337</v>
      </c>
      <c r="P19" s="65">
        <f>$F19*Outputs_Internal!M$51/12</f>
        <v>0</v>
      </c>
      <c r="Q19" s="65">
        <f>$F19*Outputs_Internal!N$51/12</f>
        <v>0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1958.3333333333333</v>
      </c>
      <c r="N20" s="65">
        <f>$F20*Outputs_Internal!K$52/12</f>
        <v>1137.5</v>
      </c>
      <c r="O20" s="65">
        <f>$F20*Outputs_Internal!L$52/12</f>
        <v>820.83333333333337</v>
      </c>
      <c r="P20" s="65">
        <f>$F20*Outputs_Internal!M$51/12</f>
        <v>0</v>
      </c>
      <c r="Q20" s="65">
        <f>$F20*Outputs_Internal!N$51/12</f>
        <v>0</v>
      </c>
      <c r="S20" s="65">
        <f t="shared" si="2"/>
        <v>5875</v>
      </c>
      <c r="T20" s="65">
        <f t="shared" si="3"/>
        <v>3412.5</v>
      </c>
      <c r="U20" s="65">
        <f t="shared" si="4"/>
        <v>2462.5</v>
      </c>
      <c r="V20" s="65">
        <f t="shared" si="4"/>
        <v>0</v>
      </c>
      <c r="W20" s="65">
        <f t="shared" si="4"/>
        <v>0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1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1958.3333333333333</v>
      </c>
      <c r="N21" s="65">
        <f>$F21*Outputs_Internal!K$52/12</f>
        <v>1137.5</v>
      </c>
      <c r="O21" s="65">
        <f>$F21*Outputs_Internal!L$52/12</f>
        <v>820.83333333333337</v>
      </c>
      <c r="P21" s="65">
        <f>$F21*Outputs_Internal!M$51/12</f>
        <v>0</v>
      </c>
      <c r="Q21" s="65">
        <f>$F21*Outputs_Internal!N$51/12</f>
        <v>0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1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1958.3333333333333</v>
      </c>
      <c r="N22" s="65">
        <f>$F22*Outputs_Internal!K$52/12</f>
        <v>1137.5</v>
      </c>
      <c r="O22" s="65">
        <f>$F22*Outputs_Internal!L$52/12</f>
        <v>820.83333333333337</v>
      </c>
      <c r="P22" s="65">
        <f>$F22*Outputs_Internal!M$51/12</f>
        <v>0</v>
      </c>
      <c r="Q22" s="65">
        <f>$F22*Outputs_Internal!N$51/12</f>
        <v>0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1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1958.3333333333333</v>
      </c>
      <c r="N23" s="65">
        <f>$F23*Outputs_Internal!K$52/12</f>
        <v>1137.5</v>
      </c>
      <c r="O23" s="65">
        <f>$F23*Outputs_Internal!L$52/12</f>
        <v>820.83333333333337</v>
      </c>
      <c r="P23" s="65">
        <f>$F23*Outputs_Internal!M$51/12</f>
        <v>0</v>
      </c>
      <c r="Q23" s="65">
        <f>$F23*Outputs_Internal!N$51/12</f>
        <v>0</v>
      </c>
      <c r="S23" s="65">
        <f t="shared" si="2"/>
        <v>5875</v>
      </c>
      <c r="T23" s="65">
        <f t="shared" si="3"/>
        <v>3412.5</v>
      </c>
      <c r="U23" s="65">
        <f t="shared" si="4"/>
        <v>2462.5</v>
      </c>
      <c r="V23" s="65">
        <f t="shared" si="4"/>
        <v>0</v>
      </c>
      <c r="W23" s="65">
        <f t="shared" si="4"/>
        <v>0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1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1958.3333333333333</v>
      </c>
      <c r="N24" s="65">
        <f>$F24*Outputs_Internal!K$52/12</f>
        <v>1137.5</v>
      </c>
      <c r="O24" s="65">
        <f>$F24*Outputs_Internal!L$52/12</f>
        <v>820.83333333333337</v>
      </c>
      <c r="P24" s="65">
        <f>$F24*Outputs_Internal!M$51/12</f>
        <v>0</v>
      </c>
      <c r="Q24" s="65">
        <f>$F24*Outputs_Internal!N$51/12</f>
        <v>0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1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1958.3333333333333</v>
      </c>
      <c r="N25" s="65">
        <f>$F25*Outputs_Internal!K$52/12</f>
        <v>1137.5</v>
      </c>
      <c r="O25" s="65">
        <f>$F25*Outputs_Internal!L$52/12</f>
        <v>820.83333333333337</v>
      </c>
      <c r="P25" s="65">
        <f>$F25*Outputs_Internal!M$51/12</f>
        <v>0</v>
      </c>
      <c r="Q25" s="65">
        <f>$F25*Outputs_Internal!N$51/12</f>
        <v>0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1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1958.3333333333333</v>
      </c>
      <c r="N26" s="65">
        <f>$F26*Outputs_Internal!K$52/12</f>
        <v>1137.5</v>
      </c>
      <c r="O26" s="65">
        <f>$F26*Outputs_Internal!L$52/12</f>
        <v>820.83333333333337</v>
      </c>
      <c r="P26" s="65">
        <f>$F26*Outputs_Internal!M$51/12</f>
        <v>0</v>
      </c>
      <c r="Q26" s="65">
        <f>$F26*Outputs_Internal!N$51/12</f>
        <v>0</v>
      </c>
      <c r="S26" s="65">
        <f t="shared" si="2"/>
        <v>5875</v>
      </c>
      <c r="T26" s="65">
        <f t="shared" si="3"/>
        <v>3412.5</v>
      </c>
      <c r="U26" s="65">
        <f t="shared" si="4"/>
        <v>2462.5</v>
      </c>
      <c r="V26" s="65">
        <f t="shared" si="4"/>
        <v>0</v>
      </c>
      <c r="W26" s="65">
        <f t="shared" si="4"/>
        <v>0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1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1958.3333333333333</v>
      </c>
      <c r="N27" s="65">
        <f>$F27*Outputs_Internal!K$52/12</f>
        <v>1137.5</v>
      </c>
      <c r="O27" s="65">
        <f>$F27*Outputs_Internal!L$52/12</f>
        <v>820.83333333333337</v>
      </c>
      <c r="P27" s="65">
        <f>$F27*Outputs_Internal!M$51/12</f>
        <v>0</v>
      </c>
      <c r="Q27" s="65">
        <f>$F27*Outputs_Internal!N$51/12</f>
        <v>0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1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1958.3333333333333</v>
      </c>
      <c r="N28" s="65">
        <f>$F28*Outputs_Internal!K$52/12</f>
        <v>1137.5</v>
      </c>
      <c r="O28" s="65">
        <f>$F28*Outputs_Internal!L$52/12</f>
        <v>820.83333333333337</v>
      </c>
      <c r="P28" s="65">
        <f>$F28*Outputs_Internal!M$51/12</f>
        <v>0</v>
      </c>
      <c r="Q28" s="65">
        <f>$F28*Outputs_Internal!N$51/12</f>
        <v>0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1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1958.3333333333333</v>
      </c>
      <c r="N29" s="65">
        <f>$F29*Outputs_Internal!K$52/12</f>
        <v>1137.5</v>
      </c>
      <c r="O29" s="65">
        <f>$F29*Outputs_Internal!L$52/12</f>
        <v>820.83333333333337</v>
      </c>
      <c r="P29" s="65">
        <f>$F29*Outputs_Internal!M$51/12</f>
        <v>0</v>
      </c>
      <c r="Q29" s="65">
        <f>$F29*Outputs_Internal!N$51/12</f>
        <v>0</v>
      </c>
      <c r="S29" s="65">
        <f t="shared" si="2"/>
        <v>5875</v>
      </c>
      <c r="T29" s="65">
        <f t="shared" si="3"/>
        <v>3412.5</v>
      </c>
      <c r="U29" s="65">
        <f t="shared" si="4"/>
        <v>2462.5</v>
      </c>
      <c r="V29" s="65">
        <f t="shared" si="4"/>
        <v>0</v>
      </c>
      <c r="W29" s="65">
        <f t="shared" si="4"/>
        <v>0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1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1958.3333333333333</v>
      </c>
      <c r="N30" s="65">
        <f>$F30*Outputs_Internal!K$52/12</f>
        <v>1137.5</v>
      </c>
      <c r="O30" s="65">
        <f>$F30*Outputs_Internal!L$52/12</f>
        <v>820.83333333333337</v>
      </c>
      <c r="P30" s="65">
        <f>$F30*Outputs_Internal!M$51/12</f>
        <v>0</v>
      </c>
      <c r="Q30" s="65">
        <f>$F30*Outputs_Internal!N$51/12</f>
        <v>0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1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1958.3333333333333</v>
      </c>
      <c r="N31" s="65">
        <f>$F31*Outputs_Internal!K$52/12</f>
        <v>1137.5</v>
      </c>
      <c r="O31" s="65">
        <f>$F31*Outputs_Internal!L$52/12</f>
        <v>820.83333333333337</v>
      </c>
      <c r="P31" s="65">
        <f>$F31*Outputs_Internal!M$51/12</f>
        <v>0</v>
      </c>
      <c r="Q31" s="65">
        <f>$F31*Outputs_Internal!N$51/12</f>
        <v>0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1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1958.3333333333333</v>
      </c>
      <c r="N32" s="65">
        <f>$F32*Outputs_Internal!K$52/12</f>
        <v>1137.5</v>
      </c>
      <c r="O32" s="65">
        <f>$F32*Outputs_Internal!L$52/12</f>
        <v>820.83333333333337</v>
      </c>
      <c r="P32" s="65">
        <f>$F32*Outputs_Internal!M$51/12</f>
        <v>0</v>
      </c>
      <c r="Q32" s="65">
        <f>$F32*Outputs_Internal!N$51/12</f>
        <v>0</v>
      </c>
      <c r="S32" s="65">
        <f t="shared" si="2"/>
        <v>5875</v>
      </c>
      <c r="T32" s="65">
        <f t="shared" si="3"/>
        <v>3412.5</v>
      </c>
      <c r="U32" s="65">
        <f t="shared" si="4"/>
        <v>2462.5</v>
      </c>
      <c r="V32" s="65">
        <f t="shared" si="4"/>
        <v>0</v>
      </c>
      <c r="W32" s="65">
        <f t="shared" si="4"/>
        <v>0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1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1958.3333333333333</v>
      </c>
      <c r="N33" s="65">
        <f>$F33*Outputs_Internal!K$52/12</f>
        <v>1137.5</v>
      </c>
      <c r="O33" s="65">
        <f>$F33*Outputs_Internal!L$52/12</f>
        <v>820.83333333333337</v>
      </c>
      <c r="P33" s="65">
        <f>$F33*Outputs_Internal!M$51/12</f>
        <v>0</v>
      </c>
      <c r="Q33" s="65">
        <f>$F33*Outputs_Internal!N$51/12</f>
        <v>0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1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1958.3333333333333</v>
      </c>
      <c r="N34" s="65">
        <f>$F34*Outputs_Internal!K$52/12</f>
        <v>1137.5</v>
      </c>
      <c r="O34" s="65">
        <f>$F34*Outputs_Internal!L$52/12</f>
        <v>820.83333333333337</v>
      </c>
      <c r="P34" s="65">
        <f>$F34*Outputs_Internal!M$51/12</f>
        <v>0</v>
      </c>
      <c r="Q34" s="65">
        <f>$F34*Outputs_Internal!N$51/12</f>
        <v>0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1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1958.3333333333333</v>
      </c>
      <c r="N35" s="65">
        <f>$F35*Outputs_Internal!K$52/12</f>
        <v>1137.5</v>
      </c>
      <c r="O35" s="65">
        <f>$F35*Outputs_Internal!L$52/12</f>
        <v>820.83333333333337</v>
      </c>
      <c r="P35" s="65">
        <f>$F35*Outputs_Internal!M$51/12</f>
        <v>0</v>
      </c>
      <c r="Q35" s="65">
        <f>$F35*Outputs_Internal!N$51/12</f>
        <v>0</v>
      </c>
      <c r="S35" s="65">
        <f t="shared" si="2"/>
        <v>5875</v>
      </c>
      <c r="T35" s="65">
        <f t="shared" si="3"/>
        <v>3412.5</v>
      </c>
      <c r="U35" s="65">
        <f t="shared" si="4"/>
        <v>2462.5</v>
      </c>
      <c r="V35" s="65">
        <f t="shared" si="4"/>
        <v>0</v>
      </c>
      <c r="W35" s="65">
        <f t="shared" si="4"/>
        <v>0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1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1958.3333333333333</v>
      </c>
      <c r="N36" s="65">
        <f>$F36*Outputs_Internal!K$52/12</f>
        <v>1137.5</v>
      </c>
      <c r="O36" s="65">
        <f>$F36*Outputs_Internal!L$52/12</f>
        <v>820.83333333333337</v>
      </c>
      <c r="P36" s="65">
        <f>$F36*Outputs_Internal!M$51/12</f>
        <v>0</v>
      </c>
      <c r="Q36" s="65">
        <f>$F36*Outputs_Internal!N$51/12</f>
        <v>0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1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1958.3333333333333</v>
      </c>
      <c r="N37" s="65">
        <f>$F37*Outputs_Internal!K$52/12</f>
        <v>1137.5</v>
      </c>
      <c r="O37" s="65">
        <f>$F37*Outputs_Internal!L$52/12</f>
        <v>820.83333333333337</v>
      </c>
      <c r="P37" s="65">
        <f>$F37*Outputs_Internal!M$51/12</f>
        <v>0</v>
      </c>
      <c r="Q37" s="65">
        <f>$F37*Outputs_Internal!N$51/12</f>
        <v>0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1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1958.3333333333333</v>
      </c>
      <c r="N38" s="65">
        <f>$F38*Outputs_Internal!K$52/12</f>
        <v>1137.5</v>
      </c>
      <c r="O38" s="65">
        <f>$F38*Outputs_Internal!L$52/12</f>
        <v>820.83333333333337</v>
      </c>
      <c r="P38" s="65">
        <f>$F38*Outputs_Internal!M$51/12</f>
        <v>0</v>
      </c>
      <c r="Q38" s="65">
        <f>$F38*Outputs_Internal!N$51/12</f>
        <v>0</v>
      </c>
      <c r="S38" s="65">
        <f t="shared" si="2"/>
        <v>5875</v>
      </c>
      <c r="T38" s="65">
        <f t="shared" si="3"/>
        <v>3412.5</v>
      </c>
      <c r="U38" s="65">
        <f t="shared" si="4"/>
        <v>2462.5</v>
      </c>
      <c r="V38" s="65">
        <f t="shared" si="4"/>
        <v>0</v>
      </c>
      <c r="W38" s="65">
        <f t="shared" si="4"/>
        <v>0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1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1958.3333333333333</v>
      </c>
      <c r="N39" s="65">
        <f>$F39*Outputs_Internal!K$52/12</f>
        <v>1137.5</v>
      </c>
      <c r="O39" s="65">
        <f>$F39*Outputs_Internal!L$52/12</f>
        <v>820.83333333333337</v>
      </c>
      <c r="P39" s="65">
        <f>$F39*Outputs_Internal!M$51/12</f>
        <v>0</v>
      </c>
      <c r="Q39" s="65">
        <f>$F39*Outputs_Internal!N$51/12</f>
        <v>0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1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1958.3333333333333</v>
      </c>
      <c r="N40" s="65">
        <f>$F40*Outputs_Internal!K$52/12</f>
        <v>1137.5</v>
      </c>
      <c r="O40" s="65">
        <f>$F40*Outputs_Internal!L$52/12</f>
        <v>820.83333333333337</v>
      </c>
      <c r="P40" s="65">
        <f>$F40*Outputs_Internal!M$51/12</f>
        <v>0</v>
      </c>
      <c r="Q40" s="65">
        <f>$F40*Outputs_Internal!N$51/12</f>
        <v>0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1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1958.3333333333333</v>
      </c>
      <c r="N41" s="65">
        <f>$F41*Outputs_Internal!K$52/12</f>
        <v>1137.5</v>
      </c>
      <c r="O41" s="65">
        <f>$F41*Outputs_Internal!L$52/12</f>
        <v>820.83333333333337</v>
      </c>
      <c r="P41" s="65">
        <f>$F41*Outputs_Internal!M$51/12</f>
        <v>0</v>
      </c>
      <c r="Q41" s="65">
        <f>$F41*Outputs_Internal!N$51/12</f>
        <v>0</v>
      </c>
      <c r="S41" s="65">
        <f t="shared" si="2"/>
        <v>5875</v>
      </c>
      <c r="T41" s="65">
        <f t="shared" si="3"/>
        <v>3412.5</v>
      </c>
      <c r="U41" s="65">
        <f t="shared" si="4"/>
        <v>2462.5</v>
      </c>
      <c r="V41" s="65">
        <f t="shared" si="4"/>
        <v>0</v>
      </c>
      <c r="W41" s="65">
        <f t="shared" si="4"/>
        <v>0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1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1958.3333333333333</v>
      </c>
      <c r="N42" s="65">
        <f>$F42*Outputs_Internal!K$52/12</f>
        <v>1137.5</v>
      </c>
      <c r="O42" s="65">
        <f>$F42*Outputs_Internal!L$52/12</f>
        <v>820.83333333333337</v>
      </c>
      <c r="P42" s="65">
        <f>$F42*Outputs_Internal!M$51/12</f>
        <v>0</v>
      </c>
      <c r="Q42" s="65">
        <f>$F42*Outputs_Internal!N$51/12</f>
        <v>0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1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1958.3333333333333</v>
      </c>
      <c r="N43" s="65">
        <f>$F43*Outputs_Internal!K$52/12</f>
        <v>1137.5</v>
      </c>
      <c r="O43" s="65">
        <f>$F43*Outputs_Internal!L$52/12</f>
        <v>820.83333333333337</v>
      </c>
      <c r="P43" s="65">
        <f>$F43*Outputs_Internal!M$51/12</f>
        <v>0</v>
      </c>
      <c r="Q43" s="65">
        <f>$F43*Outputs_Internal!N$51/12</f>
        <v>0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1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1958.3333333333333</v>
      </c>
      <c r="N44" s="65">
        <f>$F44*Outputs_Internal!K$52/12</f>
        <v>1137.5</v>
      </c>
      <c r="O44" s="65">
        <f>$F44*Outputs_Internal!L$52/12</f>
        <v>820.83333333333337</v>
      </c>
      <c r="P44" s="65">
        <f>$F44*Outputs_Internal!M$51/12</f>
        <v>0</v>
      </c>
      <c r="Q44" s="65">
        <f>$F44*Outputs_Internal!N$51/12</f>
        <v>0</v>
      </c>
      <c r="S44" s="65">
        <f>IF(MOD(MONTH($B44),3)=0,SUM(H42:H44,M42:M44),0)</f>
        <v>5875</v>
      </c>
      <c r="T44" s="65">
        <f t="shared" si="3"/>
        <v>3412.5</v>
      </c>
      <c r="U44" s="65">
        <f t="shared" si="4"/>
        <v>2462.5</v>
      </c>
      <c r="V44" s="65">
        <f t="shared" si="4"/>
        <v>0</v>
      </c>
      <c r="W44" s="65">
        <f t="shared" si="4"/>
        <v>0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0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0</v>
      </c>
      <c r="N45" s="65">
        <f>$F45*Outputs_Internal!K$52/12</f>
        <v>0</v>
      </c>
      <c r="O45" s="65">
        <f>$F45*Outputs_Internal!L$52/12</f>
        <v>0</v>
      </c>
      <c r="P45" s="65">
        <f>$F45*Outputs_Internal!M$51/12</f>
        <v>0</v>
      </c>
      <c r="Q45" s="65">
        <f>$F45*Outputs_Internal!N$51/12</f>
        <v>0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0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0</v>
      </c>
      <c r="N46" s="65">
        <f>$F46*Outputs_Internal!K$52/12</f>
        <v>0</v>
      </c>
      <c r="O46" s="65">
        <f>$F46*Outputs_Internal!L$52/12</f>
        <v>0</v>
      </c>
      <c r="P46" s="65">
        <f>$F46*Outputs_Internal!M$51/12</f>
        <v>0</v>
      </c>
      <c r="Q46" s="65">
        <f>$F46*Outputs_Internal!N$51/12</f>
        <v>0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0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0</v>
      </c>
      <c r="N47" s="65">
        <f>$F47*Outputs_Internal!K$52/12</f>
        <v>0</v>
      </c>
      <c r="O47" s="65">
        <f>$F47*Outputs_Internal!L$52/12</f>
        <v>0</v>
      </c>
      <c r="P47" s="65">
        <f>$F47*Outputs_Internal!M$51/12</f>
        <v>0</v>
      </c>
      <c r="Q47" s="65">
        <f>$F47*Outputs_Internal!N$51/12</f>
        <v>0</v>
      </c>
      <c r="S47" s="65">
        <f t="shared" si="2"/>
        <v>0</v>
      </c>
      <c r="T47" s="65">
        <f t="shared" si="3"/>
        <v>0</v>
      </c>
      <c r="U47" s="65">
        <f t="shared" si="4"/>
        <v>0</v>
      </c>
      <c r="V47" s="65">
        <f t="shared" si="4"/>
        <v>0</v>
      </c>
      <c r="W47" s="65">
        <f t="shared" si="4"/>
        <v>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$F48*Outputs_Internal!M$51/12</f>
        <v>0</v>
      </c>
      <c r="Q48" s="65">
        <f>$F48*Outputs_Internal!N$51/12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$F49*Outputs_Internal!M$51/12</f>
        <v>0</v>
      </c>
      <c r="Q49" s="65">
        <f>$F49*Outputs_Internal!N$51/12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$F50*Outputs_Internal!M$51/12</f>
        <v>0</v>
      </c>
      <c r="Q50" s="65">
        <f>$F50*Outputs_Internal!N$51/12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$F51*Outputs_Internal!M$51/12</f>
        <v>0</v>
      </c>
      <c r="Q51" s="65">
        <f>$F51*Outputs_Internal!N$51/12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$F52*Outputs_Internal!M$51/12</f>
        <v>0</v>
      </c>
      <c r="Q52" s="65">
        <f>$F52*Outputs_Internal!N$51/12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$F53*Outputs_Internal!M$51/12</f>
        <v>0</v>
      </c>
      <c r="Q53" s="65">
        <f>$F53*Outputs_Internal!N$51/12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$F54*Outputs_Internal!M$51/12</f>
        <v>0</v>
      </c>
      <c r="Q54" s="65">
        <f>$F54*Outputs_Internal!N$51/12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$F55*Outputs_Internal!M$51/12</f>
        <v>0</v>
      </c>
      <c r="Q55" s="65">
        <f>$F55*Outputs_Internal!N$51/12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$F56*Outputs_Internal!M$51/12</f>
        <v>0</v>
      </c>
      <c r="Q56" s="65">
        <f>$F56*Outputs_Internal!N$51/12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$F57*Outputs_Internal!M$51/12</f>
        <v>0</v>
      </c>
      <c r="Q57" s="65">
        <f>$F57*Outputs_Internal!N$51/12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$F58*Outputs_Internal!M$51/12</f>
        <v>0</v>
      </c>
      <c r="Q58" s="65">
        <f>$F58*Outputs_Internal!N$51/12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$F59*Outputs_Internal!M$51/12</f>
        <v>0</v>
      </c>
      <c r="Q59" s="65">
        <f>$F59*Outputs_Internal!N$51/12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$F60*Outputs_Internal!M$51/12</f>
        <v>0</v>
      </c>
      <c r="Q60" s="65">
        <f>$F60*Outputs_Internal!N$51/12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$F61*Outputs_Internal!M$51/12</f>
        <v>0</v>
      </c>
      <c r="Q61" s="65">
        <f>$F61*Outputs_Internal!N$51/12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$F62*Outputs_Internal!M$51/12</f>
        <v>0</v>
      </c>
      <c r="Q62" s="65">
        <f>$F62*Outputs_Internal!N$51/12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$F63*Outputs_Internal!M$51/12</f>
        <v>0</v>
      </c>
      <c r="Q63" s="65">
        <f>$F63*Outputs_Internal!N$51/12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$F64*Outputs_Internal!M$51/12</f>
        <v>0</v>
      </c>
      <c r="Q64" s="65">
        <f>$F64*Outputs_Internal!N$51/12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$F65*Outputs_Internal!M$51/12</f>
        <v>0</v>
      </c>
      <c r="Q65" s="65">
        <f>$F65*Outputs_Internal!N$51/12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$F66*Outputs_Internal!M$51/12</f>
        <v>0</v>
      </c>
      <c r="Q66" s="65">
        <f>$F66*Outputs_Internal!N$51/12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$F67*Outputs_Internal!M$51/12</f>
        <v>0</v>
      </c>
      <c r="Q67" s="65">
        <f>$F67*Outputs_Internal!N$51/12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$F68*Outputs_Internal!M$51/12</f>
        <v>0</v>
      </c>
      <c r="Q68" s="65">
        <f>$F68*Outputs_Internal!N$51/12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$F69*Outputs_Internal!M$51/12</f>
        <v>0</v>
      </c>
      <c r="Q69" s="65">
        <f>$F69*Outputs_Internal!N$51/12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$F70*Outputs_Internal!M$51/12</f>
        <v>0</v>
      </c>
      <c r="Q70" s="65">
        <f>$F70*Outputs_Internal!N$51/12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$F71*Outputs_Internal!M$51/12</f>
        <v>0</v>
      </c>
      <c r="Q71" s="65">
        <f>$F71*Outputs_Internal!N$51/12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$F72*Outputs_Internal!M$51/12</f>
        <v>0</v>
      </c>
      <c r="Q72" s="65">
        <f>$F72*Outputs_Internal!N$51/12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$F73*Outputs_Internal!M$51/12</f>
        <v>0</v>
      </c>
      <c r="Q73" s="65">
        <f>$F73*Outputs_Internal!N$51/12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$F74*Outputs_Internal!M$51/12</f>
        <v>0</v>
      </c>
      <c r="Q74" s="65">
        <f>$F74*Outputs_Internal!N$51/12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$F75*Outputs_Internal!M$51/12</f>
        <v>0</v>
      </c>
      <c r="Q75" s="65">
        <f>$F75*Outputs_Internal!N$51/12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$F76*Outputs_Internal!M$51/12</f>
        <v>0</v>
      </c>
      <c r="Q76" s="65">
        <f>$F76*Outputs_Internal!N$51/12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$F77*Outputs_Internal!M$51/12</f>
        <v>0</v>
      </c>
      <c r="Q77" s="65">
        <f>$F77*Outputs_Internal!N$51/12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$F78*Outputs_Internal!M$51/12</f>
        <v>0</v>
      </c>
      <c r="Q78" s="65">
        <f>$F78*Outputs_Internal!N$51/12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$F79*Outputs_Internal!M$51/12</f>
        <v>0</v>
      </c>
      <c r="Q79" s="65">
        <f>$F79*Outputs_Internal!N$51/12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$F80*Outputs_Internal!M$51/12</f>
        <v>0</v>
      </c>
      <c r="Q80" s="65">
        <f>$F80*Outputs_Internal!N$51/12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$F81*Outputs_Internal!M$51/12</f>
        <v>0</v>
      </c>
      <c r="Q81" s="65">
        <f>$F81*Outputs_Internal!N$51/12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$F82*Outputs_Internal!M$51/12</f>
        <v>0</v>
      </c>
      <c r="Q82" s="65">
        <f>$F82*Outputs_Internal!N$51/12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$F83*Outputs_Internal!M$51/12</f>
        <v>0</v>
      </c>
      <c r="Q83" s="65">
        <f>$F83*Outputs_Internal!N$51/12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$F84*Outputs_Internal!M$51/12</f>
        <v>0</v>
      </c>
      <c r="Q84" s="65">
        <f>$F84*Outputs_Internal!N$51/12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$F85*Outputs_Internal!M$51/12</f>
        <v>0</v>
      </c>
      <c r="Q85" s="65">
        <f>$F85*Outputs_Internal!N$51/12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$F86*Outputs_Internal!M$51/12</f>
        <v>0</v>
      </c>
      <c r="Q86" s="65">
        <f>$F86*Outputs_Internal!N$51/12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$F87*Outputs_Internal!M$51/12</f>
        <v>0</v>
      </c>
      <c r="Q87" s="65">
        <f>$F87*Outputs_Internal!N$51/12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$F88*Outputs_Internal!M$51/12</f>
        <v>0</v>
      </c>
      <c r="Q88" s="65">
        <f>$F88*Outputs_Internal!N$51/12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$F89*Outputs_Internal!M$51/12</f>
        <v>0</v>
      </c>
      <c r="Q89" s="65">
        <f>$F89*Outputs_Internal!N$51/12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$F90*Outputs_Internal!M$51/12</f>
        <v>0</v>
      </c>
      <c r="Q90" s="65">
        <f>$F90*Outputs_Internal!N$51/12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$F91*Outputs_Internal!M$51/12</f>
        <v>0</v>
      </c>
      <c r="Q91" s="65">
        <f>$F91*Outputs_Internal!N$51/12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$F92*Outputs_Internal!M$51/12</f>
        <v>0</v>
      </c>
      <c r="Q92" s="65">
        <f>$F92*Outputs_Internal!N$51/12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$F93*Outputs_Internal!M$51/12</f>
        <v>0</v>
      </c>
      <c r="Q93" s="65">
        <f>$F93*Outputs_Internal!N$51/12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$F94*Outputs_Internal!M$51/12</f>
        <v>0</v>
      </c>
      <c r="Q94" s="65">
        <f>$F94*Outputs_Internal!N$51/12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105</v>
      </c>
      <c r="D16" s="18">
        <f xml:space="preserve"> IF(OR(Inputs!D14="Y",Inputs!D$19="Y"), Prices!$C15, 0)</f>
        <v>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105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105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105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8500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8500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23500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2">
        <f>IF(Inputs!$D5="Y", Prices!$I$17, 0)*D94*-1</f>
        <v>0</v>
      </c>
      <c r="E92" s="2">
        <f>IF(Inputs!$D5="Y", Prices!$I$17, 0)*SUM(SUM(E73:E76), E94, -1*SUM(E85:E86))*-1</f>
        <v>0</v>
      </c>
      <c r="F92" s="2">
        <f>IF(Inputs!$D5="Y", Prices!$I$17, 0)*SUM(SUM(F73:F76), F94, -1*SUM(F85:F86))*-1</f>
        <v>0</v>
      </c>
      <c r="G92" s="2">
        <f>IF(Inputs!$D5="Y", Prices!$I$17, 0)*SUM(SUM(G73:G76), G94, -1*SUM(G85:G86))*-1</f>
        <v>0</v>
      </c>
      <c r="H92" s="2">
        <f>IF(Inputs!$D5="Y", Prices!$I$17, 0)*SUM(SUM(H73:H76), H94, -1*SUM(H85:H86))*-1</f>
        <v>0</v>
      </c>
    </row>
    <row r="94" spans="2:8" x14ac:dyDescent="0.25">
      <c r="B94" s="6" t="s">
        <v>56</v>
      </c>
      <c r="D94" s="7">
        <f>SUM(D88, D90)</f>
        <v>23500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15000</v>
      </c>
      <c r="D6" s="43">
        <v>30000</v>
      </c>
      <c r="E6" s="39">
        <v>0.27</v>
      </c>
      <c r="H6" t="s">
        <v>38</v>
      </c>
      <c r="I6" s="3">
        <v>0.45</v>
      </c>
    </row>
    <row r="7" spans="2:9" x14ac:dyDescent="0.25">
      <c r="B7" s="15" t="s">
        <v>31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1000</v>
      </c>
      <c r="D10" s="41">
        <v>0.04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4000</v>
      </c>
      <c r="D11" s="41">
        <v>0.05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2000</v>
      </c>
      <c r="D12" s="41">
        <v>0.04</v>
      </c>
    </row>
    <row r="13" spans="2:9" x14ac:dyDescent="0.25">
      <c r="B13" s="17" t="s">
        <v>12</v>
      </c>
      <c r="C13" s="45">
        <v>2000</v>
      </c>
      <c r="D13" s="41">
        <v>0.04</v>
      </c>
      <c r="H13" s="4"/>
    </row>
    <row r="14" spans="2:9" x14ac:dyDescent="0.25">
      <c r="B14" s="17" t="s">
        <v>13</v>
      </c>
      <c r="C14" s="45">
        <v>6000</v>
      </c>
      <c r="D14" s="41">
        <v>0.05</v>
      </c>
      <c r="H14" s="60" t="s">
        <v>83</v>
      </c>
      <c r="I14" s="59">
        <v>1.2500000000000001E-2</v>
      </c>
    </row>
    <row r="15" spans="2:9" x14ac:dyDescent="0.25">
      <c r="B15" s="17" t="s">
        <v>105</v>
      </c>
      <c r="C15" s="45">
        <v>4000</v>
      </c>
      <c r="D15" s="41">
        <v>0.05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15</v>
      </c>
      <c r="C17" s="46">
        <v>5000</v>
      </c>
      <c r="D17" s="42">
        <v>7.0000000000000007E-2</v>
      </c>
      <c r="H17" s="6" t="s">
        <v>101</v>
      </c>
      <c r="I17" s="3">
        <v>0.15</v>
      </c>
    </row>
    <row r="18" spans="2:9" x14ac:dyDescent="0.25">
      <c r="B18" s="19" t="s">
        <v>34</v>
      </c>
      <c r="C18" s="46">
        <v>5000</v>
      </c>
      <c r="D18" s="42">
        <v>0</v>
      </c>
      <c r="H18" s="4" t="s">
        <v>102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8500</v>
      </c>
      <c r="D20" s="41">
        <v>0</v>
      </c>
    </row>
    <row r="21" spans="2:9" x14ac:dyDescent="0.25">
      <c r="B21" s="17" t="s">
        <v>18</v>
      </c>
      <c r="C21" s="45">
        <v>33000</v>
      </c>
      <c r="D21" s="41">
        <v>0.28000000000000003</v>
      </c>
    </row>
    <row r="22" spans="2:9" x14ac:dyDescent="0.25">
      <c r="B22" s="19" t="s">
        <v>19</v>
      </c>
      <c r="C22" s="46">
        <v>35000</v>
      </c>
      <c r="D22" s="42">
        <v>0.28999999999999998</v>
      </c>
    </row>
    <row r="23" spans="2:9" x14ac:dyDescent="0.25">
      <c r="B23" s="19" t="s">
        <v>20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2018-02-15T21:26:43Z</dcterms:modified>
</cp:coreProperties>
</file>