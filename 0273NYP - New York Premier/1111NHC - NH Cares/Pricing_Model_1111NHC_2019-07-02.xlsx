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RM\NYMilliman_Share\Q32019_Recon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  <sheet name="MARA Prices" sheetId="9" r:id="rId7"/>
  </sheets>
  <definedNames>
    <definedName name="ACOInsight1">Inputs!$D$23:$D$24</definedName>
    <definedName name="_xlnm.Print_Area" localSheetId="2">Outputs_Internal!$B$1:$M$70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C15" i="3"/>
  <c r="C14" i="3"/>
  <c r="C13" i="3"/>
  <c r="C12" i="3"/>
  <c r="C11" i="3"/>
  <c r="C10" i="3"/>
  <c r="H60" i="1" l="1"/>
  <c r="G60" i="1"/>
  <c r="F60" i="1"/>
  <c r="E60" i="1"/>
  <c r="H47" i="1"/>
  <c r="G47" i="1"/>
  <c r="F47" i="1"/>
  <c r="E47" i="1"/>
  <c r="D47" i="1"/>
  <c r="H34" i="1" l="1"/>
  <c r="G34" i="1"/>
  <c r="F34" i="1"/>
  <c r="E34" i="1"/>
  <c r="H21" i="1"/>
  <c r="G21" i="1"/>
  <c r="F21" i="1"/>
  <c r="E21" i="1"/>
  <c r="D21" i="1"/>
  <c r="E20" i="1" l="1"/>
  <c r="F20" i="1"/>
  <c r="G20" i="1"/>
  <c r="H20" i="1"/>
  <c r="D45" i="1" l="1"/>
  <c r="H19" i="1"/>
  <c r="G19" i="1"/>
  <c r="F19" i="1"/>
  <c r="E19" i="1"/>
  <c r="I32" i="7"/>
  <c r="H32" i="7"/>
  <c r="G32" i="7"/>
  <c r="F32" i="7" s="1"/>
  <c r="D17" i="7"/>
  <c r="N17" i="7" s="1"/>
  <c r="E16" i="3"/>
  <c r="F16" i="3" s="1"/>
  <c r="E25" i="3"/>
  <c r="K17" i="7" l="1"/>
  <c r="L17" i="7"/>
  <c r="M17" i="7"/>
  <c r="G16" i="3"/>
  <c r="H16" i="3" s="1"/>
  <c r="E18" i="3"/>
  <c r="E29" i="3" l="1"/>
  <c r="E27" i="3"/>
  <c r="E24" i="3"/>
  <c r="E23" i="3"/>
  <c r="E22" i="3"/>
  <c r="E17" i="3"/>
  <c r="E15" i="3"/>
  <c r="E14" i="3"/>
  <c r="E6" i="3"/>
  <c r="E11" i="3"/>
  <c r="G11" i="3" s="1"/>
  <c r="G17" i="3" l="1"/>
  <c r="H17" i="3" s="1"/>
  <c r="G22" i="3"/>
  <c r="H22" i="3" s="1"/>
  <c r="G14" i="3"/>
  <c r="H14" i="3" s="1"/>
  <c r="H11" i="3"/>
  <c r="G6" i="3"/>
  <c r="H6" i="3" s="1"/>
  <c r="G24" i="3"/>
  <c r="H24" i="3" s="1"/>
  <c r="F15" i="3"/>
  <c r="F18" i="3"/>
  <c r="F23" i="3"/>
  <c r="F27" i="3"/>
  <c r="F29" i="3"/>
  <c r="G15" i="3"/>
  <c r="H15" i="3" s="1"/>
  <c r="G18" i="3"/>
  <c r="H18" i="3" s="1"/>
  <c r="G23" i="3"/>
  <c r="H23" i="3" s="1"/>
  <c r="G27" i="3"/>
  <c r="H27" i="3" s="1"/>
  <c r="G29" i="3"/>
  <c r="H29" i="3" s="1"/>
  <c r="F11" i="3"/>
  <c r="F6" i="3"/>
  <c r="F14" i="3"/>
  <c r="F17" i="3"/>
  <c r="F22" i="3"/>
  <c r="F24" i="3"/>
  <c r="F25" i="3"/>
  <c r="G25" i="3"/>
  <c r="H25" i="3" s="1"/>
  <c r="H41" i="5" l="1"/>
  <c r="H40" i="5"/>
  <c r="G41" i="5"/>
  <c r="G40" i="5"/>
  <c r="D40" i="5"/>
  <c r="D41" i="5"/>
  <c r="F40" i="5"/>
  <c r="F41" i="5"/>
  <c r="G55" i="7" l="1"/>
  <c r="F55" i="7" s="1"/>
  <c r="H44" i="7"/>
  <c r="H72" i="1"/>
  <c r="G72" i="1"/>
  <c r="G94" i="1" s="1"/>
  <c r="D72" i="1"/>
  <c r="D94" i="1" s="1"/>
  <c r="H49" i="1"/>
  <c r="G49" i="1"/>
  <c r="F49" i="1"/>
  <c r="E49" i="1"/>
  <c r="D49" i="1"/>
  <c r="H23" i="1"/>
  <c r="G23" i="1"/>
  <c r="H55" i="7" l="1"/>
  <c r="H94" i="1"/>
  <c r="L20" i="9"/>
  <c r="K20" i="9"/>
  <c r="H20" i="9"/>
  <c r="I67" i="7"/>
  <c r="G67" i="7"/>
  <c r="F67" i="7"/>
  <c r="G3" i="8" l="1"/>
  <c r="AG3" i="8" s="1"/>
  <c r="F3" i="8"/>
  <c r="K21" i="9"/>
  <c r="L21" i="9"/>
  <c r="AH3" i="8" l="1"/>
  <c r="L8" i="9"/>
  <c r="L16" i="9" s="1"/>
  <c r="L7" i="9"/>
  <c r="L15" i="9" s="1"/>
  <c r="L6" i="9"/>
  <c r="L14" i="9" s="1"/>
  <c r="L5" i="9"/>
  <c r="L13" i="9" s="1"/>
  <c r="L4" i="9"/>
  <c r="L12" i="9" s="1"/>
  <c r="L3" i="9"/>
  <c r="L11" i="9" s="1"/>
  <c r="L2" i="9"/>
  <c r="L10" i="9" s="1"/>
  <c r="K8" i="9"/>
  <c r="K16" i="9" s="1"/>
  <c r="K7" i="9"/>
  <c r="K15" i="9" s="1"/>
  <c r="K6" i="9"/>
  <c r="K14" i="9" s="1"/>
  <c r="K5" i="9"/>
  <c r="K13" i="9" s="1"/>
  <c r="K4" i="9"/>
  <c r="K12" i="9" s="1"/>
  <c r="K3" i="9"/>
  <c r="K11" i="9" s="1"/>
  <c r="K2" i="9"/>
  <c r="K10" i="9" s="1"/>
  <c r="J8" i="9"/>
  <c r="J16" i="9" s="1"/>
  <c r="J7" i="9"/>
  <c r="J15" i="9" s="1"/>
  <c r="J6" i="9"/>
  <c r="J14" i="9" s="1"/>
  <c r="J5" i="9"/>
  <c r="J13" i="9" s="1"/>
  <c r="J4" i="9"/>
  <c r="J12" i="9" s="1"/>
  <c r="J3" i="9"/>
  <c r="J11" i="9" s="1"/>
  <c r="J2" i="9"/>
  <c r="J10" i="9" s="1"/>
  <c r="J20" i="9" s="1"/>
  <c r="J21" i="9" s="1"/>
  <c r="AF3" i="8" s="1"/>
  <c r="I8" i="9"/>
  <c r="I16" i="9" s="1"/>
  <c r="I7" i="9"/>
  <c r="I15" i="9" s="1"/>
  <c r="I6" i="9"/>
  <c r="I14" i="9" s="1"/>
  <c r="I5" i="9"/>
  <c r="I13" i="9" s="1"/>
  <c r="I4" i="9"/>
  <c r="I12" i="9" s="1"/>
  <c r="I3" i="9"/>
  <c r="I11" i="9" s="1"/>
  <c r="I2" i="9"/>
  <c r="I10" i="9" s="1"/>
  <c r="I20" i="9" s="1"/>
  <c r="H8" i="9"/>
  <c r="H16" i="9" s="1"/>
  <c r="H7" i="9"/>
  <c r="H15" i="9" s="1"/>
  <c r="H6" i="9"/>
  <c r="H14" i="9" s="1"/>
  <c r="H5" i="9"/>
  <c r="H13" i="9" s="1"/>
  <c r="H4" i="9"/>
  <c r="H12" i="9" s="1"/>
  <c r="H3" i="9"/>
  <c r="H11" i="9" s="1"/>
  <c r="H2" i="9"/>
  <c r="H10" i="9" s="1"/>
  <c r="H21" i="9" l="1"/>
  <c r="AD3" i="8" s="1"/>
  <c r="I21" i="9"/>
  <c r="H71" i="1"/>
  <c r="G71" i="1"/>
  <c r="F71" i="1"/>
  <c r="E71" i="1"/>
  <c r="D71" i="1"/>
  <c r="H74" i="1"/>
  <c r="G74" i="1"/>
  <c r="E74" i="1"/>
  <c r="L30" i="3"/>
  <c r="AE3" i="8" l="1"/>
  <c r="D93" i="1"/>
  <c r="N3" i="8" l="1"/>
  <c r="S3" i="8" l="1"/>
  <c r="H50" i="1"/>
  <c r="G50" i="1"/>
  <c r="F50" i="1"/>
  <c r="E50" i="1"/>
  <c r="D50" i="1"/>
  <c r="H48" i="1"/>
  <c r="G48" i="1"/>
  <c r="F48" i="1"/>
  <c r="E48" i="1"/>
  <c r="D48" i="1"/>
  <c r="H24" i="1"/>
  <c r="G24" i="1"/>
  <c r="F24" i="1"/>
  <c r="H22" i="1"/>
  <c r="G22" i="1"/>
  <c r="F22" i="1"/>
  <c r="G52" i="7" l="1"/>
  <c r="F52" i="7" s="1"/>
  <c r="D69" i="1"/>
  <c r="H69" i="1"/>
  <c r="H91" i="1" s="1"/>
  <c r="G69" i="1"/>
  <c r="G91" i="1" s="1"/>
  <c r="F69" i="1"/>
  <c r="F91" i="1" s="1"/>
  <c r="D91" i="1" l="1"/>
  <c r="H52" i="7"/>
  <c r="D6" i="3"/>
  <c r="L25" i="3" l="1"/>
  <c r="L28" i="3" s="1"/>
  <c r="D19" i="1" l="1"/>
  <c r="C29" i="3"/>
  <c r="D74" i="1" s="1"/>
  <c r="C19" i="3"/>
  <c r="D24" i="1" s="1"/>
  <c r="C17" i="3"/>
  <c r="D22" i="1" s="1"/>
  <c r="E26" i="3"/>
  <c r="F26" i="3" s="1"/>
  <c r="E24" i="1"/>
  <c r="D20" i="1"/>
  <c r="D16" i="7" s="1"/>
  <c r="E10" i="3"/>
  <c r="F10" i="3" s="1"/>
  <c r="C22" i="3"/>
  <c r="E12" i="3"/>
  <c r="G12" i="3" s="1"/>
  <c r="H12" i="3" s="1"/>
  <c r="C24" i="3"/>
  <c r="E69" i="1" s="1"/>
  <c r="E91" i="1" s="1"/>
  <c r="E21" i="3"/>
  <c r="H21" i="3" s="1"/>
  <c r="C25" i="3"/>
  <c r="D70" i="1" s="1"/>
  <c r="E13" i="3"/>
  <c r="G13" i="3" s="1"/>
  <c r="H13" i="3" s="1"/>
  <c r="E19" i="3"/>
  <c r="H19" i="3" s="1"/>
  <c r="F74" i="1"/>
  <c r="E28" i="3"/>
  <c r="G28" i="3" s="1"/>
  <c r="H28" i="3" s="1"/>
  <c r="C6" i="3"/>
  <c r="D14" i="1" s="1"/>
  <c r="C28" i="3"/>
  <c r="C27" i="3"/>
  <c r="F72" i="1" s="1"/>
  <c r="C26" i="3"/>
  <c r="C21" i="3"/>
  <c r="C23" i="3"/>
  <c r="C18" i="3"/>
  <c r="E23" i="1"/>
  <c r="G26" i="3"/>
  <c r="H26" i="3" s="1"/>
  <c r="E22" i="1"/>
  <c r="H4" i="1"/>
  <c r="G4" i="1"/>
  <c r="F4" i="1"/>
  <c r="E4" i="1"/>
  <c r="D4" i="1"/>
  <c r="F28" i="3" l="1"/>
  <c r="D20" i="7"/>
  <c r="F23" i="1"/>
  <c r="D23" i="1"/>
  <c r="F12" i="3"/>
  <c r="F21" i="3"/>
  <c r="G21" i="3"/>
  <c r="F19" i="3"/>
  <c r="G10" i="3"/>
  <c r="H10" i="3" s="1"/>
  <c r="F13" i="3"/>
  <c r="G19" i="3"/>
  <c r="E72" i="1"/>
  <c r="E94" i="1" s="1"/>
  <c r="F94" i="1"/>
  <c r="J78" i="1"/>
  <c r="J79" i="1" s="1"/>
  <c r="J80" i="1" s="1"/>
  <c r="J81" i="1" s="1"/>
  <c r="J82" i="1" s="1"/>
  <c r="J83" i="1" s="1"/>
  <c r="J84" i="1" s="1"/>
  <c r="J85" i="1" s="1"/>
  <c r="D44" i="7" l="1"/>
  <c r="K44" i="7" s="1"/>
  <c r="G54" i="7"/>
  <c r="G56" i="7"/>
  <c r="H45" i="7"/>
  <c r="H43" i="7"/>
  <c r="G93" i="1"/>
  <c r="E93" i="1"/>
  <c r="H73" i="1"/>
  <c r="G73" i="1"/>
  <c r="F73" i="1"/>
  <c r="E73" i="1"/>
  <c r="D73" i="1"/>
  <c r="N44" i="7" l="1"/>
  <c r="M44" i="7"/>
  <c r="L44" i="7"/>
  <c r="F56" i="7"/>
  <c r="H95" i="1"/>
  <c r="F95" i="1"/>
  <c r="G95" i="1"/>
  <c r="F93" i="1"/>
  <c r="D43" i="7" s="1"/>
  <c r="H54" i="7"/>
  <c r="F54" i="7"/>
  <c r="H56" i="7"/>
  <c r="E95" i="1"/>
  <c r="D95" i="1"/>
  <c r="H93" i="1"/>
  <c r="G57" i="7"/>
  <c r="G53" i="7"/>
  <c r="G51" i="7"/>
  <c r="H42" i="7"/>
  <c r="D45" i="7" l="1"/>
  <c r="N45" i="7" s="1"/>
  <c r="H53" i="7"/>
  <c r="D96" i="1"/>
  <c r="D46" i="7" s="1"/>
  <c r="F96" i="1"/>
  <c r="E96" i="1"/>
  <c r="G96" i="1"/>
  <c r="H96" i="1"/>
  <c r="M43" i="7"/>
  <c r="F53" i="7"/>
  <c r="D15" i="1"/>
  <c r="K45" i="7" l="1"/>
  <c r="L45" i="7"/>
  <c r="M45" i="7"/>
  <c r="N43" i="7"/>
  <c r="L43" i="7"/>
  <c r="K43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E10" i="1" l="1"/>
  <c r="E11" i="1"/>
  <c r="F11" i="1"/>
  <c r="G11" i="1"/>
  <c r="H11" i="1"/>
  <c r="D11" i="1"/>
  <c r="F10" i="1"/>
  <c r="G10" i="1"/>
  <c r="H10" i="1"/>
  <c r="D10" i="1"/>
  <c r="D83" i="1" s="1"/>
  <c r="D25" i="5" s="1"/>
  <c r="D60" i="1" l="1"/>
  <c r="D16" i="5" s="1"/>
  <c r="D34" i="1"/>
  <c r="G32" i="1"/>
  <c r="G16" i="5"/>
  <c r="D58" i="1"/>
  <c r="D33" i="1"/>
  <c r="D32" i="1"/>
  <c r="H32" i="1"/>
  <c r="H16" i="5"/>
  <c r="F16" i="5"/>
  <c r="F32" i="1"/>
  <c r="E32" i="1"/>
  <c r="E16" i="5"/>
  <c r="D62" i="1"/>
  <c r="D36" i="1"/>
  <c r="H62" i="1"/>
  <c r="H83" i="1"/>
  <c r="H25" i="5" s="1"/>
  <c r="H36" i="1"/>
  <c r="G83" i="1"/>
  <c r="G25" i="5" s="1"/>
  <c r="G36" i="1"/>
  <c r="G62" i="1"/>
  <c r="D105" i="1"/>
  <c r="K83" i="1"/>
  <c r="E62" i="1"/>
  <c r="E36" i="1"/>
  <c r="E83" i="1"/>
  <c r="F83" i="1"/>
  <c r="F25" i="5" s="1"/>
  <c r="F36" i="1"/>
  <c r="F62" i="1"/>
  <c r="G85" i="1"/>
  <c r="N85" i="1" s="1"/>
  <c r="G82" i="1"/>
  <c r="N82" i="1" s="1"/>
  <c r="F82" i="1"/>
  <c r="M82" i="1" s="1"/>
  <c r="F85" i="1"/>
  <c r="M85" i="1" s="1"/>
  <c r="H85" i="1"/>
  <c r="O85" i="1" s="1"/>
  <c r="H82" i="1"/>
  <c r="H24" i="5" s="1"/>
  <c r="E85" i="1"/>
  <c r="L85" i="1" s="1"/>
  <c r="E82" i="1"/>
  <c r="E24" i="5" s="1"/>
  <c r="E27" i="1"/>
  <c r="D82" i="1"/>
  <c r="K82" i="1" s="1"/>
  <c r="D85" i="1"/>
  <c r="D27" i="5" s="1"/>
  <c r="D35" i="1"/>
  <c r="D61" i="1"/>
  <c r="H35" i="1"/>
  <c r="H61" i="1"/>
  <c r="G61" i="1"/>
  <c r="G35" i="1"/>
  <c r="F35" i="1"/>
  <c r="F61" i="1"/>
  <c r="E80" i="1"/>
  <c r="E61" i="1"/>
  <c r="E35" i="1"/>
  <c r="H59" i="1"/>
  <c r="H80" i="1"/>
  <c r="G80" i="1"/>
  <c r="D80" i="1"/>
  <c r="F80" i="1"/>
  <c r="H54" i="1"/>
  <c r="H58" i="1"/>
  <c r="H84" i="1"/>
  <c r="O84" i="1" s="1"/>
  <c r="G59" i="1"/>
  <c r="G84" i="1"/>
  <c r="N84" i="1" s="1"/>
  <c r="D84" i="1"/>
  <c r="K84" i="1" s="1"/>
  <c r="F84" i="1"/>
  <c r="M84" i="1" s="1"/>
  <c r="E84" i="1"/>
  <c r="L84" i="1" s="1"/>
  <c r="G57" i="1"/>
  <c r="E58" i="1"/>
  <c r="G54" i="1"/>
  <c r="E57" i="1"/>
  <c r="E29" i="1"/>
  <c r="F59" i="1"/>
  <c r="F55" i="1"/>
  <c r="F54" i="1"/>
  <c r="E55" i="1"/>
  <c r="F57" i="1"/>
  <c r="E59" i="1"/>
  <c r="E54" i="1"/>
  <c r="H56" i="1"/>
  <c r="D54" i="1"/>
  <c r="E56" i="1"/>
  <c r="G55" i="1"/>
  <c r="E81" i="1"/>
  <c r="F58" i="1"/>
  <c r="F56" i="1"/>
  <c r="D56" i="1"/>
  <c r="H55" i="1"/>
  <c r="G56" i="1"/>
  <c r="H57" i="1"/>
  <c r="G58" i="1"/>
  <c r="D57" i="1"/>
  <c r="E30" i="1"/>
  <c r="E28" i="1"/>
  <c r="D55" i="1"/>
  <c r="D59" i="1"/>
  <c r="E78" i="1"/>
  <c r="E100" i="1" s="1"/>
  <c r="E79" i="1"/>
  <c r="E33" i="1"/>
  <c r="E53" i="1"/>
  <c r="E31" i="1"/>
  <c r="G79" i="1"/>
  <c r="G53" i="1"/>
  <c r="G30" i="1"/>
  <c r="G28" i="1"/>
  <c r="G31" i="1"/>
  <c r="G29" i="1"/>
  <c r="G81" i="1"/>
  <c r="G78" i="1"/>
  <c r="G100" i="1" s="1"/>
  <c r="G33" i="1"/>
  <c r="G27" i="1"/>
  <c r="H79" i="1"/>
  <c r="H53" i="1"/>
  <c r="H30" i="1"/>
  <c r="H28" i="1"/>
  <c r="H81" i="1"/>
  <c r="H78" i="1"/>
  <c r="H100" i="1" s="1"/>
  <c r="H33" i="1"/>
  <c r="H31" i="1"/>
  <c r="H29" i="1"/>
  <c r="H27" i="1"/>
  <c r="F30" i="1"/>
  <c r="F28" i="1"/>
  <c r="F81" i="1"/>
  <c r="F33" i="1"/>
  <c r="F31" i="1"/>
  <c r="F79" i="1"/>
  <c r="F53" i="1"/>
  <c r="F29" i="1"/>
  <c r="F78" i="1"/>
  <c r="F100" i="1" s="1"/>
  <c r="F27" i="1"/>
  <c r="D27" i="1"/>
  <c r="D28" i="1"/>
  <c r="D53" i="1"/>
  <c r="D30" i="1"/>
  <c r="D29" i="1"/>
  <c r="D79" i="1"/>
  <c r="D81" i="1"/>
  <c r="D78" i="1"/>
  <c r="D100" i="1" s="1"/>
  <c r="D31" i="1"/>
  <c r="D122" i="1"/>
  <c r="D32" i="5" s="1"/>
  <c r="K85" i="1" l="1"/>
  <c r="D82" i="7"/>
  <c r="D30" i="7"/>
  <c r="D32" i="7"/>
  <c r="D77" i="7"/>
  <c r="E25" i="5"/>
  <c r="D80" i="7"/>
  <c r="F105" i="1"/>
  <c r="M83" i="1"/>
  <c r="G105" i="1"/>
  <c r="N83" i="1"/>
  <c r="F24" i="5"/>
  <c r="L83" i="1"/>
  <c r="E105" i="1"/>
  <c r="H105" i="1"/>
  <c r="O83" i="1"/>
  <c r="L82" i="1"/>
  <c r="O82" i="1"/>
  <c r="G24" i="5"/>
  <c r="D79" i="7"/>
  <c r="H102" i="1"/>
  <c r="H22" i="5"/>
  <c r="F102" i="1"/>
  <c r="F22" i="5"/>
  <c r="D102" i="1"/>
  <c r="D22" i="5"/>
  <c r="G102" i="1"/>
  <c r="G22" i="5"/>
  <c r="E101" i="1"/>
  <c r="E22" i="5"/>
  <c r="E102" i="1"/>
  <c r="D24" i="5"/>
  <c r="L80" i="1"/>
  <c r="M80" i="1"/>
  <c r="K80" i="1"/>
  <c r="N80" i="1"/>
  <c r="O80" i="1"/>
  <c r="G26" i="5"/>
  <c r="H26" i="5"/>
  <c r="F26" i="5"/>
  <c r="E26" i="5"/>
  <c r="D26" i="5"/>
  <c r="D81" i="7"/>
  <c r="E104" i="1"/>
  <c r="G106" i="1"/>
  <c r="E106" i="1"/>
  <c r="G104" i="1"/>
  <c r="D104" i="1"/>
  <c r="F106" i="1"/>
  <c r="H106" i="1"/>
  <c r="F104" i="1"/>
  <c r="H104" i="1"/>
  <c r="D106" i="1"/>
  <c r="H107" i="1"/>
  <c r="H27" i="5"/>
  <c r="D107" i="1"/>
  <c r="G107" i="1"/>
  <c r="G27" i="5"/>
  <c r="F107" i="1"/>
  <c r="F27" i="5"/>
  <c r="E107" i="1"/>
  <c r="E27" i="5"/>
  <c r="D25" i="7"/>
  <c r="D33" i="7"/>
  <c r="D62" i="7"/>
  <c r="H27" i="7"/>
  <c r="G27" i="7"/>
  <c r="M32" i="7" l="1"/>
  <c r="N32" i="7"/>
  <c r="L32" i="7"/>
  <c r="K32" i="7"/>
  <c r="D55" i="7"/>
  <c r="K55" i="7" s="1"/>
  <c r="I27" i="7"/>
  <c r="F27" i="7"/>
  <c r="D52" i="7"/>
  <c r="N52" i="7" s="1"/>
  <c r="D56" i="7"/>
  <c r="D54" i="7"/>
  <c r="D57" i="7"/>
  <c r="N57" i="7" s="1"/>
  <c r="M62" i="7"/>
  <c r="K62" i="7"/>
  <c r="N62" i="7"/>
  <c r="L62" i="7"/>
  <c r="N55" i="7" l="1"/>
  <c r="L55" i="7"/>
  <c r="M55" i="7"/>
  <c r="M52" i="7"/>
  <c r="L52" i="7"/>
  <c r="K52" i="7"/>
  <c r="L56" i="7"/>
  <c r="K56" i="7"/>
  <c r="N56" i="7"/>
  <c r="M56" i="7"/>
  <c r="L54" i="7"/>
  <c r="N54" i="7"/>
  <c r="K54" i="7"/>
  <c r="M54" i="7"/>
  <c r="L57" i="7"/>
  <c r="H10" i="7"/>
  <c r="H11" i="7"/>
  <c r="H13" i="7"/>
  <c r="H14" i="7"/>
  <c r="H16" i="7"/>
  <c r="H18" i="7"/>
  <c r="H19" i="7"/>
  <c r="H20" i="7"/>
  <c r="F81" i="7" l="1"/>
  <c r="K81" i="7" s="1"/>
  <c r="H79" i="7"/>
  <c r="M79" i="7" s="1"/>
  <c r="F79" i="7"/>
  <c r="K79" i="7" s="1"/>
  <c r="G81" i="7"/>
  <c r="L81" i="7" s="1"/>
  <c r="H81" i="7"/>
  <c r="M81" i="7" s="1"/>
  <c r="I81" i="7"/>
  <c r="N81" i="7" s="1"/>
  <c r="I79" i="7"/>
  <c r="N79" i="7" s="1"/>
  <c r="G79" i="7"/>
  <c r="L79" i="7" s="1"/>
  <c r="I74" i="7"/>
  <c r="G50" i="7"/>
  <c r="G49" i="7"/>
  <c r="H38" i="7"/>
  <c r="H74" i="7" s="1"/>
  <c r="H35" i="7"/>
  <c r="H34" i="7"/>
  <c r="H33" i="7"/>
  <c r="H28" i="7"/>
  <c r="H26" i="7"/>
  <c r="I35" i="7"/>
  <c r="I34" i="7"/>
  <c r="I33" i="7"/>
  <c r="I31" i="7"/>
  <c r="I30" i="7"/>
  <c r="I29" i="7"/>
  <c r="I28" i="7"/>
  <c r="I26" i="7"/>
  <c r="I25" i="7"/>
  <c r="H5" i="7" l="1"/>
  <c r="H39" i="7" l="1"/>
  <c r="H50" i="7" s="1"/>
  <c r="H66" i="1" l="1"/>
  <c r="O77" i="1" s="1"/>
  <c r="G66" i="1"/>
  <c r="N77" i="1" s="1"/>
  <c r="F66" i="1"/>
  <c r="M77" i="1" s="1"/>
  <c r="E66" i="1"/>
  <c r="L77" i="1" s="1"/>
  <c r="D66" i="1"/>
  <c r="K77" i="1" s="1"/>
  <c r="E3" i="8" l="1"/>
  <c r="D3" i="8"/>
  <c r="B4" i="8"/>
  <c r="G4" i="8" s="1"/>
  <c r="H46" i="7"/>
  <c r="H40" i="7"/>
  <c r="H4" i="7"/>
  <c r="D49" i="7"/>
  <c r="N49" i="7" s="1"/>
  <c r="G35" i="7"/>
  <c r="G34" i="7"/>
  <c r="G33" i="7"/>
  <c r="G31" i="7"/>
  <c r="H31" i="7" s="1"/>
  <c r="G30" i="7"/>
  <c r="H30" i="7" s="1"/>
  <c r="G29" i="7"/>
  <c r="H29" i="7" s="1"/>
  <c r="G28" i="7"/>
  <c r="G26" i="7"/>
  <c r="G25" i="7"/>
  <c r="D35" i="7"/>
  <c r="N35" i="7" s="1"/>
  <c r="AH4" i="8" l="1"/>
  <c r="AG4" i="8"/>
  <c r="AD4" i="8"/>
  <c r="AF4" i="8"/>
  <c r="AE4" i="8"/>
  <c r="F4" i="8"/>
  <c r="E4" i="8"/>
  <c r="B5" i="8"/>
  <c r="G5" i="8" s="1"/>
  <c r="J3" i="8"/>
  <c r="K3" i="8"/>
  <c r="I3" i="8"/>
  <c r="L3" i="8"/>
  <c r="D4" i="8"/>
  <c r="J4" i="8" s="1"/>
  <c r="H25" i="7"/>
  <c r="L25" i="7"/>
  <c r="F51" i="7"/>
  <c r="H51" i="7"/>
  <c r="H57" i="7"/>
  <c r="M57" i="7" s="1"/>
  <c r="F57" i="7"/>
  <c r="K57" i="7" s="1"/>
  <c r="F50" i="7"/>
  <c r="F49" i="7"/>
  <c r="K49" i="7" s="1"/>
  <c r="H49" i="7"/>
  <c r="M49" i="7" s="1"/>
  <c r="M35" i="7"/>
  <c r="F25" i="7"/>
  <c r="K25" i="7" s="1"/>
  <c r="F34" i="7"/>
  <c r="F28" i="7"/>
  <c r="F33" i="7"/>
  <c r="F31" i="7"/>
  <c r="L49" i="7"/>
  <c r="F29" i="7"/>
  <c r="F26" i="7"/>
  <c r="F30" i="7"/>
  <c r="F35" i="7"/>
  <c r="K35" i="7" s="1"/>
  <c r="L35" i="7"/>
  <c r="G74" i="7"/>
  <c r="F74" i="7"/>
  <c r="H46" i="1"/>
  <c r="G46" i="1"/>
  <c r="F46" i="1"/>
  <c r="E46" i="1"/>
  <c r="D46" i="1"/>
  <c r="H45" i="1"/>
  <c r="G45" i="1"/>
  <c r="F45" i="1"/>
  <c r="E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D41" i="7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40" i="1"/>
  <c r="G40" i="1"/>
  <c r="F40" i="1"/>
  <c r="E40" i="1"/>
  <c r="D40" i="1"/>
  <c r="N16" i="7" l="1"/>
  <c r="N4" i="8"/>
  <c r="AH5" i="8"/>
  <c r="AG5" i="8"/>
  <c r="AF5" i="8"/>
  <c r="AD5" i="8"/>
  <c r="AE5" i="8"/>
  <c r="F5" i="8"/>
  <c r="K4" i="8"/>
  <c r="D5" i="8"/>
  <c r="I5" i="8" s="1"/>
  <c r="L4" i="8"/>
  <c r="I4" i="8"/>
  <c r="B6" i="8"/>
  <c r="E5" i="8"/>
  <c r="M41" i="7"/>
  <c r="K41" i="7"/>
  <c r="L41" i="7"/>
  <c r="N41" i="7"/>
  <c r="D15" i="7"/>
  <c r="N15" i="7" s="1"/>
  <c r="D12" i="7"/>
  <c r="N12" i="7" s="1"/>
  <c r="D11" i="7"/>
  <c r="N11" i="7" s="1"/>
  <c r="D13" i="7"/>
  <c r="N13" i="7" s="1"/>
  <c r="D18" i="7"/>
  <c r="N18" i="7" s="1"/>
  <c r="D14" i="7"/>
  <c r="N14" i="7" s="1"/>
  <c r="D19" i="7"/>
  <c r="N19" i="7" s="1"/>
  <c r="H67" i="1"/>
  <c r="H89" i="1" s="1"/>
  <c r="G67" i="1"/>
  <c r="G89" i="1" s="1"/>
  <c r="F67" i="1"/>
  <c r="F89" i="1" s="1"/>
  <c r="E67" i="1"/>
  <c r="E89" i="1" s="1"/>
  <c r="D67" i="1"/>
  <c r="D89" i="1" s="1"/>
  <c r="D68" i="1"/>
  <c r="E68" i="1"/>
  <c r="E90" i="1" s="1"/>
  <c r="F68" i="1"/>
  <c r="M79" i="1" s="1"/>
  <c r="G68" i="1"/>
  <c r="N79" i="1" s="1"/>
  <c r="H68" i="1"/>
  <c r="O79" i="1" s="1"/>
  <c r="K78" i="1" l="1"/>
  <c r="N78" i="1"/>
  <c r="O78" i="1"/>
  <c r="L78" i="1"/>
  <c r="M78" i="1"/>
  <c r="G6" i="8"/>
  <c r="AG6" i="8" s="1"/>
  <c r="AA6" i="8"/>
  <c r="N5" i="8"/>
  <c r="S5" i="8" s="1"/>
  <c r="S4" i="8"/>
  <c r="K5" i="8"/>
  <c r="J5" i="8"/>
  <c r="L5" i="8"/>
  <c r="E6" i="8"/>
  <c r="B7" i="8"/>
  <c r="W6" i="8"/>
  <c r="X6" i="8"/>
  <c r="F6" i="8"/>
  <c r="Y6" i="8"/>
  <c r="Z6" i="8"/>
  <c r="D6" i="8"/>
  <c r="K79" i="1"/>
  <c r="D90" i="1"/>
  <c r="L79" i="1"/>
  <c r="L20" i="7"/>
  <c r="N20" i="7"/>
  <c r="H90" i="1"/>
  <c r="G90" i="1"/>
  <c r="F90" i="1"/>
  <c r="E19" i="5"/>
  <c r="F19" i="5"/>
  <c r="G19" i="5"/>
  <c r="AE6" i="8" l="1"/>
  <c r="G7" i="8"/>
  <c r="AF7" i="8" s="1"/>
  <c r="AA7" i="8"/>
  <c r="AF6" i="8"/>
  <c r="AH6" i="8"/>
  <c r="AD6" i="8"/>
  <c r="D7" i="8"/>
  <c r="L7" i="8" s="1"/>
  <c r="K6" i="8"/>
  <c r="I6" i="8"/>
  <c r="L6" i="8"/>
  <c r="B8" i="8"/>
  <c r="F7" i="8"/>
  <c r="W7" i="8"/>
  <c r="X7" i="8"/>
  <c r="Y7" i="8"/>
  <c r="Z7" i="8"/>
  <c r="J6" i="8"/>
  <c r="E7" i="8"/>
  <c r="D39" i="7"/>
  <c r="N39" i="7" s="1"/>
  <c r="D19" i="5"/>
  <c r="D40" i="7"/>
  <c r="N40" i="7" s="1"/>
  <c r="G88" i="1"/>
  <c r="F88" i="1"/>
  <c r="E88" i="1"/>
  <c r="D88" i="1"/>
  <c r="H4" i="5"/>
  <c r="F4" i="5"/>
  <c r="E4" i="5"/>
  <c r="D5" i="7" s="1"/>
  <c r="N5" i="7" s="1"/>
  <c r="D4" i="5"/>
  <c r="D4" i="7" s="1"/>
  <c r="H70" i="1"/>
  <c r="O81" i="1" s="1"/>
  <c r="G70" i="1"/>
  <c r="N81" i="1" s="1"/>
  <c r="F70" i="1"/>
  <c r="E70" i="1"/>
  <c r="L81" i="1" s="1"/>
  <c r="L95" i="1" s="1"/>
  <c r="D74" i="7"/>
  <c r="K81" i="1"/>
  <c r="K90" i="1" s="1"/>
  <c r="H14" i="1"/>
  <c r="G14" i="1"/>
  <c r="F14" i="1"/>
  <c r="E14" i="1"/>
  <c r="G4" i="5"/>
  <c r="K95" i="1" l="1"/>
  <c r="L96" i="1"/>
  <c r="K94" i="1"/>
  <c r="K92" i="1"/>
  <c r="L94" i="1"/>
  <c r="M81" i="1"/>
  <c r="M90" i="1" s="1"/>
  <c r="K89" i="1"/>
  <c r="K91" i="1"/>
  <c r="L91" i="1"/>
  <c r="K93" i="1"/>
  <c r="L89" i="1"/>
  <c r="L90" i="1"/>
  <c r="O91" i="1"/>
  <c r="O90" i="1"/>
  <c r="O95" i="1"/>
  <c r="O89" i="1"/>
  <c r="O94" i="1"/>
  <c r="O92" i="1"/>
  <c r="O96" i="1"/>
  <c r="O88" i="1"/>
  <c r="O93" i="1"/>
  <c r="L88" i="1"/>
  <c r="L92" i="1"/>
  <c r="L93" i="1"/>
  <c r="N89" i="1"/>
  <c r="N96" i="1"/>
  <c r="N90" i="1"/>
  <c r="N92" i="1"/>
  <c r="N93" i="1"/>
  <c r="N95" i="1"/>
  <c r="N88" i="1"/>
  <c r="N91" i="1"/>
  <c r="N94" i="1"/>
  <c r="K96" i="1"/>
  <c r="AH7" i="8"/>
  <c r="AG7" i="8"/>
  <c r="AE7" i="8"/>
  <c r="AD7" i="8"/>
  <c r="N6" i="8"/>
  <c r="S6" i="8" s="1"/>
  <c r="I7" i="8"/>
  <c r="F8" i="8"/>
  <c r="G8" i="8"/>
  <c r="J7" i="8"/>
  <c r="K7" i="8"/>
  <c r="B9" i="8"/>
  <c r="E8" i="8"/>
  <c r="D8" i="8"/>
  <c r="D9" i="8" s="1"/>
  <c r="K88" i="1"/>
  <c r="H23" i="5"/>
  <c r="D23" i="5"/>
  <c r="G23" i="5"/>
  <c r="F23" i="5"/>
  <c r="E23" i="5"/>
  <c r="D78" i="7"/>
  <c r="N74" i="7"/>
  <c r="K74" i="7"/>
  <c r="N4" i="7"/>
  <c r="K4" i="7"/>
  <c r="M4" i="7"/>
  <c r="K5" i="7"/>
  <c r="L5" i="7"/>
  <c r="M5" i="7"/>
  <c r="F92" i="1"/>
  <c r="D92" i="1"/>
  <c r="G92" i="1"/>
  <c r="H19" i="5"/>
  <c r="H92" i="1"/>
  <c r="L74" i="7"/>
  <c r="D10" i="7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92" i="1"/>
  <c r="M74" i="7"/>
  <c r="E15" i="5"/>
  <c r="E7" i="5"/>
  <c r="E10" i="5"/>
  <c r="E13" i="5"/>
  <c r="E8" i="5"/>
  <c r="E11" i="5"/>
  <c r="E14" i="5"/>
  <c r="E12" i="5"/>
  <c r="E9" i="5"/>
  <c r="H88" i="1"/>
  <c r="D38" i="7" s="1"/>
  <c r="E20" i="5"/>
  <c r="E21" i="5"/>
  <c r="H20" i="5"/>
  <c r="E103" i="1"/>
  <c r="F103" i="1"/>
  <c r="G103" i="1"/>
  <c r="H103" i="1"/>
  <c r="D110" i="1" l="1"/>
  <c r="M93" i="1"/>
  <c r="M89" i="1"/>
  <c r="M96" i="1"/>
  <c r="M92" i="1"/>
  <c r="M94" i="1"/>
  <c r="M95" i="1"/>
  <c r="M88" i="1"/>
  <c r="M91" i="1"/>
  <c r="G111" i="1"/>
  <c r="G110" i="1"/>
  <c r="G116" i="1"/>
  <c r="G113" i="1"/>
  <c r="G112" i="1"/>
  <c r="G115" i="1"/>
  <c r="G114" i="1"/>
  <c r="H116" i="1"/>
  <c r="H114" i="1"/>
  <c r="H113" i="1"/>
  <c r="H115" i="1"/>
  <c r="H112" i="1"/>
  <c r="H111" i="1"/>
  <c r="H110" i="1"/>
  <c r="N7" i="8"/>
  <c r="S7" i="8" s="1"/>
  <c r="D116" i="1"/>
  <c r="D111" i="1"/>
  <c r="D114" i="1"/>
  <c r="D113" i="1"/>
  <c r="D112" i="1"/>
  <c r="D115" i="1"/>
  <c r="E111" i="1"/>
  <c r="E114" i="1"/>
  <c r="E116" i="1"/>
  <c r="E112" i="1"/>
  <c r="E115" i="1"/>
  <c r="E113" i="1"/>
  <c r="E110" i="1"/>
  <c r="G9" i="8"/>
  <c r="AF9" i="8" s="1"/>
  <c r="AA9" i="8"/>
  <c r="AH8" i="8"/>
  <c r="AD8" i="8"/>
  <c r="AG8" i="8"/>
  <c r="AF8" i="8"/>
  <c r="AE8" i="8"/>
  <c r="K8" i="8"/>
  <c r="E9" i="8"/>
  <c r="F9" i="8" s="1"/>
  <c r="L8" i="8"/>
  <c r="I8" i="8"/>
  <c r="J8" i="8"/>
  <c r="I9" i="8"/>
  <c r="B10" i="8"/>
  <c r="W9" i="8"/>
  <c r="X9" i="8"/>
  <c r="Y9" i="8"/>
  <c r="Z9" i="8"/>
  <c r="N10" i="7"/>
  <c r="K10" i="7"/>
  <c r="L10" i="7"/>
  <c r="D42" i="7"/>
  <c r="L42" i="7" s="1"/>
  <c r="D76" i="7"/>
  <c r="K38" i="7"/>
  <c r="M38" i="7"/>
  <c r="N38" i="7"/>
  <c r="J9" i="8"/>
  <c r="N46" i="7"/>
  <c r="L4" i="7"/>
  <c r="K9" i="8" s="1"/>
  <c r="G7" i="5"/>
  <c r="F20" i="5"/>
  <c r="G20" i="5"/>
  <c r="H7" i="5"/>
  <c r="G101" i="1"/>
  <c r="G21" i="5"/>
  <c r="H101" i="1"/>
  <c r="H21" i="5"/>
  <c r="D101" i="1"/>
  <c r="D21" i="5"/>
  <c r="F101" i="1"/>
  <c r="F21" i="5"/>
  <c r="F7" i="5"/>
  <c r="D7" i="5"/>
  <c r="D29" i="7"/>
  <c r="N29" i="7" s="1"/>
  <c r="N30" i="7"/>
  <c r="N33" i="7"/>
  <c r="D31" i="7"/>
  <c r="N31" i="7" s="1"/>
  <c r="D34" i="7"/>
  <c r="N34" i="7" s="1"/>
  <c r="D26" i="7"/>
  <c r="N26" i="7" s="1"/>
  <c r="D27" i="7"/>
  <c r="N27" i="7" s="1"/>
  <c r="D28" i="7"/>
  <c r="N28" i="7" s="1"/>
  <c r="D75" i="7"/>
  <c r="D103" i="1"/>
  <c r="D53" i="7" s="1"/>
  <c r="N53" i="7" s="1"/>
  <c r="D20" i="5"/>
  <c r="L38" i="7"/>
  <c r="L9" i="8"/>
  <c r="AG9" i="8" l="1"/>
  <c r="AH9" i="8"/>
  <c r="F112" i="1"/>
  <c r="F113" i="1"/>
  <c r="F116" i="1"/>
  <c r="F110" i="1"/>
  <c r="F111" i="1"/>
  <c r="F114" i="1"/>
  <c r="F115" i="1"/>
  <c r="H118" i="1"/>
  <c r="G118" i="1"/>
  <c r="E118" i="1"/>
  <c r="AE9" i="8"/>
  <c r="G10" i="8"/>
  <c r="AE10" i="8" s="1"/>
  <c r="AA10" i="8"/>
  <c r="AD9" i="8"/>
  <c r="N8" i="8"/>
  <c r="B11" i="8"/>
  <c r="G11" i="8" s="1"/>
  <c r="Z10" i="8"/>
  <c r="W10" i="8"/>
  <c r="X10" i="8"/>
  <c r="Y10" i="8"/>
  <c r="D10" i="8"/>
  <c r="D11" i="8" s="1"/>
  <c r="E10" i="8"/>
  <c r="D118" i="1"/>
  <c r="N42" i="7"/>
  <c r="M42" i="7"/>
  <c r="K42" i="7"/>
  <c r="M25" i="7"/>
  <c r="N25" i="7"/>
  <c r="F10" i="8"/>
  <c r="K53" i="7"/>
  <c r="M53" i="7"/>
  <c r="L53" i="7"/>
  <c r="D50" i="7"/>
  <c r="D51" i="7"/>
  <c r="N51" i="7" s="1"/>
  <c r="M26" i="7"/>
  <c r="K26" i="7"/>
  <c r="L26" i="7"/>
  <c r="M29" i="7"/>
  <c r="K29" i="7"/>
  <c r="L29" i="7"/>
  <c r="M33" i="7"/>
  <c r="K33" i="7"/>
  <c r="L33" i="7"/>
  <c r="M34" i="7"/>
  <c r="K34" i="7"/>
  <c r="L34" i="7"/>
  <c r="M27" i="7"/>
  <c r="L27" i="7"/>
  <c r="K27" i="7"/>
  <c r="M30" i="7"/>
  <c r="K30" i="7"/>
  <c r="L30" i="7"/>
  <c r="M28" i="7"/>
  <c r="L28" i="7"/>
  <c r="K28" i="7"/>
  <c r="M31" i="7"/>
  <c r="L31" i="7"/>
  <c r="K31" i="7"/>
  <c r="M20" i="7"/>
  <c r="K20" i="7"/>
  <c r="AH10" i="8" l="1"/>
  <c r="AD10" i="8"/>
  <c r="AF10" i="8"/>
  <c r="AG10" i="8"/>
  <c r="F118" i="1"/>
  <c r="N9" i="8"/>
  <c r="S9" i="8" s="1"/>
  <c r="S8" i="8"/>
  <c r="AH11" i="8"/>
  <c r="AG11" i="8"/>
  <c r="AF11" i="8"/>
  <c r="AD11" i="8"/>
  <c r="AE11" i="8"/>
  <c r="B12" i="8"/>
  <c r="J10" i="8"/>
  <c r="E11" i="8"/>
  <c r="L10" i="8"/>
  <c r="I11" i="8"/>
  <c r="L11" i="8"/>
  <c r="K10" i="8"/>
  <c r="K11" i="8"/>
  <c r="J11" i="8"/>
  <c r="I10" i="8"/>
  <c r="F78" i="7"/>
  <c r="G78" i="7"/>
  <c r="I78" i="7"/>
  <c r="H78" i="7"/>
  <c r="D30" i="5"/>
  <c r="H30" i="5"/>
  <c r="E30" i="5"/>
  <c r="G30" i="5"/>
  <c r="F30" i="5"/>
  <c r="K50" i="7"/>
  <c r="N50" i="7"/>
  <c r="L50" i="7"/>
  <c r="M50" i="7"/>
  <c r="L51" i="7"/>
  <c r="M51" i="7"/>
  <c r="K51" i="7"/>
  <c r="L40" i="7"/>
  <c r="L11" i="7"/>
  <c r="M39" i="7"/>
  <c r="K46" i="7"/>
  <c r="M19" i="7"/>
  <c r="K14" i="7"/>
  <c r="M18" i="7"/>
  <c r="L16" i="7"/>
  <c r="L13" i="7"/>
  <c r="M15" i="7"/>
  <c r="K12" i="7"/>
  <c r="M12" i="7"/>
  <c r="L12" i="7"/>
  <c r="L18" i="7"/>
  <c r="K18" i="7"/>
  <c r="M46" i="7"/>
  <c r="K19" i="7"/>
  <c r="K13" i="7"/>
  <c r="K15" i="7"/>
  <c r="L19" i="7"/>
  <c r="L14" i="7"/>
  <c r="L15" i="7"/>
  <c r="M14" i="7"/>
  <c r="M40" i="7"/>
  <c r="K40" i="7"/>
  <c r="K11" i="7"/>
  <c r="L46" i="7"/>
  <c r="M16" i="7"/>
  <c r="M11" i="7"/>
  <c r="L39" i="7"/>
  <c r="K39" i="7"/>
  <c r="M13" i="7"/>
  <c r="K16" i="7"/>
  <c r="M10" i="7"/>
  <c r="N10" i="8" l="1"/>
  <c r="S10" i="8" s="1"/>
  <c r="H80" i="7"/>
  <c r="M80" i="7" s="1"/>
  <c r="G80" i="7"/>
  <c r="L80" i="7" s="1"/>
  <c r="I80" i="7"/>
  <c r="N80" i="7" s="1"/>
  <c r="F80" i="7"/>
  <c r="K80" i="7" s="1"/>
  <c r="F77" i="7"/>
  <c r="K77" i="7" s="1"/>
  <c r="H77" i="7"/>
  <c r="M77" i="7" s="1"/>
  <c r="G77" i="7"/>
  <c r="L77" i="7" s="1"/>
  <c r="I77" i="7"/>
  <c r="N77" i="7" s="1"/>
  <c r="G12" i="8"/>
  <c r="AG12" i="8" s="1"/>
  <c r="AA12" i="8"/>
  <c r="Y12" i="8"/>
  <c r="W12" i="8"/>
  <c r="E12" i="8"/>
  <c r="X12" i="8"/>
  <c r="N11" i="8"/>
  <c r="S11" i="8" s="1"/>
  <c r="B13" i="8"/>
  <c r="Z12" i="8"/>
  <c r="D12" i="8"/>
  <c r="F11" i="8"/>
  <c r="F82" i="7"/>
  <c r="K82" i="7" s="1"/>
  <c r="I82" i="7"/>
  <c r="N82" i="7" s="1"/>
  <c r="G82" i="7"/>
  <c r="L82" i="7" s="1"/>
  <c r="H82" i="7"/>
  <c r="M82" i="7" s="1"/>
  <c r="F75" i="7"/>
  <c r="K75" i="7" s="1"/>
  <c r="H76" i="7"/>
  <c r="M76" i="7" s="1"/>
  <c r="N78" i="7"/>
  <c r="G75" i="7"/>
  <c r="L75" i="7" s="1"/>
  <c r="L78" i="7"/>
  <c r="M78" i="7"/>
  <c r="F76" i="7"/>
  <c r="K76" i="7" s="1"/>
  <c r="K78" i="7"/>
  <c r="G76" i="7"/>
  <c r="L76" i="7" s="1"/>
  <c r="I76" i="7"/>
  <c r="N76" i="7" s="1"/>
  <c r="H75" i="7"/>
  <c r="M75" i="7" s="1"/>
  <c r="I75" i="7"/>
  <c r="N75" i="7" s="1"/>
  <c r="F12" i="8"/>
  <c r="D60" i="7"/>
  <c r="D127" i="1"/>
  <c r="D129" i="1" s="1"/>
  <c r="F127" i="1"/>
  <c r="F129" i="1" s="1"/>
  <c r="G127" i="1"/>
  <c r="H127" i="1"/>
  <c r="E127" i="1"/>
  <c r="AH12" i="8" l="1"/>
  <c r="AD12" i="8"/>
  <c r="F60" i="7"/>
  <c r="K60" i="7" s="1"/>
  <c r="AE12" i="8"/>
  <c r="AF12" i="8"/>
  <c r="G13" i="8"/>
  <c r="AG13" i="8" s="1"/>
  <c r="AA13" i="8"/>
  <c r="E13" i="8"/>
  <c r="Y13" i="8"/>
  <c r="X13" i="8"/>
  <c r="Z13" i="8"/>
  <c r="W13" i="8"/>
  <c r="B14" i="8"/>
  <c r="G14" i="8" s="1"/>
  <c r="AG14" i="8" s="1"/>
  <c r="J12" i="8"/>
  <c r="K12" i="8"/>
  <c r="I12" i="8"/>
  <c r="L12" i="8"/>
  <c r="D13" i="8"/>
  <c r="I60" i="7"/>
  <c r="N60" i="7" s="1"/>
  <c r="H60" i="7"/>
  <c r="M60" i="7" s="1"/>
  <c r="G60" i="7"/>
  <c r="L60" i="7" s="1"/>
  <c r="F13" i="8"/>
  <c r="E129" i="1"/>
  <c r="H129" i="1"/>
  <c r="G129" i="1"/>
  <c r="N12" i="8" l="1"/>
  <c r="S12" i="8" s="1"/>
  <c r="AE13" i="8"/>
  <c r="AF13" i="8"/>
  <c r="AH13" i="8"/>
  <c r="AD13" i="8"/>
  <c r="B15" i="8"/>
  <c r="AE14" i="8"/>
  <c r="E14" i="8"/>
  <c r="E15" i="8" s="1"/>
  <c r="AF14" i="8"/>
  <c r="AH14" i="8"/>
  <c r="AD14" i="8"/>
  <c r="D14" i="8"/>
  <c r="K13" i="8"/>
  <c r="L13" i="8"/>
  <c r="J13" i="8"/>
  <c r="I13" i="8"/>
  <c r="X15" i="8"/>
  <c r="H61" i="7"/>
  <c r="F61" i="7"/>
  <c r="G61" i="7"/>
  <c r="F14" i="8"/>
  <c r="F130" i="1"/>
  <c r="G130" i="1"/>
  <c r="H130" i="1"/>
  <c r="E130" i="1"/>
  <c r="D130" i="1"/>
  <c r="N13" i="8" l="1"/>
  <c r="S13" i="8" s="1"/>
  <c r="E133" i="1"/>
  <c r="N14" i="8"/>
  <c r="S14" i="8" s="1"/>
  <c r="G15" i="8"/>
  <c r="AA15" i="8"/>
  <c r="B16" i="8"/>
  <c r="W15" i="8"/>
  <c r="Y15" i="8"/>
  <c r="Z15" i="8"/>
  <c r="L14" i="8"/>
  <c r="D15" i="8"/>
  <c r="J14" i="8"/>
  <c r="I14" i="8"/>
  <c r="K14" i="8"/>
  <c r="I61" i="7"/>
  <c r="E16" i="8"/>
  <c r="F15" i="8"/>
  <c r="E136" i="1"/>
  <c r="H120" i="1" s="1"/>
  <c r="H124" i="1" s="1"/>
  <c r="E134" i="1"/>
  <c r="E135" i="1"/>
  <c r="G16" i="8" l="1"/>
  <c r="AA16" i="8"/>
  <c r="B17" i="8"/>
  <c r="W16" i="8"/>
  <c r="Z16" i="8"/>
  <c r="X16" i="8"/>
  <c r="Y16" i="8"/>
  <c r="AF15" i="8"/>
  <c r="AD15" i="8"/>
  <c r="AE15" i="8"/>
  <c r="AG15" i="8"/>
  <c r="AH15" i="8"/>
  <c r="K15" i="8"/>
  <c r="D16" i="8"/>
  <c r="I15" i="8"/>
  <c r="L15" i="8"/>
  <c r="J15" i="8"/>
  <c r="F16" i="8"/>
  <c r="E120" i="1"/>
  <c r="F120" i="1"/>
  <c r="D120" i="1"/>
  <c r="G120" i="1"/>
  <c r="G124" i="1" s="1"/>
  <c r="H31" i="5"/>
  <c r="G17" i="8" l="1"/>
  <c r="B18" i="8"/>
  <c r="N15" i="8"/>
  <c r="S15" i="8" s="1"/>
  <c r="E17" i="8"/>
  <c r="AF16" i="8"/>
  <c r="AG16" i="8"/>
  <c r="AE16" i="8"/>
  <c r="AH16" i="8"/>
  <c r="AD16" i="8"/>
  <c r="H34" i="5"/>
  <c r="I16" i="8"/>
  <c r="D17" i="8"/>
  <c r="L16" i="8"/>
  <c r="J16" i="8"/>
  <c r="K16" i="8"/>
  <c r="D31" i="5"/>
  <c r="D34" i="5" s="1"/>
  <c r="D35" i="5" s="1"/>
  <c r="D124" i="1"/>
  <c r="F31" i="5"/>
  <c r="F124" i="1"/>
  <c r="E31" i="5"/>
  <c r="E124" i="1"/>
  <c r="E18" i="8"/>
  <c r="F17" i="8"/>
  <c r="G31" i="5"/>
  <c r="G34" i="5" s="1"/>
  <c r="G18" i="8" l="1"/>
  <c r="AA18" i="8"/>
  <c r="X18" i="8"/>
  <c r="B19" i="8"/>
  <c r="Z18" i="8"/>
  <c r="W18" i="8"/>
  <c r="Y18" i="8"/>
  <c r="N16" i="8"/>
  <c r="S16" i="8" s="1"/>
  <c r="AG17" i="8"/>
  <c r="AD17" i="8"/>
  <c r="AE17" i="8"/>
  <c r="AF17" i="8"/>
  <c r="AH17" i="8"/>
  <c r="F34" i="5"/>
  <c r="E34" i="5"/>
  <c r="K17" i="8"/>
  <c r="L17" i="8"/>
  <c r="I17" i="8"/>
  <c r="J17" i="8"/>
  <c r="D18" i="8"/>
  <c r="D61" i="7"/>
  <c r="N61" i="7" s="1"/>
  <c r="N64" i="7" s="1"/>
  <c r="U3" i="8" s="1"/>
  <c r="E19" i="8"/>
  <c r="F18" i="8"/>
  <c r="G19" i="8" l="1"/>
  <c r="AA19" i="8"/>
  <c r="W19" i="8"/>
  <c r="Y19" i="8"/>
  <c r="B20" i="8"/>
  <c r="X19" i="8"/>
  <c r="Z19" i="8"/>
  <c r="N17" i="8"/>
  <c r="S17" i="8" s="1"/>
  <c r="AE18" i="8"/>
  <c r="AF18" i="8"/>
  <c r="AH18" i="8"/>
  <c r="AD18" i="8"/>
  <c r="AG18" i="8"/>
  <c r="D64" i="7"/>
  <c r="D19" i="8"/>
  <c r="L18" i="8"/>
  <c r="J18" i="8"/>
  <c r="I18" i="8"/>
  <c r="K18" i="8"/>
  <c r="U12" i="8"/>
  <c r="U5" i="8"/>
  <c r="U15" i="8"/>
  <c r="M61" i="7"/>
  <c r="M64" i="7" s="1"/>
  <c r="U10" i="8"/>
  <c r="L61" i="7"/>
  <c r="U16" i="8"/>
  <c r="K61" i="7"/>
  <c r="K64" i="7" s="1"/>
  <c r="U13" i="8"/>
  <c r="U8" i="8"/>
  <c r="U14" i="8"/>
  <c r="U17" i="8"/>
  <c r="U7" i="8"/>
  <c r="U4" i="8"/>
  <c r="U6" i="8"/>
  <c r="U11" i="8"/>
  <c r="U18" i="8"/>
  <c r="U9" i="8"/>
  <c r="F19" i="8"/>
  <c r="L64" i="7" l="1"/>
  <c r="N18" i="8"/>
  <c r="S18" i="8" s="1"/>
  <c r="AF19" i="8"/>
  <c r="AH19" i="8"/>
  <c r="AG19" i="8"/>
  <c r="AD19" i="8"/>
  <c r="AE19" i="8"/>
  <c r="G20" i="8"/>
  <c r="B21" i="8"/>
  <c r="E20" i="8"/>
  <c r="E21" i="8" s="1"/>
  <c r="AA17" i="8"/>
  <c r="AA5" i="8"/>
  <c r="AA11" i="8"/>
  <c r="AA14" i="8"/>
  <c r="AA8" i="8"/>
  <c r="P12" i="8"/>
  <c r="P14" i="8"/>
  <c r="P10" i="8"/>
  <c r="P3" i="8"/>
  <c r="P16" i="8"/>
  <c r="P15" i="8"/>
  <c r="P8" i="8"/>
  <c r="P17" i="8"/>
  <c r="P4" i="8"/>
  <c r="P7" i="8"/>
  <c r="P9" i="8"/>
  <c r="P6" i="8"/>
  <c r="P11" i="8"/>
  <c r="P5" i="8"/>
  <c r="P13" i="8"/>
  <c r="Q3" i="8"/>
  <c r="Q8" i="8"/>
  <c r="Q10" i="8"/>
  <c r="Q16" i="8"/>
  <c r="Q14" i="8"/>
  <c r="Q4" i="8"/>
  <c r="Q7" i="8"/>
  <c r="Q17" i="8"/>
  <c r="Q9" i="8"/>
  <c r="Q6" i="8"/>
  <c r="Q11" i="8"/>
  <c r="Q5" i="8"/>
  <c r="Q13" i="8"/>
  <c r="Q15" i="8"/>
  <c r="Q12" i="8"/>
  <c r="D20" i="8"/>
  <c r="L19" i="8"/>
  <c r="J19" i="8"/>
  <c r="K19" i="8"/>
  <c r="I19" i="8"/>
  <c r="T7" i="8"/>
  <c r="T4" i="8"/>
  <c r="T11" i="8"/>
  <c r="T5" i="8"/>
  <c r="T9" i="8"/>
  <c r="T6" i="8"/>
  <c r="T15" i="8"/>
  <c r="T17" i="8"/>
  <c r="T14" i="8"/>
  <c r="T18" i="8"/>
  <c r="T10" i="8"/>
  <c r="T8" i="8"/>
  <c r="T12" i="8"/>
  <c r="T16" i="8"/>
  <c r="T13" i="8"/>
  <c r="T3" i="8"/>
  <c r="T19" i="8"/>
  <c r="U19" i="8"/>
  <c r="F20" i="8"/>
  <c r="R7" i="8" l="1"/>
  <c r="D65" i="7"/>
  <c r="R10" i="8"/>
  <c r="R17" i="8"/>
  <c r="R13" i="8"/>
  <c r="R11" i="8"/>
  <c r="R6" i="8"/>
  <c r="R8" i="8"/>
  <c r="R4" i="8"/>
  <c r="R9" i="8"/>
  <c r="R12" i="8"/>
  <c r="R3" i="8"/>
  <c r="R16" i="8"/>
  <c r="R5" i="8"/>
  <c r="R14" i="8"/>
  <c r="R15" i="8"/>
  <c r="Q18" i="8"/>
  <c r="R18" i="8"/>
  <c r="P18" i="8"/>
  <c r="N19" i="8"/>
  <c r="G21" i="8"/>
  <c r="AA21" i="8"/>
  <c r="Y21" i="8"/>
  <c r="X21" i="8"/>
  <c r="W21" i="8"/>
  <c r="Z21" i="8"/>
  <c r="B22" i="8"/>
  <c r="AD20" i="8"/>
  <c r="AH20" i="8"/>
  <c r="AE20" i="8"/>
  <c r="AG20" i="8"/>
  <c r="AF20" i="8"/>
  <c r="Z5" i="8"/>
  <c r="U20" i="8"/>
  <c r="J20" i="8"/>
  <c r="I20" i="8"/>
  <c r="K20" i="8"/>
  <c r="L20" i="8"/>
  <c r="D21" i="8"/>
  <c r="Z14" i="8"/>
  <c r="X8" i="8"/>
  <c r="X11" i="8"/>
  <c r="Z11" i="8"/>
  <c r="X14" i="8"/>
  <c r="Z8" i="8"/>
  <c r="X5" i="8"/>
  <c r="Z17" i="8"/>
  <c r="X17" i="8"/>
  <c r="W8" i="8"/>
  <c r="W5" i="8"/>
  <c r="W11" i="8"/>
  <c r="W17" i="8"/>
  <c r="W14" i="8"/>
  <c r="T20" i="8"/>
  <c r="E22" i="8"/>
  <c r="F21" i="8"/>
  <c r="Y8" i="8" l="1"/>
  <c r="Y5" i="8"/>
  <c r="Y11" i="8"/>
  <c r="Y14" i="8"/>
  <c r="Y17" i="8"/>
  <c r="N20" i="8"/>
  <c r="S20" i="8" s="1"/>
  <c r="S19" i="8"/>
  <c r="P19" i="8"/>
  <c r="R19" i="8"/>
  <c r="Q19" i="8"/>
  <c r="G22" i="8"/>
  <c r="AA22" i="8"/>
  <c r="X22" i="8"/>
  <c r="B23" i="8"/>
  <c r="Z22" i="8"/>
  <c r="Y22" i="8"/>
  <c r="W22" i="8"/>
  <c r="AD21" i="8"/>
  <c r="AE21" i="8"/>
  <c r="AH21" i="8"/>
  <c r="AG21" i="8"/>
  <c r="AF21" i="8"/>
  <c r="U21" i="8"/>
  <c r="Z20" i="8"/>
  <c r="K21" i="8"/>
  <c r="L21" i="8"/>
  <c r="J21" i="8"/>
  <c r="I21" i="8"/>
  <c r="D22" i="8"/>
  <c r="F22" i="8"/>
  <c r="T21" i="8"/>
  <c r="R20" i="8" l="1"/>
  <c r="Y20" i="8" s="1"/>
  <c r="Q20" i="8"/>
  <c r="X20" i="8" s="1"/>
  <c r="P20" i="8"/>
  <c r="W20" i="8" s="1"/>
  <c r="AA20" i="8"/>
  <c r="N21" i="8"/>
  <c r="G23" i="8"/>
  <c r="B24" i="8"/>
  <c r="E23" i="8"/>
  <c r="E24" i="8" s="1"/>
  <c r="AG22" i="8"/>
  <c r="AF22" i="8"/>
  <c r="AH22" i="8"/>
  <c r="AD22" i="8"/>
  <c r="AE22" i="8"/>
  <c r="L22" i="8"/>
  <c r="J22" i="8"/>
  <c r="K22" i="8"/>
  <c r="I22" i="8"/>
  <c r="D23" i="8"/>
  <c r="U22" i="8"/>
  <c r="T22" i="8"/>
  <c r="F23" i="8"/>
  <c r="N22" i="8" l="1"/>
  <c r="S22" i="8" s="1"/>
  <c r="G24" i="8"/>
  <c r="AA24" i="8"/>
  <c r="W24" i="8"/>
  <c r="Y24" i="8"/>
  <c r="X24" i="8"/>
  <c r="B25" i="8"/>
  <c r="Z24" i="8"/>
  <c r="AE23" i="8"/>
  <c r="AH23" i="8"/>
  <c r="AD23" i="8"/>
  <c r="AG23" i="8"/>
  <c r="AF23" i="8"/>
  <c r="S21" i="8"/>
  <c r="P21" i="8"/>
  <c r="Q21" i="8"/>
  <c r="R21" i="8"/>
  <c r="U23" i="8"/>
  <c r="L23" i="8"/>
  <c r="K23" i="8"/>
  <c r="J23" i="8"/>
  <c r="D24" i="8"/>
  <c r="I23" i="8"/>
  <c r="T23" i="8"/>
  <c r="E25" i="8"/>
  <c r="F24" i="8"/>
  <c r="R22" i="8" l="1"/>
  <c r="P22" i="8"/>
  <c r="Q22" i="8"/>
  <c r="N23" i="8"/>
  <c r="S23" i="8" s="1"/>
  <c r="AA23" i="8" s="1"/>
  <c r="AD24" i="8"/>
  <c r="AH24" i="8"/>
  <c r="AG24" i="8"/>
  <c r="AF24" i="8"/>
  <c r="AE24" i="8"/>
  <c r="G25" i="8"/>
  <c r="AA25" i="8"/>
  <c r="B26" i="8"/>
  <c r="Y25" i="8"/>
  <c r="W25" i="8"/>
  <c r="Z25" i="8"/>
  <c r="X25" i="8"/>
  <c r="Z23" i="8"/>
  <c r="U24" i="8"/>
  <c r="D25" i="8"/>
  <c r="J24" i="8"/>
  <c r="K24" i="8"/>
  <c r="L24" i="8"/>
  <c r="I24" i="8"/>
  <c r="T24" i="8"/>
  <c r="E26" i="8"/>
  <c r="F25" i="8"/>
  <c r="Q23" i="8" l="1"/>
  <c r="X23" i="8" s="1"/>
  <c r="P23" i="8"/>
  <c r="W23" i="8" s="1"/>
  <c r="R23" i="8"/>
  <c r="Y23" i="8" s="1"/>
  <c r="AF25" i="8"/>
  <c r="AD25" i="8"/>
  <c r="AE25" i="8"/>
  <c r="AG25" i="8"/>
  <c r="AH25" i="8"/>
  <c r="G26" i="8"/>
  <c r="B27" i="8"/>
  <c r="N24" i="8"/>
  <c r="U25" i="8"/>
  <c r="J25" i="8"/>
  <c r="I25" i="8"/>
  <c r="D26" i="8"/>
  <c r="K25" i="8"/>
  <c r="L25" i="8"/>
  <c r="T25" i="8"/>
  <c r="F26" i="8"/>
  <c r="S24" i="8" l="1"/>
  <c r="P24" i="8"/>
  <c r="R24" i="8"/>
  <c r="Q24" i="8"/>
  <c r="G27" i="8"/>
  <c r="AA27" i="8"/>
  <c r="B28" i="8"/>
  <c r="Y27" i="8"/>
  <c r="X27" i="8"/>
  <c r="W27" i="8"/>
  <c r="Z27" i="8"/>
  <c r="N25" i="8"/>
  <c r="AF26" i="8"/>
  <c r="AG26" i="8"/>
  <c r="AE26" i="8"/>
  <c r="AD26" i="8"/>
  <c r="AH26" i="8"/>
  <c r="U26" i="8"/>
  <c r="J26" i="8"/>
  <c r="D27" i="8"/>
  <c r="E27" i="8" s="1"/>
  <c r="F27" i="8" s="1"/>
  <c r="I26" i="8"/>
  <c r="K26" i="8"/>
  <c r="L26" i="8"/>
  <c r="T26" i="8"/>
  <c r="N26" i="8" l="1"/>
  <c r="S26" i="8" s="1"/>
  <c r="G28" i="8"/>
  <c r="AA28" i="8"/>
  <c r="Z28" i="8"/>
  <c r="B29" i="8"/>
  <c r="W28" i="8"/>
  <c r="Y28" i="8"/>
  <c r="X28" i="8"/>
  <c r="AF27" i="8"/>
  <c r="AG27" i="8"/>
  <c r="AD27" i="8"/>
  <c r="AE27" i="8"/>
  <c r="AH27" i="8"/>
  <c r="S25" i="8"/>
  <c r="Q25" i="8"/>
  <c r="P25" i="8"/>
  <c r="R25" i="8"/>
  <c r="E28" i="8"/>
  <c r="F28" i="8" s="1"/>
  <c r="Z26" i="8"/>
  <c r="K27" i="8"/>
  <c r="I27" i="8"/>
  <c r="D28" i="8"/>
  <c r="J27" i="8"/>
  <c r="L27" i="8"/>
  <c r="U27" i="8"/>
  <c r="T27" i="8"/>
  <c r="E29" i="8" l="1"/>
  <c r="E30" i="8" s="1"/>
  <c r="P26" i="8"/>
  <c r="W26" i="8" s="1"/>
  <c r="Q26" i="8"/>
  <c r="X26" i="8" s="1"/>
  <c r="R26" i="8"/>
  <c r="Y26" i="8" s="1"/>
  <c r="AA26" i="8"/>
  <c r="G29" i="8"/>
  <c r="B30" i="8"/>
  <c r="N27" i="8"/>
  <c r="AH28" i="8"/>
  <c r="AG28" i="8"/>
  <c r="AD28" i="8"/>
  <c r="AF28" i="8"/>
  <c r="AE28" i="8"/>
  <c r="U28" i="8"/>
  <c r="K28" i="8"/>
  <c r="J28" i="8"/>
  <c r="I28" i="8"/>
  <c r="L28" i="8"/>
  <c r="D29" i="8"/>
  <c r="T28" i="8"/>
  <c r="F29" i="8"/>
  <c r="N28" i="8" l="1"/>
  <c r="S28" i="8" s="1"/>
  <c r="S27" i="8"/>
  <c r="Q27" i="8"/>
  <c r="P27" i="8"/>
  <c r="R27" i="8"/>
  <c r="G30" i="8"/>
  <c r="AA30" i="8"/>
  <c r="W30" i="8"/>
  <c r="B31" i="8"/>
  <c r="Z30" i="8"/>
  <c r="Y30" i="8"/>
  <c r="X30" i="8"/>
  <c r="AE29" i="8"/>
  <c r="AG29" i="8"/>
  <c r="AD29" i="8"/>
  <c r="AH29" i="8"/>
  <c r="AF29" i="8"/>
  <c r="U29" i="8"/>
  <c r="K29" i="8"/>
  <c r="L29" i="8"/>
  <c r="I29" i="8"/>
  <c r="J29" i="8"/>
  <c r="D30" i="8"/>
  <c r="T29" i="8"/>
  <c r="E31" i="8"/>
  <c r="F30" i="8"/>
  <c r="P28" i="8" l="1"/>
  <c r="Q28" i="8"/>
  <c r="R28" i="8"/>
  <c r="AH30" i="8"/>
  <c r="AG30" i="8"/>
  <c r="AD30" i="8"/>
  <c r="AF30" i="8"/>
  <c r="AE30" i="8"/>
  <c r="G31" i="8"/>
  <c r="AA31" i="8"/>
  <c r="Y31" i="8"/>
  <c r="B32" i="8"/>
  <c r="X31" i="8"/>
  <c r="W31" i="8"/>
  <c r="Z31" i="8"/>
  <c r="N29" i="8"/>
  <c r="Z29" i="8"/>
  <c r="I30" i="8"/>
  <c r="L30" i="8"/>
  <c r="J30" i="8"/>
  <c r="D31" i="8"/>
  <c r="K30" i="8"/>
  <c r="U30" i="8"/>
  <c r="T30" i="8"/>
  <c r="E32" i="8"/>
  <c r="F31" i="8"/>
  <c r="N30" i="8" l="1"/>
  <c r="S30" i="8" s="1"/>
  <c r="AE31" i="8"/>
  <c r="AH31" i="8"/>
  <c r="AG31" i="8"/>
  <c r="AF31" i="8"/>
  <c r="AD31" i="8"/>
  <c r="S29" i="8"/>
  <c r="AA29" i="8" s="1"/>
  <c r="P29" i="8"/>
  <c r="W29" i="8" s="1"/>
  <c r="Q29" i="8"/>
  <c r="X29" i="8" s="1"/>
  <c r="R29" i="8"/>
  <c r="Y29" i="8" s="1"/>
  <c r="G32" i="8"/>
  <c r="B33" i="8"/>
  <c r="K31" i="8"/>
  <c r="L31" i="8"/>
  <c r="I31" i="8"/>
  <c r="D32" i="8"/>
  <c r="J31" i="8"/>
  <c r="U31" i="8"/>
  <c r="T31" i="8"/>
  <c r="E33" i="8"/>
  <c r="F32" i="8"/>
  <c r="P30" i="8" l="1"/>
  <c r="R30" i="8"/>
  <c r="Q30" i="8"/>
  <c r="G33" i="8"/>
  <c r="AA33" i="8"/>
  <c r="X33" i="8"/>
  <c r="Y33" i="8"/>
  <c r="Z33" i="8"/>
  <c r="W33" i="8"/>
  <c r="B34" i="8"/>
  <c r="AH32" i="8"/>
  <c r="AG32" i="8"/>
  <c r="AF32" i="8"/>
  <c r="AD32" i="8"/>
  <c r="AE32" i="8"/>
  <c r="N31" i="8"/>
  <c r="L32" i="8"/>
  <c r="I32" i="8"/>
  <c r="J32" i="8"/>
  <c r="K32" i="8"/>
  <c r="D33" i="8"/>
  <c r="U32" i="8"/>
  <c r="T32" i="8"/>
  <c r="F33" i="8"/>
  <c r="G34" i="8" l="1"/>
  <c r="AA34" i="8"/>
  <c r="B35" i="8"/>
  <c r="Z34" i="8"/>
  <c r="Y34" i="8"/>
  <c r="W34" i="8"/>
  <c r="X34" i="8"/>
  <c r="S31" i="8"/>
  <c r="P31" i="8"/>
  <c r="R31" i="8"/>
  <c r="Q31" i="8"/>
  <c r="E34" i="8"/>
  <c r="E35" i="8" s="1"/>
  <c r="N32" i="8"/>
  <c r="AF33" i="8"/>
  <c r="AE33" i="8"/>
  <c r="AH33" i="8"/>
  <c r="AD33" i="8"/>
  <c r="AG33" i="8"/>
  <c r="U33" i="8"/>
  <c r="K33" i="8"/>
  <c r="L33" i="8"/>
  <c r="I33" i="8"/>
  <c r="J33" i="8"/>
  <c r="D34" i="8"/>
  <c r="Z32" i="8"/>
  <c r="T33" i="8"/>
  <c r="F34" i="8"/>
  <c r="S32" i="8" l="1"/>
  <c r="AA32" i="8" s="1"/>
  <c r="P32" i="8"/>
  <c r="W32" i="8" s="1"/>
  <c r="R32" i="8"/>
  <c r="Y32" i="8" s="1"/>
  <c r="Q32" i="8"/>
  <c r="X32" i="8" s="1"/>
  <c r="G35" i="8"/>
  <c r="B36" i="8"/>
  <c r="N33" i="8"/>
  <c r="AD34" i="8"/>
  <c r="AH34" i="8"/>
  <c r="AF34" i="8"/>
  <c r="AG34" i="8"/>
  <c r="AE34" i="8"/>
  <c r="J34" i="8"/>
  <c r="D35" i="8"/>
  <c r="K34" i="8"/>
  <c r="L34" i="8"/>
  <c r="I34" i="8"/>
  <c r="U34" i="8"/>
  <c r="T34" i="8"/>
  <c r="F35" i="8"/>
  <c r="AH35" i="8" l="1"/>
  <c r="AG35" i="8"/>
  <c r="AF35" i="8"/>
  <c r="AD35" i="8"/>
  <c r="AE35" i="8"/>
  <c r="S33" i="8"/>
  <c r="P33" i="8"/>
  <c r="R33" i="8"/>
  <c r="Q33" i="8"/>
  <c r="G36" i="8"/>
  <c r="AA36" i="8"/>
  <c r="W36" i="8"/>
  <c r="Z36" i="8"/>
  <c r="X36" i="8"/>
  <c r="Y36" i="8"/>
  <c r="B37" i="8"/>
  <c r="E36" i="8"/>
  <c r="F36" i="8" s="1"/>
  <c r="N34" i="8"/>
  <c r="U35" i="8"/>
  <c r="I35" i="8"/>
  <c r="D36" i="8"/>
  <c r="K35" i="8"/>
  <c r="J35" i="8"/>
  <c r="L35" i="8"/>
  <c r="T35" i="8"/>
  <c r="G37" i="8" l="1"/>
  <c r="AA37" i="8"/>
  <c r="X37" i="8"/>
  <c r="Y37" i="8"/>
  <c r="Z37" i="8"/>
  <c r="W37" i="8"/>
  <c r="B38" i="8"/>
  <c r="E37" i="8"/>
  <c r="F37" i="8" s="1"/>
  <c r="N35" i="8"/>
  <c r="AE36" i="8"/>
  <c r="AD36" i="8"/>
  <c r="AH36" i="8"/>
  <c r="AG36" i="8"/>
  <c r="AF36" i="8"/>
  <c r="S34" i="8"/>
  <c r="P34" i="8"/>
  <c r="R34" i="8"/>
  <c r="Q34" i="8"/>
  <c r="Z35" i="8"/>
  <c r="U36" i="8"/>
  <c r="D37" i="8"/>
  <c r="J36" i="8"/>
  <c r="K36" i="8"/>
  <c r="I36" i="8"/>
  <c r="L36" i="8"/>
  <c r="T36" i="8"/>
  <c r="G38" i="8" l="1"/>
  <c r="B39" i="8"/>
  <c r="E38" i="8"/>
  <c r="N36" i="8"/>
  <c r="AF37" i="8"/>
  <c r="AG37" i="8"/>
  <c r="AD37" i="8"/>
  <c r="AH37" i="8"/>
  <c r="AE37" i="8"/>
  <c r="S35" i="8"/>
  <c r="AA35" i="8" s="1"/>
  <c r="Q35" i="8"/>
  <c r="X35" i="8" s="1"/>
  <c r="R35" i="8"/>
  <c r="Y35" i="8" s="1"/>
  <c r="P35" i="8"/>
  <c r="W35" i="8" s="1"/>
  <c r="K37" i="8"/>
  <c r="L37" i="8"/>
  <c r="J37" i="8"/>
  <c r="D38" i="8"/>
  <c r="I37" i="8"/>
  <c r="U37" i="8"/>
  <c r="T37" i="8"/>
  <c r="E39" i="8"/>
  <c r="F39" i="8" s="1"/>
  <c r="F38" i="8"/>
  <c r="N37" i="8" l="1"/>
  <c r="S37" i="8" s="1"/>
  <c r="S36" i="8"/>
  <c r="R36" i="8"/>
  <c r="Q36" i="8"/>
  <c r="P36" i="8"/>
  <c r="G39" i="8"/>
  <c r="AA39" i="8"/>
  <c r="Z39" i="8"/>
  <c r="X39" i="8"/>
  <c r="B40" i="8"/>
  <c r="Y39" i="8"/>
  <c r="W39" i="8"/>
  <c r="AF38" i="8"/>
  <c r="AE38" i="8"/>
  <c r="AD38" i="8"/>
  <c r="AH38" i="8"/>
  <c r="AG38" i="8"/>
  <c r="U38" i="8"/>
  <c r="I38" i="8"/>
  <c r="D39" i="8"/>
  <c r="J38" i="8"/>
  <c r="K38" i="8"/>
  <c r="L38" i="8"/>
  <c r="T38" i="8"/>
  <c r="E40" i="8"/>
  <c r="U39" i="8"/>
  <c r="N38" i="8" l="1"/>
  <c r="S38" i="8" s="1"/>
  <c r="AA38" i="8" s="1"/>
  <c r="Q37" i="8"/>
  <c r="R37" i="8"/>
  <c r="P37" i="8"/>
  <c r="AD39" i="8"/>
  <c r="AE39" i="8"/>
  <c r="AH39" i="8"/>
  <c r="AG39" i="8"/>
  <c r="AF39" i="8"/>
  <c r="G40" i="8"/>
  <c r="AA40" i="8"/>
  <c r="B41" i="8"/>
  <c r="Z40" i="8"/>
  <c r="Y40" i="8"/>
  <c r="W40" i="8"/>
  <c r="X40" i="8"/>
  <c r="Z38" i="8"/>
  <c r="I39" i="8"/>
  <c r="J39" i="8"/>
  <c r="K39" i="8"/>
  <c r="L39" i="8"/>
  <c r="D40" i="8"/>
  <c r="T39" i="8"/>
  <c r="F40" i="8"/>
  <c r="Q38" i="8" l="1"/>
  <c r="X38" i="8" s="1"/>
  <c r="P38" i="8"/>
  <c r="W38" i="8" s="1"/>
  <c r="R38" i="8"/>
  <c r="Y38" i="8" s="1"/>
  <c r="G41" i="8"/>
  <c r="B42" i="8"/>
  <c r="AG40" i="8"/>
  <c r="AE40" i="8"/>
  <c r="AF40" i="8"/>
  <c r="AD40" i="8"/>
  <c r="AH40" i="8"/>
  <c r="N39" i="8"/>
  <c r="E41" i="8"/>
  <c r="E42" i="8" s="1"/>
  <c r="U40" i="8"/>
  <c r="L40" i="8"/>
  <c r="I40" i="8"/>
  <c r="D41" i="8"/>
  <c r="K40" i="8"/>
  <c r="J40" i="8"/>
  <c r="T40" i="8"/>
  <c r="F41" i="8"/>
  <c r="S39" i="8" l="1"/>
  <c r="R39" i="8"/>
  <c r="P39" i="8"/>
  <c r="Q39" i="8"/>
  <c r="N40" i="8"/>
  <c r="G42" i="8"/>
  <c r="AA42" i="8"/>
  <c r="W42" i="8"/>
  <c r="Z42" i="8"/>
  <c r="B43" i="8"/>
  <c r="X42" i="8"/>
  <c r="Y42" i="8"/>
  <c r="AD41" i="8"/>
  <c r="AH41" i="8"/>
  <c r="AE41" i="8"/>
  <c r="AG41" i="8"/>
  <c r="AF41" i="8"/>
  <c r="U41" i="8"/>
  <c r="K41" i="8"/>
  <c r="L41" i="8"/>
  <c r="J41" i="8"/>
  <c r="I41" i="8"/>
  <c r="D42" i="8"/>
  <c r="T41" i="8"/>
  <c r="F42" i="8"/>
  <c r="N41" i="8" l="1"/>
  <c r="AE42" i="8"/>
  <c r="AD42" i="8"/>
  <c r="AH42" i="8"/>
  <c r="AG42" i="8"/>
  <c r="AF42" i="8"/>
  <c r="S40" i="8"/>
  <c r="R40" i="8"/>
  <c r="Q40" i="8"/>
  <c r="P40" i="8"/>
  <c r="G43" i="8"/>
  <c r="AA43" i="8"/>
  <c r="B44" i="8"/>
  <c r="Z43" i="8"/>
  <c r="W43" i="8"/>
  <c r="X43" i="8"/>
  <c r="Y43" i="8"/>
  <c r="E43" i="8"/>
  <c r="U42" i="8"/>
  <c r="K42" i="8"/>
  <c r="L42" i="8"/>
  <c r="I42" i="8"/>
  <c r="J42" i="8"/>
  <c r="D43" i="8"/>
  <c r="Z41" i="8"/>
  <c r="E44" i="8"/>
  <c r="F43" i="8"/>
  <c r="T42" i="8"/>
  <c r="G44" i="8" l="1"/>
  <c r="B45" i="8"/>
  <c r="AE43" i="8"/>
  <c r="AG43" i="8"/>
  <c r="AD43" i="8"/>
  <c r="AF43" i="8"/>
  <c r="AH43" i="8"/>
  <c r="N42" i="8"/>
  <c r="S41" i="8"/>
  <c r="AA41" i="8" s="1"/>
  <c r="R41" i="8"/>
  <c r="Y41" i="8" s="1"/>
  <c r="P41" i="8"/>
  <c r="W41" i="8" s="1"/>
  <c r="Q41" i="8"/>
  <c r="X41" i="8" s="1"/>
  <c r="D44" i="8"/>
  <c r="J43" i="8"/>
  <c r="K43" i="8"/>
  <c r="L43" i="8"/>
  <c r="I43" i="8"/>
  <c r="U43" i="8"/>
  <c r="T43" i="8"/>
  <c r="E45" i="8"/>
  <c r="F44" i="8"/>
  <c r="N43" i="8" l="1"/>
  <c r="G45" i="8"/>
  <c r="AA45" i="8"/>
  <c r="B46" i="8"/>
  <c r="Y45" i="8"/>
  <c r="Z45" i="8"/>
  <c r="X45" i="8"/>
  <c r="W45" i="8"/>
  <c r="F45" i="8"/>
  <c r="E46" i="8"/>
  <c r="AG44" i="8"/>
  <c r="AF44" i="8"/>
  <c r="AD44" i="8"/>
  <c r="AH44" i="8"/>
  <c r="AE44" i="8"/>
  <c r="S42" i="8"/>
  <c r="Q42" i="8"/>
  <c r="P42" i="8"/>
  <c r="R42" i="8"/>
  <c r="K44" i="8"/>
  <c r="I44" i="8"/>
  <c r="J44" i="8"/>
  <c r="D45" i="8"/>
  <c r="L44" i="8"/>
  <c r="U44" i="8"/>
  <c r="T44" i="8"/>
  <c r="N44" i="8" l="1"/>
  <c r="G46" i="8"/>
  <c r="AA46" i="8"/>
  <c r="F46" i="8"/>
  <c r="B47" i="8"/>
  <c r="X46" i="8"/>
  <c r="W46" i="8"/>
  <c r="Z46" i="8"/>
  <c r="Y46" i="8"/>
  <c r="AE45" i="8"/>
  <c r="AH45" i="8"/>
  <c r="AD45" i="8"/>
  <c r="AG45" i="8"/>
  <c r="AF45" i="8"/>
  <c r="T45" i="8"/>
  <c r="U45" i="8"/>
  <c r="S43" i="8"/>
  <c r="P43" i="8"/>
  <c r="R43" i="8"/>
  <c r="Q43" i="8"/>
  <c r="Z44" i="8"/>
  <c r="I45" i="8"/>
  <c r="J45" i="8"/>
  <c r="K45" i="8"/>
  <c r="D46" i="8"/>
  <c r="L45" i="8"/>
  <c r="G47" i="8" l="1"/>
  <c r="B48" i="8"/>
  <c r="N45" i="8"/>
  <c r="U46" i="8"/>
  <c r="T46" i="8"/>
  <c r="AH46" i="8"/>
  <c r="AD46" i="8"/>
  <c r="AF46" i="8"/>
  <c r="AG46" i="8"/>
  <c r="AE46" i="8"/>
  <c r="S44" i="8"/>
  <c r="AA44" i="8" s="1"/>
  <c r="P44" i="8"/>
  <c r="W44" i="8" s="1"/>
  <c r="Q44" i="8"/>
  <c r="X44" i="8" s="1"/>
  <c r="R44" i="8"/>
  <c r="Y44" i="8" s="1"/>
  <c r="E47" i="8"/>
  <c r="E48" i="8" s="1"/>
  <c r="L46" i="8"/>
  <c r="D47" i="8"/>
  <c r="I46" i="8"/>
  <c r="J46" i="8"/>
  <c r="K46" i="8"/>
  <c r="F47" i="8" l="1"/>
  <c r="S45" i="8"/>
  <c r="Q45" i="8"/>
  <c r="R45" i="8"/>
  <c r="P45" i="8"/>
  <c r="T47" i="8"/>
  <c r="U47" i="8"/>
  <c r="G48" i="8"/>
  <c r="AA48" i="8"/>
  <c r="Z48" i="8"/>
  <c r="X48" i="8"/>
  <c r="F48" i="8"/>
  <c r="Y48" i="8"/>
  <c r="W48" i="8"/>
  <c r="B49" i="8"/>
  <c r="E49" i="8"/>
  <c r="AF47" i="8"/>
  <c r="AD47" i="8"/>
  <c r="AE47" i="8"/>
  <c r="AG47" i="8"/>
  <c r="AH47" i="8"/>
  <c r="N46" i="8"/>
  <c r="J47" i="8"/>
  <c r="K47" i="8"/>
  <c r="I47" i="8"/>
  <c r="D48" i="8"/>
  <c r="L47" i="8"/>
  <c r="Z47" i="8" l="1"/>
  <c r="T48" i="8"/>
  <c r="U48" i="8"/>
  <c r="S46" i="8"/>
  <c r="R46" i="8"/>
  <c r="Q46" i="8"/>
  <c r="P46" i="8"/>
  <c r="N47" i="8"/>
  <c r="AG48" i="8"/>
  <c r="AF48" i="8"/>
  <c r="AD48" i="8"/>
  <c r="AE48" i="8"/>
  <c r="AH48" i="8"/>
  <c r="G49" i="8"/>
  <c r="AA49" i="8"/>
  <c r="Y49" i="8"/>
  <c r="Z49" i="8"/>
  <c r="F49" i="8"/>
  <c r="W49" i="8"/>
  <c r="X49" i="8"/>
  <c r="B50" i="8"/>
  <c r="I48" i="8"/>
  <c r="D49" i="8"/>
  <c r="K48" i="8"/>
  <c r="J48" i="8"/>
  <c r="L48" i="8"/>
  <c r="AE49" i="8" l="1"/>
  <c r="AD49" i="8"/>
  <c r="AH49" i="8"/>
  <c r="AG49" i="8"/>
  <c r="AF49" i="8"/>
  <c r="S47" i="8"/>
  <c r="AA47" i="8" s="1"/>
  <c r="R47" i="8"/>
  <c r="Y47" i="8" s="1"/>
  <c r="Q47" i="8"/>
  <c r="X47" i="8" s="1"/>
  <c r="P47" i="8"/>
  <c r="W47" i="8" s="1"/>
  <c r="U49" i="8"/>
  <c r="T49" i="8"/>
  <c r="N48" i="8"/>
  <c r="G50" i="8"/>
  <c r="B51" i="8"/>
  <c r="L49" i="8"/>
  <c r="I49" i="8"/>
  <c r="J49" i="8"/>
  <c r="K49" i="8"/>
  <c r="D50" i="8"/>
  <c r="N49" i="8" l="1"/>
  <c r="G51" i="8"/>
  <c r="AA51" i="8"/>
  <c r="Z51" i="8"/>
  <c r="W51" i="8"/>
  <c r="Y51" i="8"/>
  <c r="X51" i="8"/>
  <c r="B52" i="8"/>
  <c r="AG50" i="8"/>
  <c r="AF50" i="8"/>
  <c r="AE50" i="8"/>
  <c r="AD50" i="8"/>
  <c r="AH50" i="8"/>
  <c r="S48" i="8"/>
  <c r="P48" i="8"/>
  <c r="Q48" i="8"/>
  <c r="R48" i="8"/>
  <c r="C37" i="5"/>
  <c r="E50" i="8"/>
  <c r="J50" i="8"/>
  <c r="K50" i="8"/>
  <c r="I50" i="8"/>
  <c r="D51" i="8"/>
  <c r="L50" i="8"/>
  <c r="G52" i="8" l="1"/>
  <c r="AA52" i="8"/>
  <c r="Y52" i="8"/>
  <c r="Z52" i="8"/>
  <c r="W52" i="8"/>
  <c r="X52" i="8"/>
  <c r="B53" i="8"/>
  <c r="N50" i="8"/>
  <c r="S50" i="8" s="1"/>
  <c r="AH51" i="8"/>
  <c r="AG51" i="8"/>
  <c r="AF51" i="8"/>
  <c r="AD51" i="8"/>
  <c r="AE51" i="8"/>
  <c r="S49" i="8"/>
  <c r="P49" i="8"/>
  <c r="R49" i="8"/>
  <c r="Q49" i="8"/>
  <c r="F50" i="8"/>
  <c r="E51" i="8"/>
  <c r="H43" i="5"/>
  <c r="D43" i="5"/>
  <c r="G43" i="5"/>
  <c r="L51" i="8"/>
  <c r="J51" i="8"/>
  <c r="K51" i="8"/>
  <c r="D52" i="8"/>
  <c r="I51" i="8"/>
  <c r="N51" i="8" l="1"/>
  <c r="S51" i="8" s="1"/>
  <c r="G53" i="8"/>
  <c r="B54" i="8"/>
  <c r="AE52" i="8"/>
  <c r="AH52" i="8"/>
  <c r="AG52" i="8"/>
  <c r="AD52" i="8"/>
  <c r="AF52" i="8"/>
  <c r="E52" i="8"/>
  <c r="F51" i="8"/>
  <c r="Q50" i="8"/>
  <c r="X50" i="8" s="1"/>
  <c r="P50" i="8"/>
  <c r="W50" i="8" s="1"/>
  <c r="U50" i="8"/>
  <c r="AA50" i="8" s="1"/>
  <c r="R50" i="8"/>
  <c r="Y50" i="8" s="1"/>
  <c r="T50" i="8"/>
  <c r="Z50" i="8" s="1"/>
  <c r="I52" i="8"/>
  <c r="D53" i="8"/>
  <c r="K52" i="8"/>
  <c r="J52" i="8"/>
  <c r="L52" i="8"/>
  <c r="N52" i="8" l="1"/>
  <c r="S52" i="8" s="1"/>
  <c r="AA54" i="8"/>
  <c r="X54" i="8"/>
  <c r="G54" i="8"/>
  <c r="Z54" i="8"/>
  <c r="B55" i="8"/>
  <c r="W54" i="8"/>
  <c r="Y54" i="8"/>
  <c r="AH53" i="8"/>
  <c r="AF53" i="8"/>
  <c r="AG53" i="8"/>
  <c r="AD53" i="8"/>
  <c r="AE53" i="8"/>
  <c r="U51" i="8"/>
  <c r="T51" i="8"/>
  <c r="P51" i="8"/>
  <c r="R51" i="8"/>
  <c r="Q51" i="8"/>
  <c r="F52" i="8"/>
  <c r="E53" i="8"/>
  <c r="L53" i="8"/>
  <c r="I53" i="8"/>
  <c r="D54" i="8"/>
  <c r="J53" i="8"/>
  <c r="K53" i="8"/>
  <c r="G55" i="8" l="1"/>
  <c r="AA55" i="8"/>
  <c r="W55" i="8"/>
  <c r="Y55" i="8"/>
  <c r="B56" i="8"/>
  <c r="Z55" i="8"/>
  <c r="X55" i="8"/>
  <c r="AD54" i="8"/>
  <c r="AH54" i="8"/>
  <c r="AG54" i="8"/>
  <c r="AE54" i="8"/>
  <c r="AF54" i="8"/>
  <c r="N53" i="8"/>
  <c r="S53" i="8" s="1"/>
  <c r="F53" i="8"/>
  <c r="E54" i="8"/>
  <c r="U52" i="8"/>
  <c r="T52" i="8"/>
  <c r="P52" i="8"/>
  <c r="R52" i="8"/>
  <c r="Q52" i="8"/>
  <c r="D55" i="8"/>
  <c r="L54" i="8"/>
  <c r="I54" i="8"/>
  <c r="J54" i="8"/>
  <c r="K54" i="8"/>
  <c r="N54" i="8" l="1"/>
  <c r="S54" i="8" s="1"/>
  <c r="G56" i="8"/>
  <c r="B57" i="8"/>
  <c r="AF55" i="8"/>
  <c r="AH55" i="8"/>
  <c r="AE55" i="8"/>
  <c r="AG55" i="8"/>
  <c r="AD55" i="8"/>
  <c r="F54" i="8"/>
  <c r="E55" i="8"/>
  <c r="U53" i="8"/>
  <c r="AA53" i="8" s="1"/>
  <c r="T53" i="8"/>
  <c r="Z53" i="8" s="1"/>
  <c r="P53" i="8"/>
  <c r="W53" i="8" s="1"/>
  <c r="R53" i="8"/>
  <c r="Y53" i="8" s="1"/>
  <c r="Q53" i="8"/>
  <c r="X53" i="8" s="1"/>
  <c r="L55" i="8"/>
  <c r="D56" i="8"/>
  <c r="J55" i="8"/>
  <c r="I55" i="8"/>
  <c r="K55" i="8"/>
  <c r="N55" i="8" l="1"/>
  <c r="S55" i="8" s="1"/>
  <c r="G57" i="8"/>
  <c r="AA57" i="8"/>
  <c r="X57" i="8"/>
  <c r="Z57" i="8"/>
  <c r="B58" i="8"/>
  <c r="W57" i="8"/>
  <c r="Y57" i="8"/>
  <c r="AG56" i="8"/>
  <c r="AF56" i="8"/>
  <c r="AE56" i="8"/>
  <c r="AH56" i="8"/>
  <c r="AD56" i="8"/>
  <c r="F55" i="8"/>
  <c r="E56" i="8"/>
  <c r="T54" i="8"/>
  <c r="U54" i="8"/>
  <c r="Q54" i="8"/>
  <c r="R54" i="8"/>
  <c r="P54" i="8"/>
  <c r="K56" i="8"/>
  <c r="J56" i="8"/>
  <c r="L56" i="8"/>
  <c r="I56" i="8"/>
  <c r="D57" i="8"/>
  <c r="G58" i="8" l="1"/>
  <c r="AA58" i="8"/>
  <c r="Z58" i="8"/>
  <c r="X58" i="8"/>
  <c r="B59" i="8"/>
  <c r="Y58" i="8"/>
  <c r="W58" i="8"/>
  <c r="N56" i="8"/>
  <c r="S56" i="8" s="1"/>
  <c r="AH57" i="8"/>
  <c r="AF57" i="8"/>
  <c r="AD57" i="8"/>
  <c r="AE57" i="8"/>
  <c r="AG57" i="8"/>
  <c r="F56" i="8"/>
  <c r="E57" i="8"/>
  <c r="T55" i="8"/>
  <c r="U55" i="8"/>
  <c r="Q55" i="8"/>
  <c r="R55" i="8"/>
  <c r="P55" i="8"/>
  <c r="D58" i="8"/>
  <c r="K57" i="8"/>
  <c r="L57" i="8"/>
  <c r="I57" i="8"/>
  <c r="J57" i="8"/>
  <c r="G59" i="8" l="1"/>
  <c r="B60" i="8"/>
  <c r="N57" i="8"/>
  <c r="S57" i="8" s="1"/>
  <c r="AD58" i="8"/>
  <c r="AG58" i="8"/>
  <c r="AH58" i="8"/>
  <c r="AF58" i="8"/>
  <c r="AE58" i="8"/>
  <c r="F57" i="8"/>
  <c r="E58" i="8"/>
  <c r="T56" i="8"/>
  <c r="Z56" i="8" s="1"/>
  <c r="U56" i="8"/>
  <c r="AA56" i="8" s="1"/>
  <c r="Q56" i="8"/>
  <c r="X56" i="8" s="1"/>
  <c r="P56" i="8"/>
  <c r="W56" i="8" s="1"/>
  <c r="R56" i="8"/>
  <c r="Y56" i="8" s="1"/>
  <c r="J58" i="8"/>
  <c r="K58" i="8"/>
  <c r="D59" i="8"/>
  <c r="L58" i="8"/>
  <c r="I58" i="8"/>
  <c r="N58" i="8" l="1"/>
  <c r="S58" i="8" s="1"/>
  <c r="G60" i="8"/>
  <c r="AA60" i="8"/>
  <c r="W60" i="8"/>
  <c r="B61" i="8"/>
  <c r="Z60" i="8"/>
  <c r="X60" i="8"/>
  <c r="Y60" i="8"/>
  <c r="AG59" i="8"/>
  <c r="AF59" i="8"/>
  <c r="AD59" i="8"/>
  <c r="AE59" i="8"/>
  <c r="AH59" i="8"/>
  <c r="F58" i="8"/>
  <c r="E59" i="8"/>
  <c r="R57" i="8"/>
  <c r="U57" i="8"/>
  <c r="P57" i="8"/>
  <c r="Q57" i="8"/>
  <c r="T57" i="8"/>
  <c r="J59" i="8"/>
  <c r="K59" i="8"/>
  <c r="L59" i="8"/>
  <c r="D60" i="8"/>
  <c r="I59" i="8"/>
  <c r="G61" i="8" l="1"/>
  <c r="AA61" i="8"/>
  <c r="Z61" i="8"/>
  <c r="B62" i="8"/>
  <c r="W61" i="8"/>
  <c r="Y61" i="8"/>
  <c r="X61" i="8"/>
  <c r="N59" i="8"/>
  <c r="S59" i="8" s="1"/>
  <c r="AE60" i="8"/>
  <c r="AG60" i="8"/>
  <c r="AH60" i="8"/>
  <c r="AD60" i="8"/>
  <c r="AF60" i="8"/>
  <c r="F59" i="8"/>
  <c r="E60" i="8"/>
  <c r="T58" i="8"/>
  <c r="U58" i="8"/>
  <c r="R58" i="8"/>
  <c r="P58" i="8"/>
  <c r="Q58" i="8"/>
  <c r="D61" i="8"/>
  <c r="I60" i="8"/>
  <c r="K60" i="8"/>
  <c r="L60" i="8"/>
  <c r="J60" i="8"/>
  <c r="N60" i="8" l="1"/>
  <c r="S60" i="8" s="1"/>
  <c r="G62" i="8"/>
  <c r="B63" i="8"/>
  <c r="AD61" i="8"/>
  <c r="AE61" i="8"/>
  <c r="AH61" i="8"/>
  <c r="AF61" i="8"/>
  <c r="AG61" i="8"/>
  <c r="F60" i="8"/>
  <c r="E61" i="8"/>
  <c r="Q59" i="8"/>
  <c r="X59" i="8" s="1"/>
  <c r="U59" i="8"/>
  <c r="AA59" i="8" s="1"/>
  <c r="P59" i="8"/>
  <c r="W59" i="8" s="1"/>
  <c r="T59" i="8"/>
  <c r="Z59" i="8" s="1"/>
  <c r="R59" i="8"/>
  <c r="Y59" i="8" s="1"/>
  <c r="L61" i="8"/>
  <c r="I61" i="8"/>
  <c r="J61" i="8"/>
  <c r="D62" i="8"/>
  <c r="K61" i="8"/>
  <c r="N61" i="8" l="1"/>
  <c r="S61" i="8" s="1"/>
  <c r="G63" i="8"/>
  <c r="AA63" i="8"/>
  <c r="B64" i="8"/>
  <c r="W63" i="8"/>
  <c r="X63" i="8"/>
  <c r="Y63" i="8"/>
  <c r="Z63" i="8"/>
  <c r="AD62" i="8"/>
  <c r="AE62" i="8"/>
  <c r="AG62" i="8"/>
  <c r="AF62" i="8"/>
  <c r="AH62" i="8"/>
  <c r="U60" i="8"/>
  <c r="Q60" i="8"/>
  <c r="T60" i="8"/>
  <c r="P60" i="8"/>
  <c r="R60" i="8"/>
  <c r="F61" i="8"/>
  <c r="E62" i="8"/>
  <c r="J62" i="8"/>
  <c r="K62" i="8"/>
  <c r="D63" i="8"/>
  <c r="L62" i="8"/>
  <c r="I62" i="8"/>
  <c r="G64" i="8" l="1"/>
  <c r="AA64" i="8"/>
  <c r="B65" i="8"/>
  <c r="X64" i="8"/>
  <c r="Y64" i="8"/>
  <c r="W64" i="8"/>
  <c r="Z64" i="8"/>
  <c r="AE63" i="8"/>
  <c r="AH63" i="8"/>
  <c r="AG63" i="8"/>
  <c r="AF63" i="8"/>
  <c r="AD63" i="8"/>
  <c r="N62" i="8"/>
  <c r="S62" i="8" s="1"/>
  <c r="F62" i="8"/>
  <c r="E63" i="8"/>
  <c r="P61" i="8"/>
  <c r="R61" i="8"/>
  <c r="T61" i="8"/>
  <c r="U61" i="8"/>
  <c r="Q61" i="8"/>
  <c r="L63" i="8"/>
  <c r="D64" i="8"/>
  <c r="K63" i="8"/>
  <c r="I63" i="8"/>
  <c r="J63" i="8"/>
  <c r="N63" i="8" l="1"/>
  <c r="S63" i="8" s="1"/>
  <c r="G65" i="8"/>
  <c r="B66" i="8"/>
  <c r="AE64" i="8"/>
  <c r="AD64" i="8"/>
  <c r="AH64" i="8"/>
  <c r="AG64" i="8"/>
  <c r="AF64" i="8"/>
  <c r="F63" i="8"/>
  <c r="E64" i="8"/>
  <c r="T62" i="8"/>
  <c r="Z62" i="8" s="1"/>
  <c r="P62" i="8"/>
  <c r="W62" i="8" s="1"/>
  <c r="U62" i="8"/>
  <c r="AA62" i="8" s="1"/>
  <c r="R62" i="8"/>
  <c r="Y62" i="8" s="1"/>
  <c r="Q62" i="8"/>
  <c r="X62" i="8" s="1"/>
  <c r="L64" i="8"/>
  <c r="I64" i="8"/>
  <c r="D65" i="8"/>
  <c r="K64" i="8"/>
  <c r="J64" i="8"/>
  <c r="N64" i="8" l="1"/>
  <c r="S64" i="8" s="1"/>
  <c r="G66" i="8"/>
  <c r="AA66" i="8"/>
  <c r="X66" i="8"/>
  <c r="W66" i="8"/>
  <c r="B67" i="8"/>
  <c r="Z66" i="8"/>
  <c r="Y66" i="8"/>
  <c r="AG65" i="8"/>
  <c r="AF65" i="8"/>
  <c r="AD65" i="8"/>
  <c r="AE65" i="8"/>
  <c r="AH65" i="8"/>
  <c r="U63" i="8"/>
  <c r="T63" i="8"/>
  <c r="P63" i="8"/>
  <c r="Q63" i="8"/>
  <c r="R63" i="8"/>
  <c r="F64" i="8"/>
  <c r="E65" i="8"/>
  <c r="L65" i="8"/>
  <c r="D66" i="8"/>
  <c r="J65" i="8"/>
  <c r="I65" i="8"/>
  <c r="K65" i="8"/>
  <c r="N65" i="8" l="1"/>
  <c r="S65" i="8" s="1"/>
  <c r="G67" i="8"/>
  <c r="AA67" i="8"/>
  <c r="W67" i="8"/>
  <c r="B68" i="8"/>
  <c r="X67" i="8"/>
  <c r="Z67" i="8"/>
  <c r="Y67" i="8"/>
  <c r="AE66" i="8"/>
  <c r="AH66" i="8"/>
  <c r="AG66" i="8"/>
  <c r="AF66" i="8"/>
  <c r="AD66" i="8"/>
  <c r="F65" i="8"/>
  <c r="E66" i="8"/>
  <c r="U64" i="8"/>
  <c r="T64" i="8"/>
  <c r="P64" i="8"/>
  <c r="Q64" i="8"/>
  <c r="R64" i="8"/>
  <c r="K66" i="8"/>
  <c r="D67" i="8"/>
  <c r="J66" i="8"/>
  <c r="L66" i="8"/>
  <c r="I66" i="8"/>
  <c r="N66" i="8" l="1"/>
  <c r="S66" i="8" s="1"/>
  <c r="G68" i="8"/>
  <c r="B69" i="8"/>
  <c r="AD67" i="8"/>
  <c r="AE67" i="8"/>
  <c r="AF67" i="8"/>
  <c r="AG67" i="8"/>
  <c r="AH67" i="8"/>
  <c r="F66" i="8"/>
  <c r="E67" i="8"/>
  <c r="R65" i="8"/>
  <c r="Y65" i="8" s="1"/>
  <c r="P65" i="8"/>
  <c r="W65" i="8" s="1"/>
  <c r="Q65" i="8"/>
  <c r="X65" i="8" s="1"/>
  <c r="U65" i="8"/>
  <c r="AA65" i="8" s="1"/>
  <c r="T65" i="8"/>
  <c r="Z65" i="8" s="1"/>
  <c r="J67" i="8"/>
  <c r="K67" i="8"/>
  <c r="I67" i="8"/>
  <c r="L67" i="8"/>
  <c r="D68" i="8"/>
  <c r="N67" i="8" l="1"/>
  <c r="S67" i="8" s="1"/>
  <c r="G69" i="8"/>
  <c r="AA69" i="8"/>
  <c r="B70" i="8"/>
  <c r="Y69" i="8"/>
  <c r="Z69" i="8"/>
  <c r="W69" i="8"/>
  <c r="X69" i="8"/>
  <c r="AH68" i="8"/>
  <c r="AD68" i="8"/>
  <c r="AG68" i="8"/>
  <c r="AF68" i="8"/>
  <c r="AE68" i="8"/>
  <c r="R66" i="8"/>
  <c r="U66" i="8"/>
  <c r="P66" i="8"/>
  <c r="T66" i="8"/>
  <c r="Q66" i="8"/>
  <c r="F67" i="8"/>
  <c r="E68" i="8"/>
  <c r="D69" i="8"/>
  <c r="J68" i="8"/>
  <c r="K68" i="8"/>
  <c r="L68" i="8"/>
  <c r="I68" i="8"/>
  <c r="N68" i="8" l="1"/>
  <c r="S68" i="8" s="1"/>
  <c r="G70" i="8"/>
  <c r="AA70" i="8"/>
  <c r="Y70" i="8"/>
  <c r="W70" i="8"/>
  <c r="X70" i="8"/>
  <c r="B71" i="8"/>
  <c r="Z70" i="8"/>
  <c r="AE69" i="8"/>
  <c r="AH69" i="8"/>
  <c r="AG69" i="8"/>
  <c r="AD69" i="8"/>
  <c r="AF69" i="8"/>
  <c r="F68" i="8"/>
  <c r="E69" i="8"/>
  <c r="R67" i="8"/>
  <c r="U67" i="8"/>
  <c r="T67" i="8"/>
  <c r="Q67" i="8"/>
  <c r="P67" i="8"/>
  <c r="K69" i="8"/>
  <c r="L69" i="8"/>
  <c r="I69" i="8"/>
  <c r="J69" i="8"/>
  <c r="D70" i="8"/>
  <c r="N69" i="8" l="1"/>
  <c r="S69" i="8" s="1"/>
  <c r="G71" i="8"/>
  <c r="B72" i="8"/>
  <c r="AF70" i="8"/>
  <c r="AE70" i="8"/>
  <c r="AD70" i="8"/>
  <c r="AG70" i="8"/>
  <c r="AH70" i="8"/>
  <c r="F69" i="8"/>
  <c r="E70" i="8"/>
  <c r="Q68" i="8"/>
  <c r="X68" i="8" s="1"/>
  <c r="R68" i="8"/>
  <c r="Y68" i="8" s="1"/>
  <c r="T68" i="8"/>
  <c r="Z68" i="8" s="1"/>
  <c r="P68" i="8"/>
  <c r="W68" i="8" s="1"/>
  <c r="U68" i="8"/>
  <c r="AA68" i="8" s="1"/>
  <c r="K70" i="8"/>
  <c r="L70" i="8"/>
  <c r="J70" i="8"/>
  <c r="D71" i="8"/>
  <c r="I70" i="8"/>
  <c r="N70" i="8" l="1"/>
  <c r="S70" i="8" s="1"/>
  <c r="G72" i="8"/>
  <c r="AA72" i="8"/>
  <c r="Y72" i="8"/>
  <c r="W72" i="8"/>
  <c r="Z72" i="8"/>
  <c r="B73" i="8"/>
  <c r="X72" i="8"/>
  <c r="AH71" i="8"/>
  <c r="AG71" i="8"/>
  <c r="AD71" i="8"/>
  <c r="AF71" i="8"/>
  <c r="AE71" i="8"/>
  <c r="T69" i="8"/>
  <c r="R69" i="8"/>
  <c r="U69" i="8"/>
  <c r="P69" i="8"/>
  <c r="Q69" i="8"/>
  <c r="F70" i="8"/>
  <c r="E71" i="8"/>
  <c r="K71" i="8"/>
  <c r="L71" i="8"/>
  <c r="I71" i="8"/>
  <c r="D72" i="8"/>
  <c r="J71" i="8"/>
  <c r="N71" i="8" l="1"/>
  <c r="S71" i="8" s="1"/>
  <c r="G73" i="8"/>
  <c r="AA73" i="8"/>
  <c r="Z73" i="8"/>
  <c r="B74" i="8"/>
  <c r="Y73" i="8"/>
  <c r="X73" i="8"/>
  <c r="W73" i="8"/>
  <c r="AE72" i="8"/>
  <c r="AH72" i="8"/>
  <c r="AD72" i="8"/>
  <c r="AG72" i="8"/>
  <c r="AF72" i="8"/>
  <c r="F71" i="8"/>
  <c r="E72" i="8"/>
  <c r="R70" i="8"/>
  <c r="Q70" i="8"/>
  <c r="P70" i="8"/>
  <c r="T70" i="8"/>
  <c r="U70" i="8"/>
  <c r="I72" i="8"/>
  <c r="D73" i="8"/>
  <c r="K72" i="8"/>
  <c r="J72" i="8"/>
  <c r="L72" i="8"/>
  <c r="G74" i="8" l="1"/>
  <c r="B75" i="8"/>
  <c r="N72" i="8"/>
  <c r="S72" i="8" s="1"/>
  <c r="AE73" i="8"/>
  <c r="AH73" i="8"/>
  <c r="AG73" i="8"/>
  <c r="AD73" i="8"/>
  <c r="AF73" i="8"/>
  <c r="F72" i="8"/>
  <c r="E73" i="8"/>
  <c r="U71" i="8"/>
  <c r="AA71" i="8" s="1"/>
  <c r="T71" i="8"/>
  <c r="Z71" i="8" s="1"/>
  <c r="Q71" i="8"/>
  <c r="X71" i="8" s="1"/>
  <c r="R71" i="8"/>
  <c r="Y71" i="8" s="1"/>
  <c r="P71" i="8"/>
  <c r="W71" i="8" s="1"/>
  <c r="J73" i="8"/>
  <c r="D74" i="8"/>
  <c r="K73" i="8"/>
  <c r="I73" i="8"/>
  <c r="L73" i="8"/>
  <c r="N73" i="8" l="1"/>
  <c r="S73" i="8" s="1"/>
  <c r="G75" i="8"/>
  <c r="AA75" i="8"/>
  <c r="W75" i="8"/>
  <c r="Y75" i="8"/>
  <c r="X75" i="8"/>
  <c r="Z75" i="8"/>
  <c r="B76" i="8"/>
  <c r="AG74" i="8"/>
  <c r="AF74" i="8"/>
  <c r="AE74" i="8"/>
  <c r="AH74" i="8"/>
  <c r="AD74" i="8"/>
  <c r="F73" i="8"/>
  <c r="E74" i="8"/>
  <c r="U72" i="8"/>
  <c r="T72" i="8"/>
  <c r="R72" i="8"/>
  <c r="Q72" i="8"/>
  <c r="P72" i="8"/>
  <c r="I74" i="8"/>
  <c r="J74" i="8"/>
  <c r="K74" i="8"/>
  <c r="D75" i="8"/>
  <c r="L74" i="8"/>
  <c r="N74" i="8" l="1"/>
  <c r="S74" i="8" s="1"/>
  <c r="G76" i="8"/>
  <c r="AA76" i="8"/>
  <c r="B77" i="8"/>
  <c r="Y76" i="8"/>
  <c r="Z76" i="8"/>
  <c r="X76" i="8"/>
  <c r="W76" i="8"/>
  <c r="AE75" i="8"/>
  <c r="AD75" i="8"/>
  <c r="AH75" i="8"/>
  <c r="AF75" i="8"/>
  <c r="AG75" i="8"/>
  <c r="F74" i="8"/>
  <c r="E75" i="8"/>
  <c r="Q73" i="8"/>
  <c r="P73" i="8"/>
  <c r="U73" i="8"/>
  <c r="R73" i="8"/>
  <c r="T73" i="8"/>
  <c r="D76" i="8"/>
  <c r="I75" i="8"/>
  <c r="K75" i="8"/>
  <c r="J75" i="8"/>
  <c r="L75" i="8"/>
  <c r="G77" i="8" l="1"/>
  <c r="B78" i="8"/>
  <c r="AF76" i="8"/>
  <c r="AE76" i="8"/>
  <c r="AD76" i="8"/>
  <c r="AH76" i="8"/>
  <c r="AG76" i="8"/>
  <c r="N75" i="8"/>
  <c r="S75" i="8" s="1"/>
  <c r="R74" i="8"/>
  <c r="Y74" i="8" s="1"/>
  <c r="P74" i="8"/>
  <c r="W74" i="8" s="1"/>
  <c r="T74" i="8"/>
  <c r="Z74" i="8" s="1"/>
  <c r="Q74" i="8"/>
  <c r="X74" i="8" s="1"/>
  <c r="U74" i="8"/>
  <c r="AA74" i="8" s="1"/>
  <c r="F75" i="8"/>
  <c r="E76" i="8"/>
  <c r="L76" i="8"/>
  <c r="I76" i="8"/>
  <c r="D77" i="8"/>
  <c r="J76" i="8"/>
  <c r="K76" i="8"/>
  <c r="N76" i="8" l="1"/>
  <c r="S76" i="8" s="1"/>
  <c r="G78" i="8"/>
  <c r="AA78" i="8"/>
  <c r="W78" i="8"/>
  <c r="X78" i="8"/>
  <c r="B79" i="8"/>
  <c r="Y78" i="8"/>
  <c r="Z78" i="8"/>
  <c r="AH77" i="8"/>
  <c r="AG77" i="8"/>
  <c r="AF77" i="8"/>
  <c r="AD77" i="8"/>
  <c r="AE77" i="8"/>
  <c r="F76" i="8"/>
  <c r="E77" i="8"/>
  <c r="T75" i="8"/>
  <c r="Q75" i="8"/>
  <c r="U75" i="8"/>
  <c r="P75" i="8"/>
  <c r="R75" i="8"/>
  <c r="I77" i="8"/>
  <c r="J77" i="8"/>
  <c r="L77" i="8"/>
  <c r="K77" i="8"/>
  <c r="D78" i="8"/>
  <c r="G79" i="8" l="1"/>
  <c r="AA79" i="8"/>
  <c r="W79" i="8"/>
  <c r="Y79" i="8"/>
  <c r="B80" i="8"/>
  <c r="Z79" i="8"/>
  <c r="X79" i="8"/>
  <c r="AE78" i="8"/>
  <c r="AG78" i="8"/>
  <c r="AD78" i="8"/>
  <c r="AH78" i="8"/>
  <c r="AF78" i="8"/>
  <c r="N77" i="8"/>
  <c r="S77" i="8" s="1"/>
  <c r="F77" i="8"/>
  <c r="E78" i="8"/>
  <c r="R76" i="8"/>
  <c r="T76" i="8"/>
  <c r="P76" i="8"/>
  <c r="U76" i="8"/>
  <c r="Q76" i="8"/>
  <c r="D79" i="8"/>
  <c r="L78" i="8"/>
  <c r="J78" i="8"/>
  <c r="K78" i="8"/>
  <c r="I78" i="8"/>
  <c r="G80" i="8" l="1"/>
  <c r="B81" i="8"/>
  <c r="N78" i="8"/>
  <c r="S78" i="8" s="1"/>
  <c r="AE79" i="8"/>
  <c r="AF79" i="8"/>
  <c r="AH79" i="8"/>
  <c r="AG79" i="8"/>
  <c r="AD79" i="8"/>
  <c r="N79" i="8" s="1"/>
  <c r="S79" i="8" s="1"/>
  <c r="F78" i="8"/>
  <c r="E79" i="8"/>
  <c r="P77" i="8"/>
  <c r="W77" i="8" s="1"/>
  <c r="T77" i="8"/>
  <c r="Z77" i="8" s="1"/>
  <c r="U77" i="8"/>
  <c r="AA77" i="8" s="1"/>
  <c r="R77" i="8"/>
  <c r="Y77" i="8" s="1"/>
  <c r="Q77" i="8"/>
  <c r="X77" i="8" s="1"/>
  <c r="K79" i="8"/>
  <c r="L79" i="8"/>
  <c r="I79" i="8"/>
  <c r="J79" i="8"/>
  <c r="D80" i="8"/>
  <c r="G81" i="8" l="1"/>
  <c r="AA81" i="8"/>
  <c r="Z81" i="8"/>
  <c r="B82" i="8"/>
  <c r="X81" i="8"/>
  <c r="W81" i="8"/>
  <c r="Y81" i="8"/>
  <c r="AD80" i="8"/>
  <c r="N80" i="8" s="1"/>
  <c r="S80" i="8" s="1"/>
  <c r="AH80" i="8"/>
  <c r="AG80" i="8"/>
  <c r="AF80" i="8"/>
  <c r="AE80" i="8"/>
  <c r="F79" i="8"/>
  <c r="E80" i="8"/>
  <c r="U78" i="8"/>
  <c r="T78" i="8"/>
  <c r="Q78" i="8"/>
  <c r="P78" i="8"/>
  <c r="R78" i="8"/>
  <c r="K80" i="8"/>
  <c r="L80" i="8"/>
  <c r="I80" i="8"/>
  <c r="D81" i="8"/>
  <c r="J80" i="8"/>
  <c r="G82" i="8" l="1"/>
  <c r="AA82" i="8"/>
  <c r="X82" i="8"/>
  <c r="W82" i="8"/>
  <c r="B83" i="8"/>
  <c r="Y82" i="8"/>
  <c r="Z82" i="8"/>
  <c r="AD81" i="8"/>
  <c r="N81" i="8" s="1"/>
  <c r="S81" i="8" s="1"/>
  <c r="AE81" i="8"/>
  <c r="AF81" i="8"/>
  <c r="AG81" i="8"/>
  <c r="AH81" i="8"/>
  <c r="F80" i="8"/>
  <c r="E81" i="8"/>
  <c r="R79" i="8"/>
  <c r="U79" i="8"/>
  <c r="T79" i="8"/>
  <c r="Q79" i="8"/>
  <c r="P79" i="8"/>
  <c r="K81" i="8"/>
  <c r="J81" i="8"/>
  <c r="L81" i="8"/>
  <c r="D82" i="8"/>
  <c r="I81" i="8"/>
  <c r="G83" i="8" l="1"/>
  <c r="B84" i="8"/>
  <c r="AF82" i="8"/>
  <c r="AE82" i="8"/>
  <c r="AG82" i="8"/>
  <c r="AD82" i="8"/>
  <c r="AH82" i="8"/>
  <c r="Q80" i="8"/>
  <c r="X80" i="8" s="1"/>
  <c r="P80" i="8"/>
  <c r="W80" i="8" s="1"/>
  <c r="T80" i="8"/>
  <c r="Z80" i="8" s="1"/>
  <c r="R80" i="8"/>
  <c r="Y80" i="8" s="1"/>
  <c r="U80" i="8"/>
  <c r="AA80" i="8" s="1"/>
  <c r="E82" i="8"/>
  <c r="F81" i="8"/>
  <c r="I82" i="8"/>
  <c r="J82" i="8"/>
  <c r="L82" i="8"/>
  <c r="K82" i="8"/>
  <c r="D83" i="8"/>
  <c r="N82" i="8" l="1"/>
  <c r="S82" i="8" s="1"/>
  <c r="G84" i="8"/>
  <c r="AA84" i="8"/>
  <c r="B85" i="8"/>
  <c r="W84" i="8"/>
  <c r="Y84" i="8"/>
  <c r="Z84" i="8"/>
  <c r="X84" i="8"/>
  <c r="AG83" i="8"/>
  <c r="AF83" i="8"/>
  <c r="AE83" i="8"/>
  <c r="AD83" i="8"/>
  <c r="AH83" i="8"/>
  <c r="P81" i="8"/>
  <c r="U81" i="8"/>
  <c r="T81" i="8"/>
  <c r="Q81" i="8"/>
  <c r="R81" i="8"/>
  <c r="F82" i="8"/>
  <c r="E83" i="8"/>
  <c r="K83" i="8"/>
  <c r="J83" i="8"/>
  <c r="L83" i="8"/>
  <c r="I83" i="8"/>
  <c r="D84" i="8"/>
  <c r="N83" i="8" l="1"/>
  <c r="S83" i="8" s="1"/>
  <c r="G85" i="8"/>
  <c r="AA85" i="8"/>
  <c r="W85" i="8"/>
  <c r="X85" i="8"/>
  <c r="B86" i="8"/>
  <c r="Z85" i="8"/>
  <c r="Y85" i="8"/>
  <c r="AF84" i="8"/>
  <c r="AE84" i="8"/>
  <c r="AD84" i="8"/>
  <c r="AH84" i="8"/>
  <c r="AG84" i="8"/>
  <c r="T82" i="8"/>
  <c r="U82" i="8"/>
  <c r="Q82" i="8"/>
  <c r="R82" i="8"/>
  <c r="P82" i="8"/>
  <c r="F83" i="8"/>
  <c r="E84" i="8"/>
  <c r="K84" i="8"/>
  <c r="J84" i="8"/>
  <c r="I84" i="8"/>
  <c r="L84" i="8"/>
  <c r="D85" i="8"/>
  <c r="G86" i="8" l="1"/>
  <c r="B87" i="8"/>
  <c r="F86" i="8"/>
  <c r="N84" i="8"/>
  <c r="S84" i="8" s="1"/>
  <c r="AD85" i="8"/>
  <c r="AE85" i="8"/>
  <c r="AG85" i="8"/>
  <c r="AF85" i="8"/>
  <c r="AH85" i="8"/>
  <c r="F84" i="8"/>
  <c r="E85" i="8"/>
  <c r="R83" i="8"/>
  <c r="Y83" i="8" s="1"/>
  <c r="U83" i="8"/>
  <c r="AA83" i="8" s="1"/>
  <c r="T83" i="8"/>
  <c r="Z83" i="8" s="1"/>
  <c r="Q83" i="8"/>
  <c r="X83" i="8" s="1"/>
  <c r="P83" i="8"/>
  <c r="W83" i="8" s="1"/>
  <c r="I85" i="8"/>
  <c r="J85" i="8"/>
  <c r="K85" i="8"/>
  <c r="D86" i="8"/>
  <c r="L85" i="8"/>
  <c r="N85" i="8" l="1"/>
  <c r="S85" i="8" s="1"/>
  <c r="U86" i="8"/>
  <c r="T86" i="8"/>
  <c r="G87" i="8"/>
  <c r="AA87" i="8"/>
  <c r="X87" i="8"/>
  <c r="W87" i="8"/>
  <c r="F87" i="8"/>
  <c r="B88" i="8"/>
  <c r="Y87" i="8"/>
  <c r="Z87" i="8"/>
  <c r="AH86" i="8"/>
  <c r="AD86" i="8"/>
  <c r="AG86" i="8"/>
  <c r="AF86" i="8"/>
  <c r="AE86" i="8"/>
  <c r="F85" i="8"/>
  <c r="E86" i="8"/>
  <c r="E87" i="8" s="1"/>
  <c r="E88" i="8" s="1"/>
  <c r="T84" i="8"/>
  <c r="U84" i="8"/>
  <c r="R84" i="8"/>
  <c r="Q84" i="8"/>
  <c r="P84" i="8"/>
  <c r="D87" i="8"/>
  <c r="L86" i="8"/>
  <c r="I86" i="8"/>
  <c r="K86" i="8"/>
  <c r="J86" i="8"/>
  <c r="N86" i="8" l="1"/>
  <c r="S86" i="8" s="1"/>
  <c r="AE87" i="8"/>
  <c r="AF87" i="8"/>
  <c r="AH87" i="8"/>
  <c r="AG87" i="8"/>
  <c r="AD87" i="8"/>
  <c r="E89" i="8"/>
  <c r="G88" i="8"/>
  <c r="AA88" i="8"/>
  <c r="B89" i="8"/>
  <c r="W88" i="8"/>
  <c r="Y88" i="8"/>
  <c r="X88" i="8"/>
  <c r="F88" i="8"/>
  <c r="Z88" i="8"/>
  <c r="U87" i="8"/>
  <c r="T87" i="8"/>
  <c r="T85" i="8"/>
  <c r="Z86" i="8" s="1"/>
  <c r="P85" i="8"/>
  <c r="Q85" i="8"/>
  <c r="R85" i="8"/>
  <c r="U85" i="8"/>
  <c r="AA86" i="8" s="1"/>
  <c r="L87" i="8"/>
  <c r="D88" i="8"/>
  <c r="J87" i="8"/>
  <c r="K87" i="8"/>
  <c r="I87" i="8"/>
  <c r="P86" i="8" l="1"/>
  <c r="W86" i="8" s="1"/>
  <c r="Q86" i="8"/>
  <c r="X86" i="8" s="1"/>
  <c r="R86" i="8"/>
  <c r="Y86" i="8" s="1"/>
  <c r="N87" i="8"/>
  <c r="S87" i="8" s="1"/>
  <c r="AG88" i="8"/>
  <c r="AD88" i="8"/>
  <c r="AH88" i="8"/>
  <c r="AF88" i="8"/>
  <c r="AE88" i="8"/>
  <c r="U88" i="8"/>
  <c r="T88" i="8"/>
  <c r="G89" i="8"/>
  <c r="F89" i="8"/>
  <c r="B90" i="8"/>
  <c r="D89" i="8"/>
  <c r="J88" i="8"/>
  <c r="I88" i="8"/>
  <c r="K88" i="8"/>
  <c r="L88" i="8"/>
  <c r="Q87" i="8" l="1"/>
  <c r="P87" i="8"/>
  <c r="R87" i="8"/>
  <c r="G90" i="8"/>
  <c r="AA90" i="8"/>
  <c r="X90" i="8"/>
  <c r="Z90" i="8"/>
  <c r="B91" i="8"/>
  <c r="Y90" i="8"/>
  <c r="W90" i="8"/>
  <c r="F90" i="8"/>
  <c r="T89" i="8"/>
  <c r="U89" i="8"/>
  <c r="N88" i="8"/>
  <c r="AF89" i="8"/>
  <c r="AD89" i="8"/>
  <c r="AE89" i="8"/>
  <c r="AH89" i="8"/>
  <c r="AG89" i="8"/>
  <c r="E90" i="8"/>
  <c r="J89" i="8"/>
  <c r="D90" i="8"/>
  <c r="K89" i="8"/>
  <c r="L89" i="8"/>
  <c r="I89" i="8"/>
  <c r="Z89" i="8" l="1"/>
  <c r="N89" i="8"/>
  <c r="S89" i="8" s="1"/>
  <c r="G91" i="8"/>
  <c r="AA91" i="8"/>
  <c r="X91" i="8"/>
  <c r="F91" i="8"/>
  <c r="W91" i="8"/>
  <c r="Z91" i="8"/>
  <c r="B92" i="8"/>
  <c r="Y91" i="8"/>
  <c r="T90" i="8"/>
  <c r="U90" i="8"/>
  <c r="E91" i="8"/>
  <c r="P89" i="8"/>
  <c r="S88" i="8"/>
  <c r="AA89" i="8" s="1"/>
  <c r="Q88" i="8"/>
  <c r="R88" i="8"/>
  <c r="P88" i="8"/>
  <c r="Q89" i="8"/>
  <c r="R89" i="8"/>
  <c r="AD90" i="8"/>
  <c r="AF90" i="8"/>
  <c r="AE90" i="8"/>
  <c r="AH90" i="8"/>
  <c r="AG90" i="8"/>
  <c r="D91" i="8"/>
  <c r="L90" i="8"/>
  <c r="I90" i="8"/>
  <c r="J90" i="8"/>
  <c r="K90" i="8"/>
  <c r="Y89" i="8" l="1"/>
  <c r="X89" i="8"/>
  <c r="W89" i="8"/>
  <c r="U91" i="8"/>
  <c r="T91" i="8"/>
  <c r="N90" i="8"/>
  <c r="AF91" i="8"/>
  <c r="AD91" i="8"/>
  <c r="AH91" i="8"/>
  <c r="AG91" i="8"/>
  <c r="AE91" i="8"/>
  <c r="G92" i="8"/>
  <c r="B93" i="8"/>
  <c r="F92" i="8"/>
  <c r="E92" i="8"/>
  <c r="L91" i="8"/>
  <c r="D92" i="8"/>
  <c r="J91" i="8"/>
  <c r="K91" i="8"/>
  <c r="I91" i="8"/>
  <c r="U92" i="8" l="1"/>
  <c r="T92" i="8"/>
  <c r="S90" i="8"/>
  <c r="P90" i="8"/>
  <c r="R90" i="8"/>
  <c r="Q90" i="8"/>
  <c r="G93" i="8"/>
  <c r="AA93" i="8"/>
  <c r="Y93" i="8"/>
  <c r="Z93" i="8"/>
  <c r="F93" i="8"/>
  <c r="B94" i="8"/>
  <c r="W93" i="8"/>
  <c r="E93" i="8"/>
  <c r="X93" i="8"/>
  <c r="AG92" i="8"/>
  <c r="AF92" i="8"/>
  <c r="AH92" i="8"/>
  <c r="AD92" i="8"/>
  <c r="AE92" i="8"/>
  <c r="N91" i="8"/>
  <c r="I92" i="8"/>
  <c r="J92" i="8"/>
  <c r="D93" i="8"/>
  <c r="K92" i="8"/>
  <c r="L92" i="8"/>
  <c r="Z92" i="8" l="1"/>
  <c r="N92" i="8"/>
  <c r="S92" i="8" s="1"/>
  <c r="U93" i="8"/>
  <c r="T93" i="8"/>
  <c r="Q92" i="8"/>
  <c r="R92" i="8"/>
  <c r="AF93" i="8"/>
  <c r="AD93" i="8"/>
  <c r="AH93" i="8"/>
  <c r="AE93" i="8"/>
  <c r="AG93" i="8"/>
  <c r="G94" i="8"/>
  <c r="AA94" i="8"/>
  <c r="E94" i="8"/>
  <c r="Y94" i="8"/>
  <c r="X94" i="8"/>
  <c r="Z94" i="8"/>
  <c r="W94" i="8"/>
  <c r="F94" i="8"/>
  <c r="S91" i="8"/>
  <c r="AA92" i="8" s="1"/>
  <c r="Q91" i="8"/>
  <c r="P91" i="8"/>
  <c r="R91" i="8"/>
  <c r="P92" i="8"/>
  <c r="L93" i="8"/>
  <c r="I93" i="8"/>
  <c r="D94" i="8"/>
  <c r="J93" i="8"/>
  <c r="K93" i="8"/>
  <c r="M69" i="7" l="1"/>
  <c r="X92" i="8"/>
  <c r="K69" i="7" s="1"/>
  <c r="N69" i="7"/>
  <c r="W92" i="8"/>
  <c r="D69" i="7" s="1"/>
  <c r="Y92" i="8"/>
  <c r="L69" i="7" s="1"/>
  <c r="T94" i="8"/>
  <c r="U94" i="8"/>
  <c r="F1" i="8"/>
  <c r="N93" i="8"/>
  <c r="AH94" i="8"/>
  <c r="AD94" i="8"/>
  <c r="AG94" i="8"/>
  <c r="AF94" i="8"/>
  <c r="AE94" i="8"/>
  <c r="I94" i="8"/>
  <c r="J94" i="8"/>
  <c r="K94" i="8"/>
  <c r="L94" i="8"/>
  <c r="E41" i="5" l="1"/>
  <c r="E43" i="5" s="1"/>
  <c r="E40" i="5"/>
  <c r="F43" i="5"/>
  <c r="C47" i="5"/>
  <c r="K70" i="7"/>
  <c r="N70" i="7"/>
  <c r="M70" i="7"/>
  <c r="L70" i="7"/>
  <c r="S93" i="8"/>
  <c r="P93" i="8"/>
  <c r="Q93" i="8"/>
  <c r="R93" i="8"/>
  <c r="N94" i="8"/>
  <c r="C48" i="5" l="1"/>
  <c r="D67" i="7"/>
  <c r="S94" i="8"/>
  <c r="P94" i="8"/>
  <c r="Q94" i="8"/>
  <c r="R94" i="8"/>
  <c r="M67" i="7" l="1"/>
  <c r="L67" i="7"/>
  <c r="K67" i="7"/>
  <c r="N67" i="7"/>
</calcChain>
</file>

<file path=xl/comments1.xml><?xml version="1.0" encoding="utf-8"?>
<comments xmlns="http://schemas.openxmlformats.org/spreadsheetml/2006/main">
  <authors>
    <author>Shea Parkes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<sst xmlns="http://schemas.openxmlformats.org/spreadsheetml/2006/main" count="409" uniqueCount="159">
  <si>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</si>
  <si>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</si>
  <si>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</si>
  <si>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</si>
  <si>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</si>
  <si>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</si>
  <si>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</si>
  <si>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</si>
  <si>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</si>
  <si>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</si>
  <si>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</si>
  <si>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</si>
  <si>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</si>
  <si>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</si>
  <si>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</si>
  <si>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</si>
  <si>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</si>
  <si>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</si>
  <si>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</si>
  <si>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</si>
  <si>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</si>
  <si>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</si>
  <si>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</si>
  <si>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</si>
  <si>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</si>
  <si>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</si>
  <si>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</si>
  <si>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</si>
  <si>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</si>
  <si>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</si>
  <si>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</si>
  <si>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</si>
  <si>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</si>
  <si>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</si>
  <si>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</si>
  <si>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</si>
  <si>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</si>
  <si>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</si>
  <si>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</si>
  <si>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</si>
  <si>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</si>
  <si>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</si>
  <si>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</si>
  <si>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</si>
  <si>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</si>
  <si>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</si>
  <si>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</si>
  <si>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</si>
  <si>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</si>
  <si>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</si>
  <si>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</si>
  <si>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</si>
  <si>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</si>
  <si>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</si>
  <si>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</si>
  <si>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</si>
  <si>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</si>
  <si>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</si>
  <si>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</si>
  <si>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</si>
  <si>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</si>
  <si>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</si>
  <si>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</si>
  <si>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</si>
  <si>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</si>
  <si>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</si>
  <si>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</si>
  <si>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</si>
  <si>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</si>
  <si>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</si>
  <si>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</si>
  <si>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</si>
  <si>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</si>
  <si>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</si>
  <si>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</si>
  <si>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</si>
  <si>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</si>
  <si>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</si>
  <si>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</si>
  <si>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</si>
  <si>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</si>
  <si>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</si>
  <si>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</si>
  <si>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</si>
  <si>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</si>
  <si>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</si>
  <si>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</si>
  <si>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</si>
  <si>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</si>
  <si>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</si>
  <si>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</si>
  <si>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</si>
  <si>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</si>
  <si>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</si>
  <si>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</si>
  <si>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</si>
  <si>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</si>
  <si>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</si>
  <si>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</si>
  <si>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</si>
  <si>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</si>
  <si>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</si>
  <si>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</si>
  <si>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</si>
  <si>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</si>
  <si>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</si>
  <si>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</si>
  <si>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</si>
  <si>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</si>
  <si>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</si>
  <si>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</si>
  <si>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</si>
  <si>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</si>
  <si>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</si>
  <si>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</si>
  <si>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</si>
  <si>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</si>
  <si>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</si>
  <si>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</si>
  <si>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</si>
  <si>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</si>
  <si>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</si>
  <si>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</si>
  <si>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</si>
  <si>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</si>
  <si>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</si>
  <si>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</si>
  <si>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</si>
  <si>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</si>
  <si>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</si>
  <si>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</si>
  <si>
    <t>Lead Office</t>
  </si>
  <si>
    <t>Base processing fee shift:</t>
  </si>
  <si>
    <t>Monthly Override Multiplier</t>
  </si>
  <si>
    <t>Lower Bound</t>
  </si>
  <si>
    <t>Upper Bound</t>
  </si>
  <si>
    <t>PMPY</t>
  </si>
  <si>
    <t>First Increase</t>
  </si>
  <si>
    <t>MARA Royalties</t>
  </si>
  <si>
    <t>MARA Risk Score</t>
  </si>
  <si>
    <t>MARA Multiplier</t>
  </si>
  <si>
    <t>MARA Royalty</t>
  </si>
  <si>
    <t>NY Health</t>
  </si>
  <si>
    <t>Year One</t>
  </si>
  <si>
    <t>Contract Total</t>
  </si>
  <si>
    <t>MARA Contract Total</t>
  </si>
  <si>
    <t>MARA Cost</t>
  </si>
  <si>
    <t>MARA (Contract Total)</t>
  </si>
  <si>
    <t>MARA Pricing</t>
  </si>
  <si>
    <t>PRM Conditions to Consider (Data Only)</t>
  </si>
  <si>
    <t>PRM Conditions to Consider Dashboards</t>
  </si>
  <si>
    <t>8th Most Expensive Product</t>
  </si>
  <si>
    <t>PRM Care Giver's Checklist</t>
  </si>
  <si>
    <t>PRM Conditions to Consider (Data Only - Dashboard Version)</t>
  </si>
  <si>
    <t>Quality Measures</t>
  </si>
  <si>
    <t>PRM Medicare ACO Assignment (CCLF Only)</t>
  </si>
  <si>
    <t>Enable Old Pricing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</si>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</sst>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0_);[Red]\(&quot;$&quot;#,##0.000\)"/>
    <numFmt numFmtId="172" formatCode="&quot;$&quot;#,##0.00000_);[Red]\(&quot;$&quot;#,##0.00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  <xf numFmtId="167" fontId="3" fillId="0" borderId="0" xfId="0" applyNumberFormat="1" applyFont="1"/>
    <xf numFmtId="170" fontId="0" fillId="2" borderId="0" xfId="3" applyNumberFormat="1" applyFont="1" applyFill="1"/>
    <xf numFmtId="171" fontId="0" fillId="0" borderId="0" xfId="0" applyNumberFormat="1"/>
    <xf numFmtId="43" fontId="0" fillId="0" borderId="0" xfId="1" applyFont="1"/>
    <xf numFmtId="172" fontId="0" fillId="0" borderId="0" xfId="0" applyNumberFormat="1"/>
    <xf numFmtId="44" fontId="2" fillId="0" borderId="0" xfId="0" applyNumberFormat="1" applyFont="1"/>
    <xf numFmtId="166" fontId="2" fillId="0" borderId="0" xfId="0" applyNumberFormat="1" applyFont="1" applyAlignment="1">
      <alignment horizontal="right"/>
    </xf>
    <xf numFmtId="170" fontId="0" fillId="0" borderId="0" xfId="3" applyNumberFormat="1" applyFont="1"/>
    <xf numFmtId="0" fontId="0" fillId="0" borderId="0" xfId="0" applyAlignment="1">
      <alignment horizontal="centerContinuous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showGridLines="0" tabSelected="1" workbookViewId="0">
      <pane xSplit="3" ySplit="6" topLeftCell="D7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4.28515625" customWidth="1"/>
    <col min="3" max="3" width="16.28515625" style="66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1" t="s">
        <v>58</v>
      </c>
      <c r="C1" s="70">
        <v>43647</v>
      </c>
    </row>
    <row r="2" spans="2:12" x14ac:dyDescent="0.25">
      <c r="B2" s="67" t="s">
        <v>72</v>
      </c>
      <c r="C2" s="71">
        <v>36</v>
      </c>
    </row>
    <row r="3" spans="2:12" x14ac:dyDescent="0.25">
      <c r="B3" s="67" t="s">
        <v>122</v>
      </c>
      <c r="C3" s="55" t="s">
        <v>124</v>
      </c>
    </row>
    <row r="4" spans="2:12" x14ac:dyDescent="0.25">
      <c r="B4" s="67" t="s">
        <v>156</v>
      </c>
      <c r="C4" s="55" t="s">
        <v>158</v>
      </c>
    </row>
    <row r="5" spans="2:12" x14ac:dyDescent="0.25">
      <c r="B5" s="67" t="s">
        <v>131</v>
      </c>
      <c r="C5" s="55" t="s">
        <v>40</v>
      </c>
    </row>
    <row r="6" spans="2:12" x14ac:dyDescent="0.25">
      <c r="B6" s="68"/>
      <c r="C6" s="72"/>
      <c r="D6" s="13" t="s">
        <v>105</v>
      </c>
      <c r="E6" s="13" t="s">
        <v>106</v>
      </c>
      <c r="F6" s="13" t="s">
        <v>107</v>
      </c>
      <c r="G6" s="13" t="s">
        <v>108</v>
      </c>
      <c r="H6" s="14" t="s">
        <v>109</v>
      </c>
    </row>
    <row r="7" spans="2:12" ht="18" customHeight="1" x14ac:dyDescent="0.25">
      <c r="B7" s="69" t="s">
        <v>5</v>
      </c>
      <c r="D7" s="55" t="s">
        <v>3</v>
      </c>
      <c r="E7" s="55"/>
      <c r="F7" s="55"/>
      <c r="G7" s="55"/>
      <c r="H7" s="56"/>
      <c r="L7" t="s">
        <v>3</v>
      </c>
    </row>
    <row r="8" spans="2:12" ht="18" customHeight="1" x14ac:dyDescent="0.25">
      <c r="B8" s="69" t="s">
        <v>80</v>
      </c>
      <c r="D8" s="55" t="s">
        <v>28</v>
      </c>
      <c r="E8" s="55"/>
      <c r="F8" s="55"/>
      <c r="G8" s="55"/>
      <c r="H8" s="56"/>
      <c r="L8" t="s">
        <v>28</v>
      </c>
    </row>
    <row r="9" spans="2:12" ht="18" customHeight="1" x14ac:dyDescent="0.25">
      <c r="B9" s="69" t="s">
        <v>6</v>
      </c>
      <c r="D9" s="55" t="s">
        <v>28</v>
      </c>
      <c r="E9" s="55"/>
      <c r="F9" s="55"/>
      <c r="G9" s="55"/>
      <c r="H9" s="56"/>
    </row>
    <row r="10" spans="2:12" ht="18" customHeight="1" x14ac:dyDescent="0.25">
      <c r="B10" s="69" t="s">
        <v>139</v>
      </c>
      <c r="D10" s="55" t="s">
        <v>28</v>
      </c>
      <c r="E10" s="55"/>
      <c r="F10" s="55"/>
      <c r="G10" s="55"/>
      <c r="H10" s="56"/>
    </row>
    <row r="11" spans="2:12" ht="18" customHeight="1" x14ac:dyDescent="0.25">
      <c r="B11" s="69" t="s">
        <v>4</v>
      </c>
      <c r="D11" s="55">
        <v>50000</v>
      </c>
      <c r="E11" s="55"/>
      <c r="F11" s="55"/>
      <c r="G11" s="55"/>
      <c r="H11" s="56"/>
      <c r="L11" t="s">
        <v>123</v>
      </c>
    </row>
    <row r="12" spans="2:12" ht="18" customHeight="1" x14ac:dyDescent="0.25">
      <c r="B12" s="69" t="s">
        <v>110</v>
      </c>
      <c r="D12" s="55">
        <v>1</v>
      </c>
      <c r="E12" s="55"/>
      <c r="F12" s="55"/>
      <c r="G12" s="55"/>
      <c r="H12" s="56"/>
      <c r="L12" t="s">
        <v>124</v>
      </c>
    </row>
    <row r="13" spans="2:12" ht="18" customHeight="1" x14ac:dyDescent="0.25">
      <c r="B13" s="69" t="s">
        <v>97</v>
      </c>
      <c r="D13" s="55" t="s">
        <v>3</v>
      </c>
      <c r="E13" s="55"/>
      <c r="F13" s="55"/>
      <c r="G13" s="55"/>
      <c r="H13" s="56"/>
    </row>
    <row r="14" spans="2:12" ht="18" customHeight="1" x14ac:dyDescent="0.25">
      <c r="B14" s="69" t="s">
        <v>7</v>
      </c>
      <c r="D14" s="55" t="s">
        <v>28</v>
      </c>
      <c r="E14" s="55"/>
      <c r="F14" s="55"/>
      <c r="G14" s="55"/>
      <c r="H14" s="56"/>
      <c r="L14" t="s">
        <v>40</v>
      </c>
    </row>
    <row r="15" spans="2:12" ht="18" customHeight="1" x14ac:dyDescent="0.25">
      <c r="B15" s="69" t="s">
        <v>8</v>
      </c>
      <c r="D15" s="55" t="s">
        <v>28</v>
      </c>
      <c r="E15" s="55"/>
      <c r="F15" s="55"/>
      <c r="G15" s="55"/>
      <c r="H15" s="56"/>
      <c r="L15" t="s">
        <v>41</v>
      </c>
    </row>
    <row r="16" spans="2:12" ht="18" customHeight="1" x14ac:dyDescent="0.25">
      <c r="B16" s="69" t="s">
        <v>21</v>
      </c>
      <c r="D16" s="55" t="s">
        <v>28</v>
      </c>
      <c r="E16" s="55"/>
      <c r="F16" s="55"/>
      <c r="G16" s="55"/>
      <c r="H16" s="56"/>
    </row>
    <row r="17" spans="2:12" ht="18" customHeight="1" x14ac:dyDescent="0.25">
      <c r="B17" s="69" t="s">
        <v>9</v>
      </c>
      <c r="D17" s="55" t="s">
        <v>28</v>
      </c>
      <c r="E17" s="55"/>
      <c r="F17" s="55"/>
      <c r="G17" s="55"/>
      <c r="H17" s="56"/>
      <c r="L17" t="s">
        <v>3</v>
      </c>
    </row>
    <row r="18" spans="2:12" ht="18" customHeight="1" x14ac:dyDescent="0.25">
      <c r="B18" s="69" t="s">
        <v>10</v>
      </c>
      <c r="D18" s="55" t="s">
        <v>3</v>
      </c>
      <c r="E18" s="55"/>
      <c r="F18" s="55"/>
      <c r="G18" s="55"/>
      <c r="H18" s="56"/>
      <c r="L18" t="s">
        <v>28</v>
      </c>
    </row>
    <row r="19" spans="2:12" ht="18" customHeight="1" x14ac:dyDescent="0.25">
      <c r="B19" s="69" t="s">
        <v>77</v>
      </c>
      <c r="D19" s="55" t="s">
        <v>28</v>
      </c>
      <c r="E19" s="55"/>
      <c r="F19" s="55"/>
      <c r="G19" s="55"/>
      <c r="H19" s="56"/>
      <c r="L19" t="s">
        <v>123</v>
      </c>
    </row>
    <row r="20" spans="2:12" ht="18" customHeight="1" x14ac:dyDescent="0.25">
      <c r="B20" s="69" t="s">
        <v>11</v>
      </c>
      <c r="D20" s="55" t="s">
        <v>28</v>
      </c>
      <c r="E20" s="55"/>
      <c r="F20" s="55"/>
      <c r="G20" s="55"/>
      <c r="H20" s="56"/>
    </row>
    <row r="21" spans="2:12" ht="18" customHeight="1" x14ac:dyDescent="0.25">
      <c r="B21" s="69" t="s">
        <v>153</v>
      </c>
      <c r="D21" s="55" t="s">
        <v>28</v>
      </c>
      <c r="E21" s="55"/>
      <c r="F21" s="55"/>
      <c r="G21" s="55"/>
      <c r="H21" s="56"/>
      <c r="L21" t="s">
        <v>157</v>
      </c>
    </row>
    <row r="22" spans="2:12" ht="18" customHeight="1" x14ac:dyDescent="0.25">
      <c r="B22" s="69" t="s">
        <v>12</v>
      </c>
      <c r="D22" s="55" t="s">
        <v>28</v>
      </c>
      <c r="E22" s="55"/>
      <c r="F22" s="55"/>
      <c r="G22" s="55"/>
      <c r="H22" s="56"/>
      <c r="L22" t="s">
        <v>158</v>
      </c>
    </row>
    <row r="23" spans="2:12" ht="18" customHeight="1" x14ac:dyDescent="0.25">
      <c r="B23" s="69" t="s">
        <v>13</v>
      </c>
      <c r="D23" s="55" t="s">
        <v>28</v>
      </c>
      <c r="E23" s="55"/>
      <c r="F23" s="55"/>
      <c r="G23" s="55"/>
      <c r="H23" s="56"/>
    </row>
    <row r="24" spans="2:12" ht="18" customHeight="1" x14ac:dyDescent="0.25">
      <c r="B24" s="69" t="s">
        <v>14</v>
      </c>
      <c r="D24" s="55" t="s">
        <v>3</v>
      </c>
      <c r="E24" s="55"/>
      <c r="F24" s="55"/>
      <c r="G24" s="55"/>
      <c r="H24" s="56"/>
    </row>
    <row r="25" spans="2:12" ht="18" customHeight="1" x14ac:dyDescent="0.25">
      <c r="B25" s="69" t="s">
        <v>15</v>
      </c>
      <c r="D25" s="55" t="s">
        <v>28</v>
      </c>
      <c r="E25" s="55"/>
      <c r="F25" s="55"/>
      <c r="G25" s="55"/>
      <c r="H25" s="56"/>
    </row>
    <row r="26" spans="2:12" ht="18" customHeight="1" x14ac:dyDescent="0.25">
      <c r="B26" s="69" t="s">
        <v>129</v>
      </c>
      <c r="D26" s="55" t="s">
        <v>28</v>
      </c>
      <c r="E26" s="55"/>
      <c r="F26" s="55"/>
      <c r="G26" s="55"/>
      <c r="H26" s="56"/>
    </row>
    <row r="27" spans="2:12" ht="18" customHeight="1" x14ac:dyDescent="0.25">
      <c r="B27" s="69" t="s">
        <v>16</v>
      </c>
      <c r="D27" s="55" t="s">
        <v>28</v>
      </c>
      <c r="E27" s="55"/>
      <c r="F27" s="55"/>
      <c r="G27" s="55"/>
      <c r="H27" s="56"/>
    </row>
    <row r="28" spans="2:12" ht="18" customHeight="1" x14ac:dyDescent="0.25">
      <c r="B28" s="69" t="s">
        <v>99</v>
      </c>
      <c r="D28" s="55" t="s">
        <v>28</v>
      </c>
      <c r="E28" s="55"/>
      <c r="F28" s="55"/>
      <c r="G28" s="55"/>
      <c r="H28" s="56"/>
    </row>
    <row r="29" spans="2:12" ht="18" customHeight="1" x14ac:dyDescent="0.25">
      <c r="B29" s="69" t="s">
        <v>150</v>
      </c>
      <c r="D29" s="55" t="s">
        <v>28</v>
      </c>
      <c r="E29" s="55"/>
      <c r="F29" s="55"/>
      <c r="G29" s="55"/>
      <c r="H29" s="56"/>
    </row>
    <row r="30" spans="2:12" ht="18" customHeight="1" x14ac:dyDescent="0.25">
      <c r="B30" s="92" t="s">
        <v>98</v>
      </c>
      <c r="C30" s="93"/>
      <c r="D30" s="94" t="s">
        <v>28</v>
      </c>
      <c r="E30" s="94"/>
      <c r="F30" s="94"/>
      <c r="G30" s="94"/>
      <c r="H30" s="95"/>
    </row>
  </sheetData>
  <dataValidations count="6">
    <dataValidation type="list" allowBlank="1" showInputMessage="1" showErrorMessage="1" sqref="D14:D29 E14:H27 D7:H10">
      <formula1>$L$7:$L$8</formula1>
    </dataValidation>
    <dataValidation type="whole" operator="greaterThan" allowBlank="1" showInputMessage="1" showErrorMessage="1" sqref="D11:H12">
      <formula1>0</formula1>
    </dataValidation>
    <dataValidation type="list" allowBlank="1" showInputMessage="1" showErrorMessage="1" sqref="C3">
      <formula1>$L$11:$L$12</formula1>
    </dataValidation>
    <dataValidation type="list" allowBlank="1" showInputMessage="1" showErrorMessage="1" sqref="C5">
      <formula1>$L$14:$L$15</formula1>
    </dataValidation>
    <dataValidation type="list" allowBlank="1" showInputMessage="1" showErrorMessage="1" sqref="E28:H29 D13:H13">
      <formula1>$L$17:$L$19</formula1>
    </dataValidation>
    <dataValidation type="list" allowBlank="1" showInputMessage="1" showErrorMessage="1" sqref="C4">
      <formula1>$L$21:$L$22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zoomScale="110" zoomScaleNormal="11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D27" sqref="D27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35</v>
      </c>
    </row>
    <row r="7" spans="2:21" x14ac:dyDescent="0.25">
      <c r="C7" s="15" t="s">
        <v>2</v>
      </c>
      <c r="D7" s="16">
        <f>SUM(Calcs!D40, Calcs!D53)</f>
        <v>15000</v>
      </c>
      <c r="E7" s="16">
        <f>SUM(Calcs!E40, Calcs!E53)</f>
        <v>0</v>
      </c>
      <c r="F7" s="16">
        <f>SUM(Calcs!F40, Calcs!F53)</f>
        <v>0</v>
      </c>
      <c r="G7" s="16">
        <f>SUM(Calcs!G40, Calcs!G53)</f>
        <v>0</v>
      </c>
      <c r="H7" s="16">
        <f>SUM(Calcs!H40, Calcs!H53)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20</v>
      </c>
      <c r="D8" s="18">
        <f>SUM(Calcs!D41, Calcs!D54)</f>
        <v>0</v>
      </c>
      <c r="E8" s="18">
        <f>SUM(Calcs!E41, Calcs!E54)</f>
        <v>0</v>
      </c>
      <c r="F8" s="18">
        <f>SUM(Calcs!F41, Calcs!F54)</f>
        <v>0</v>
      </c>
      <c r="G8" s="18">
        <f>SUM(Calcs!G41, Calcs!G54)</f>
        <v>0</v>
      </c>
      <c r="H8" s="18">
        <f>SUM(Calcs!H41, Calcs!H54)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SUM(Calcs!D42, Calcs!D55)</f>
        <v>0</v>
      </c>
      <c r="E9" s="18">
        <f>SUM(Calcs!E42, Calcs!E55)</f>
        <v>0</v>
      </c>
      <c r="F9" s="18">
        <f>SUM(Calcs!F42, Calcs!F55)</f>
        <v>0</v>
      </c>
      <c r="G9" s="18">
        <f>SUM(Calcs!G42, Calcs!G55)</f>
        <v>0</v>
      </c>
      <c r="H9" s="18">
        <f>SUM(Calcs!H42, Calcs!H55)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21</v>
      </c>
      <c r="D10" s="18">
        <f>SUM(Calcs!D43, Calcs!D56)</f>
        <v>0</v>
      </c>
      <c r="E10" s="18">
        <f>SUM(Calcs!E43, Calcs!E56)</f>
        <v>0</v>
      </c>
      <c r="F10" s="18">
        <f>SUM(Calcs!F43, Calcs!F56)</f>
        <v>0</v>
      </c>
      <c r="G10" s="18">
        <f>SUM(Calcs!G43, Calcs!G56)</f>
        <v>0</v>
      </c>
      <c r="H10" s="18">
        <f>SUM(Calcs!H43, Calcs!H56)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SUM(Calcs!D44, Calcs!D57)</f>
        <v>0</v>
      </c>
      <c r="E11" s="18">
        <f>SUM(Calcs!E44, Calcs!E57)</f>
        <v>0</v>
      </c>
      <c r="F11" s="18">
        <f>SUM(Calcs!F44, Calcs!F57)</f>
        <v>0</v>
      </c>
      <c r="G11" s="18">
        <f>SUM(Calcs!G44, Calcs!G57)</f>
        <v>0</v>
      </c>
      <c r="H11" s="18">
        <f>SUM(Calcs!H44, Calcs!H57)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SUM(Calcs!D45, Calcs!D58)</f>
        <v>0</v>
      </c>
      <c r="E12" s="18">
        <f>SUM(Calcs!E45, Calcs!E58)</f>
        <v>0</v>
      </c>
      <c r="F12" s="18">
        <f>SUM(Calcs!F45, Calcs!F58)</f>
        <v>0</v>
      </c>
      <c r="G12" s="18">
        <f>SUM(Calcs!G45, Calcs!G58)</f>
        <v>0</v>
      </c>
      <c r="H12" s="18">
        <f>SUM(Calcs!H45, Calcs!H58)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77</v>
      </c>
      <c r="D13" s="18">
        <f>SUM(Calcs!D46, Calcs!D59)</f>
        <v>0</v>
      </c>
      <c r="E13" s="18">
        <f>SUM(Calcs!E46, Calcs!E59)</f>
        <v>0</v>
      </c>
      <c r="F13" s="18">
        <f>SUM(Calcs!F46, Calcs!F59)</f>
        <v>0</v>
      </c>
      <c r="G13" s="18">
        <f>SUM(Calcs!G46, Calcs!G59)</f>
        <v>0</v>
      </c>
      <c r="H13" s="18">
        <f>SUM(Calcs!H46, Calcs!H59)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SUM(Calcs!D48, Calcs!D61)</f>
        <v>0</v>
      </c>
      <c r="E14" s="20">
        <f>SUM(Calcs!E48, Calcs!E61)</f>
        <v>0</v>
      </c>
      <c r="F14" s="20">
        <f>SUM(Calcs!F48, Calcs!F61)</f>
        <v>0</v>
      </c>
      <c r="G14" s="20">
        <f>SUM(Calcs!G48, Calcs!G61)</f>
        <v>0</v>
      </c>
      <c r="H14" s="20">
        <f>SUM(Calcs!H48, Calcs!H61)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149</v>
      </c>
      <c r="D15" s="20">
        <f>SUM(Calcs!D49, Calcs!D62)</f>
        <v>0</v>
      </c>
      <c r="E15" s="20">
        <f>SUM(Calcs!E49, Calcs!E62)</f>
        <v>0</v>
      </c>
      <c r="F15" s="20">
        <f>SUM(Calcs!F49, Calcs!F62)</f>
        <v>0</v>
      </c>
      <c r="G15" s="20">
        <f>SUM(Calcs!G49, Calcs!G62)</f>
        <v>0</v>
      </c>
      <c r="H15" s="20">
        <f>SUM(Calcs!H49, Calcs!H62)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22</v>
      </c>
      <c r="D16" s="20">
        <f>SUM(Calcs!D50, Calcs!D63, Calcs!D47, Calcs!D60)</f>
        <v>0</v>
      </c>
      <c r="E16" s="20">
        <f>SUM(Calcs!E50, Calcs!E63, Calcs!E47, Calcs!E60)</f>
        <v>0</v>
      </c>
      <c r="F16" s="20">
        <f>SUM(Calcs!F50, Calcs!F63, Calcs!F47, Calcs!F60)</f>
        <v>0</v>
      </c>
      <c r="G16" s="20">
        <f>SUM(Calcs!G50, Calcs!G63, Calcs!G47, Calcs!G60)</f>
        <v>0</v>
      </c>
      <c r="H16" s="20">
        <f>SUM(Calcs!H50, Calcs!H63, Calcs!H47, Calcs!H60)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36</v>
      </c>
    </row>
    <row r="19" spans="2:21" x14ac:dyDescent="0.25">
      <c r="C19" t="s">
        <v>13</v>
      </c>
      <c r="D19" s="1">
        <f>SUM(Calcs!D66, Calcs!D77)</f>
        <v>0</v>
      </c>
      <c r="E19" s="1">
        <f>SUM(Calcs!E66, Calcs!E77)</f>
        <v>0</v>
      </c>
      <c r="F19" s="1">
        <f>SUM(Calcs!F66, Calcs!F77)</f>
        <v>0</v>
      </c>
      <c r="G19" s="1">
        <f>SUM(Calcs!G66, Calcs!G77)</f>
        <v>0</v>
      </c>
      <c r="H19" s="1">
        <f>SUM(Calcs!H66, Calcs!H77)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14</v>
      </c>
      <c r="D20" s="1">
        <f>SUM(Calcs!D67, Calcs!D78)</f>
        <v>33000</v>
      </c>
      <c r="E20" s="1">
        <f>SUM(Calcs!E67, Calcs!E78)</f>
        <v>0</v>
      </c>
      <c r="F20" s="1">
        <f>SUM(Calcs!F67, Calcs!F78)</f>
        <v>0</v>
      </c>
      <c r="G20" s="1">
        <f>SUM(Calcs!G67, Calcs!G78)</f>
        <v>0</v>
      </c>
      <c r="H20" s="1">
        <f>SUM(Calcs!H67, Calcs!H78)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15</v>
      </c>
      <c r="D21" s="1">
        <f>SUM(Calcs!D68, Calcs!D79)</f>
        <v>0</v>
      </c>
      <c r="E21" s="1">
        <f>SUM(Calcs!E68, Calcs!E79)</f>
        <v>0</v>
      </c>
      <c r="F21" s="1">
        <f>SUM(Calcs!F68, Calcs!F79)</f>
        <v>0</v>
      </c>
      <c r="G21" s="1">
        <f>SUM(Calcs!G68, Calcs!G79)</f>
        <v>0</v>
      </c>
      <c r="H21" s="1">
        <f>SUM(Calcs!H68, Calcs!H79)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129</v>
      </c>
      <c r="D22" s="1">
        <f>SUM(Calcs!D69, Calcs!D80)</f>
        <v>0</v>
      </c>
      <c r="E22" s="1">
        <f>SUM(Calcs!E69, Calcs!E80)</f>
        <v>0</v>
      </c>
      <c r="F22" s="1">
        <f>SUM(Calcs!F69, Calcs!F80)</f>
        <v>0</v>
      </c>
      <c r="G22" s="1">
        <f>SUM(Calcs!G69, Calcs!G80)</f>
        <v>0</v>
      </c>
      <c r="H22" s="1">
        <f>SUM(Calcs!H69, Calcs!H80)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16</v>
      </c>
      <c r="D23" s="1">
        <f>SUM(Calcs!D70, Calcs!D81)</f>
        <v>0</v>
      </c>
      <c r="E23" s="1">
        <f>SUM(Calcs!E70, Calcs!E81)</f>
        <v>0</v>
      </c>
      <c r="F23" s="1">
        <f>SUM(Calcs!F70, Calcs!F81)</f>
        <v>0</v>
      </c>
      <c r="G23" s="1">
        <f>SUM(Calcs!G70, Calcs!G81)</f>
        <v>0</v>
      </c>
      <c r="H23" s="1">
        <f>SUM(Calcs!H70, Calcs!H81)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99</v>
      </c>
      <c r="D24" s="1">
        <f>SUM(Calcs!D71, Calcs!D82)</f>
        <v>0</v>
      </c>
      <c r="E24" s="1">
        <f>SUM(Calcs!E71, Calcs!E82)</f>
        <v>0</v>
      </c>
      <c r="F24" s="1">
        <f>SUM(Calcs!F71, Calcs!F82)</f>
        <v>0</v>
      </c>
      <c r="G24" s="1">
        <f>SUM(Calcs!G71, Calcs!G82)</f>
        <v>0</v>
      </c>
      <c r="H24" s="1">
        <f>SUM(Calcs!H71, Calcs!H82)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150</v>
      </c>
      <c r="D25" s="1">
        <f>SUM(Calcs!D72, Calcs!D83)</f>
        <v>0</v>
      </c>
      <c r="E25" s="1">
        <f>SUM(Calcs!E72, Calcs!E83)</f>
        <v>0</v>
      </c>
      <c r="F25" s="1">
        <f>SUM(Calcs!F72, Calcs!F83)</f>
        <v>0</v>
      </c>
      <c r="G25" s="1">
        <f>SUM(Calcs!G72, Calcs!G83)</f>
        <v>0</v>
      </c>
      <c r="H25" s="1">
        <f>SUM(Calcs!H72, Calcs!H83)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SUM(Calcs!D73, Calcs!D84)</f>
        <v>0</v>
      </c>
      <c r="E26" s="1">
        <f>SUM(Calcs!E73, Calcs!E84)</f>
        <v>0</v>
      </c>
      <c r="F26" s="1">
        <f>SUM(Calcs!F73, Calcs!F84)</f>
        <v>0</v>
      </c>
      <c r="G26" s="1">
        <f>SUM(Calcs!G73, Calcs!G84)</f>
        <v>0</v>
      </c>
      <c r="H26" s="1">
        <f>SUM(Calcs!H73, Calcs!H84)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7" spans="2:21" x14ac:dyDescent="0.25">
      <c r="C27" t="s">
        <v>97</v>
      </c>
      <c r="D27" s="1">
        <f>SUM(Calcs!D74, Calcs!D85)</f>
        <v>9600</v>
      </c>
      <c r="E27" s="1">
        <f>SUM(Calcs!E74, Calcs!E85)</f>
        <v>0</v>
      </c>
      <c r="F27" s="1">
        <f>SUM(Calcs!F74, Calcs!F85)</f>
        <v>0</v>
      </c>
      <c r="G27" s="1">
        <f>SUM(Calcs!G74, Calcs!G85)</f>
        <v>0</v>
      </c>
      <c r="H27" s="1">
        <f>SUM(Calcs!H74, Calcs!H85)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37</v>
      </c>
    </row>
    <row r="30" spans="2:21" x14ac:dyDescent="0.25">
      <c r="C30" t="s">
        <v>38</v>
      </c>
      <c r="D30" s="1">
        <f>SUM(Calcs!D110:D114)</f>
        <v>-2880</v>
      </c>
      <c r="E30" s="1">
        <f>SUM(Calcs!E110:E114)</f>
        <v>0</v>
      </c>
      <c r="F30" s="1">
        <f>SUM(Calcs!F110:F114)</f>
        <v>0</v>
      </c>
      <c r="G30" s="1">
        <f>SUM(Calcs!G110:G114)</f>
        <v>0</v>
      </c>
      <c r="H30" s="1">
        <f>SUM(Calcs!H110:H114)</f>
        <v>0</v>
      </c>
      <c r="I30" s="1"/>
      <c r="J30" s="1"/>
      <c r="K30" s="1"/>
      <c r="M30" s="1"/>
      <c r="O30" s="8"/>
      <c r="P30" s="3"/>
      <c r="Q30" s="3"/>
      <c r="S30" s="1"/>
      <c r="T30" s="1"/>
      <c r="U30" s="1"/>
    </row>
    <row r="31" spans="2:21" x14ac:dyDescent="0.25">
      <c r="C31" t="s">
        <v>115</v>
      </c>
      <c r="D31" s="1">
        <f>Calcs!D120</f>
        <v>0</v>
      </c>
      <c r="E31" s="1">
        <f>Calcs!E120</f>
        <v>0</v>
      </c>
      <c r="F31" s="1">
        <f>Calcs!F120</f>
        <v>0</v>
      </c>
      <c r="G31" s="1">
        <f>Calcs!G120</f>
        <v>0</v>
      </c>
      <c r="H31" s="1">
        <f>Calcs!H120</f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2" spans="2:21" x14ac:dyDescent="0.25">
      <c r="C32" t="s">
        <v>82</v>
      </c>
      <c r="D32" s="1">
        <f>Calcs!D122</f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M32" s="1"/>
      <c r="O32" s="3"/>
      <c r="P32" s="3"/>
      <c r="Q32" s="3"/>
      <c r="S32" s="1"/>
      <c r="T32" s="1"/>
      <c r="U32" s="1"/>
    </row>
    <row r="34" spans="2:21" x14ac:dyDescent="0.25">
      <c r="B34" s="6" t="s">
        <v>39</v>
      </c>
      <c r="D34" s="7">
        <f>SUM(D7:D16, D19:D27, D30:D32)</f>
        <v>54720</v>
      </c>
      <c r="E34" s="7">
        <f>SUM(E7:E16, E19:E27, E30:E31)</f>
        <v>0</v>
      </c>
      <c r="F34" s="7">
        <f>SUM(F7:F16, F19:F27, F30:F31)</f>
        <v>0</v>
      </c>
      <c r="G34" s="7">
        <f>SUM(G7:G16, G19:G27, G30:G31)</f>
        <v>0</v>
      </c>
      <c r="H34" s="7">
        <f>SUM(H7:H16, H19:H27, H30:H31)</f>
        <v>0</v>
      </c>
      <c r="I34" s="7"/>
      <c r="J34" s="7"/>
      <c r="K34" s="7"/>
      <c r="M34" s="1"/>
      <c r="S34" s="1"/>
      <c r="T34" s="1"/>
      <c r="U34" s="1"/>
    </row>
    <row r="35" spans="2:21" x14ac:dyDescent="0.25">
      <c r="D35" s="7">
        <f>D34/4</f>
        <v>13680</v>
      </c>
      <c r="E35" s="7"/>
      <c r="F35" s="7"/>
      <c r="G35" s="7"/>
      <c r="H35" s="7"/>
      <c r="I35" s="7"/>
      <c r="J35" s="7"/>
      <c r="K35" s="7"/>
      <c r="M35" s="1"/>
      <c r="S35" s="1"/>
      <c r="T35" s="1"/>
      <c r="U35" s="1"/>
    </row>
    <row r="36" spans="2:21" x14ac:dyDescent="0.25">
      <c r="B36" s="6" t="s">
        <v>74</v>
      </c>
      <c r="D36" s="7"/>
      <c r="E36" s="7"/>
      <c r="F36" s="7"/>
      <c r="G36" s="7"/>
      <c r="H36" s="7"/>
      <c r="I36" s="7"/>
      <c r="J36" s="7"/>
      <c r="K36" s="7"/>
      <c r="M36" s="1"/>
      <c r="O36" s="8"/>
      <c r="P36" s="8"/>
      <c r="Q36" s="8"/>
      <c r="S36" s="1"/>
      <c r="T36" s="1"/>
      <c r="U36" s="1"/>
    </row>
    <row r="37" spans="2:21" x14ac:dyDescent="0.25">
      <c r="C37" s="64">
        <f>INDEX(Outputs_Timeline!$D$3:$D$94,MATCH(Inputs!$C$1,Outputs_Timeline!$B$3:$B$94,0),1)</f>
        <v>1.0125</v>
      </c>
    </row>
    <row r="38" spans="2:21" x14ac:dyDescent="0.25">
      <c r="C38" s="64"/>
    </row>
    <row r="39" spans="2:21" x14ac:dyDescent="0.25">
      <c r="B39" s="6" t="s">
        <v>145</v>
      </c>
      <c r="C39" s="64"/>
      <c r="D39" s="104"/>
      <c r="E39" s="7"/>
      <c r="F39" s="7"/>
      <c r="G39" s="7"/>
      <c r="H39" s="7"/>
    </row>
    <row r="40" spans="2:21" x14ac:dyDescent="0.25">
      <c r="C40" s="64" t="s">
        <v>143</v>
      </c>
      <c r="D40" s="1">
        <f>IF(Inputs!D$10 = "Y", SUMIF(Outputs_Timeline!$B$3:$B$204,"&lt;" &amp; EDATE(Inputs!$C$1,12), Outputs_Timeline!AD$3:AD$204), 0)</f>
        <v>0</v>
      </c>
      <c r="E40" s="1">
        <f>IF(Inputs!E$10 = "Y", SUMIF(Outputs_Timeline!$B$3:$B$204,"&lt;" &amp; EDATE(Inputs!$C$1,12), Outputs_Timeline!AE$3:AE$204), 0)</f>
        <v>0</v>
      </c>
      <c r="F40" s="1">
        <f>IF(Inputs!F$10 = "Y", SUMIF(Outputs_Timeline!$B$3:$B$204,"&lt;" &amp; EDATE(Inputs!$C$1,12), Outputs_Timeline!AF$3:AF$204), 0)</f>
        <v>0</v>
      </c>
      <c r="G40" s="1">
        <f>IF(Inputs!G$10 = "Y", SUMIF(Outputs_Timeline!$B$3:$B$204,"&lt;" &amp; EDATE(Inputs!$C$1,12), Outputs_Timeline!AG$3:AG$204), 0)</f>
        <v>0</v>
      </c>
      <c r="H40" s="1">
        <f>IF(Inputs!H$10 = "Y", SUMIF(Outputs_Timeline!$B$3:$B$204,"&lt;" &amp; EDATE(Inputs!$C$1,12), Outputs_Timeline!AH$3:AH$204), 0)</f>
        <v>0</v>
      </c>
    </row>
    <row r="41" spans="2:21" x14ac:dyDescent="0.25">
      <c r="C41" s="64" t="s">
        <v>144</v>
      </c>
      <c r="D41" s="1">
        <f>IF(Inputs!D$10 = "Y", SUM(Outputs_Timeline!AD$3:AD$204), 0)</f>
        <v>0</v>
      </c>
      <c r="E41" s="1">
        <f>IF(Inputs!E$10 = "Y", SUM(Outputs_Timeline!AE$3:AE$204), 0)</f>
        <v>0</v>
      </c>
      <c r="F41" s="1">
        <f>IF(Inputs!F$10 = "Y", SUM(Outputs_Timeline!AF$3:AF$204), 0)</f>
        <v>0</v>
      </c>
      <c r="G41" s="1">
        <f>IF(Inputs!G$10 = "Y", SUM(Outputs_Timeline!AG$3:AG$204), 0)</f>
        <v>0</v>
      </c>
      <c r="H41" s="1">
        <f>IF(Inputs!H$10 = "Y", SUM(Outputs_Timeline!AH$3:AH$204), 0)</f>
        <v>0</v>
      </c>
    </row>
    <row r="43" spans="2:21" x14ac:dyDescent="0.25">
      <c r="B43" s="6" t="s">
        <v>73</v>
      </c>
      <c r="D43" s="7">
        <f>(D34/12*Inputs!$C$2+D4)*$C$37+D41</f>
        <v>171274.5</v>
      </c>
      <c r="E43" s="7">
        <f>(E34/12*Inputs!$C$2+E4)*$C$37+E41</f>
        <v>0</v>
      </c>
      <c r="F43" s="7">
        <f>(F34/12*Inputs!$C$2+F4)*$C$37+F41</f>
        <v>0</v>
      </c>
      <c r="G43" s="7">
        <f>(G34/12*Inputs!$C$2+G4)*$C$37+G41</f>
        <v>0</v>
      </c>
      <c r="H43" s="7">
        <f>(H34/12*Inputs!$C$2+H4)*$C$37+H41</f>
        <v>0</v>
      </c>
      <c r="I43" s="7"/>
      <c r="J43" s="7"/>
      <c r="K43" s="7"/>
      <c r="M43" s="1"/>
      <c r="S43" s="1"/>
      <c r="T43" s="1"/>
      <c r="U43" s="1"/>
    </row>
    <row r="45" spans="2:21" x14ac:dyDescent="0.25">
      <c r="E45" s="7"/>
      <c r="F45" s="7"/>
      <c r="G45" s="7"/>
      <c r="H45" s="7"/>
      <c r="I45" s="7"/>
      <c r="J45" s="7"/>
      <c r="K45" s="7"/>
      <c r="L45" s="7"/>
      <c r="M45" s="1"/>
      <c r="S45" s="8"/>
      <c r="T45" s="8"/>
      <c r="U45" s="8"/>
    </row>
    <row r="46" spans="2:21" x14ac:dyDescent="0.25">
      <c r="B46" s="6" t="s">
        <v>70</v>
      </c>
    </row>
    <row r="47" spans="2:21" x14ac:dyDescent="0.25">
      <c r="C47" s="7">
        <f>SUM(Outputs_Timeline!W:W)</f>
        <v>171274.5</v>
      </c>
    </row>
    <row r="48" spans="2:21" x14ac:dyDescent="0.25">
      <c r="C48" s="52">
        <f>SUM(D43:H43)</f>
        <v>171274.5</v>
      </c>
      <c r="D48" s="1"/>
      <c r="G48" s="1"/>
    </row>
    <row r="49" spans="4:6" x14ac:dyDescent="0.25">
      <c r="D49" s="1"/>
      <c r="E49" s="1"/>
      <c r="F49" s="1"/>
    </row>
    <row r="50" spans="4:6" x14ac:dyDescent="0.25">
      <c r="D50" s="2"/>
      <c r="E50" s="1"/>
      <c r="F50" s="1"/>
    </row>
    <row r="51" spans="4:6" x14ac:dyDescent="0.25">
      <c r="D51" s="2"/>
      <c r="E51" s="2"/>
      <c r="F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82"/>
  <sheetViews>
    <sheetView zoomScaleNormal="100" zoomScaleSheetLayoutView="40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9.85546875" customWidth="1"/>
    <col min="6" max="6" width="9.42578125" bestFit="1" customWidth="1"/>
    <col min="8" max="8" width="11.85546875" bestFit="1" customWidth="1"/>
    <col min="9" max="9" width="14.85546875" bestFit="1" customWidth="1"/>
    <col min="10" max="10" width="9.85546875" style="2" bestFit="1" customWidth="1"/>
    <col min="11" max="11" width="9.42578125" bestFit="1" customWidth="1"/>
    <col min="12" max="12" width="9.28515625" customWidth="1"/>
    <col min="13" max="13" width="11.85546875" bestFit="1" customWidth="1"/>
    <col min="14" max="14" width="14.85546875" bestFit="1" customWidth="1"/>
    <col min="16" max="17" width="11.85546875" bestFit="1" customWidth="1"/>
  </cols>
  <sheetData>
    <row r="1" spans="2:17" x14ac:dyDescent="0.25">
      <c r="F1" s="50" t="s">
        <v>57</v>
      </c>
      <c r="G1" s="50"/>
      <c r="H1" s="50"/>
      <c r="I1" s="50"/>
    </row>
    <row r="2" spans="2:17" x14ac:dyDescent="0.25">
      <c r="D2" s="9" t="s">
        <v>43</v>
      </c>
      <c r="F2" s="9" t="s">
        <v>40</v>
      </c>
      <c r="G2" s="9" t="s">
        <v>41</v>
      </c>
      <c r="H2" s="9" t="s">
        <v>79</v>
      </c>
      <c r="I2" s="9" t="s">
        <v>78</v>
      </c>
      <c r="J2" s="110"/>
      <c r="K2" s="9" t="s">
        <v>40</v>
      </c>
      <c r="L2" s="9" t="s">
        <v>41</v>
      </c>
      <c r="M2" s="9" t="s">
        <v>79</v>
      </c>
      <c r="N2" s="9" t="s">
        <v>78</v>
      </c>
    </row>
    <row r="3" spans="2:17" x14ac:dyDescent="0.25">
      <c r="B3" s="6" t="s">
        <v>0</v>
      </c>
    </row>
    <row r="4" spans="2:17" x14ac:dyDescent="0.25">
      <c r="C4" t="s">
        <v>75</v>
      </c>
      <c r="D4" s="1">
        <f>SUMIF(Inputs!$D$7:$H$7, "Y", Outputs_External!D4:'Outputs_External'!H4)</f>
        <v>5000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7" x14ac:dyDescent="0.25">
      <c r="C5" t="s">
        <v>76</v>
      </c>
      <c r="D5" s="1">
        <f>SUMIF(Inputs!$D$7:$H$7, "N", Outputs_External!D4:'Outputs_External'!H4)</f>
        <v>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7" x14ac:dyDescent="0.25">
      <c r="D6" s="1"/>
      <c r="E6" s="3"/>
      <c r="F6" s="10"/>
      <c r="G6" s="10"/>
      <c r="H6" s="51"/>
      <c r="I6" s="51"/>
      <c r="K6" s="12"/>
      <c r="L6" s="12"/>
      <c r="M6" s="12"/>
      <c r="N6" s="12"/>
    </row>
    <row r="7" spans="2:17" x14ac:dyDescent="0.25">
      <c r="D7" s="7" t="s">
        <v>132</v>
      </c>
      <c r="E7" s="3"/>
      <c r="F7" s="10"/>
      <c r="G7" s="10"/>
      <c r="H7" s="99">
        <v>7.4999999999999997E-2</v>
      </c>
      <c r="I7" s="51"/>
      <c r="K7" s="12"/>
      <c r="L7" s="12"/>
      <c r="M7" s="12"/>
      <c r="N7" s="12"/>
    </row>
    <row r="8" spans="2:17" x14ac:dyDescent="0.25">
      <c r="F8" s="11"/>
      <c r="G8" s="11"/>
      <c r="H8" s="26"/>
      <c r="I8" s="26"/>
      <c r="K8" s="9"/>
      <c r="L8" s="9"/>
      <c r="M8" s="9"/>
    </row>
    <row r="9" spans="2:17" x14ac:dyDescent="0.25">
      <c r="B9" s="6" t="s">
        <v>53</v>
      </c>
      <c r="F9" s="11"/>
      <c r="G9" s="11"/>
      <c r="H9" s="26"/>
      <c r="I9" s="26"/>
      <c r="K9" s="9"/>
      <c r="L9" s="9"/>
      <c r="M9" s="9"/>
    </row>
    <row r="10" spans="2:17" x14ac:dyDescent="0.25">
      <c r="C10" s="15" t="s">
        <v>2</v>
      </c>
      <c r="D10" s="16">
        <f>SUM(Calcs!D14:H14)</f>
        <v>15000</v>
      </c>
      <c r="E10" s="3"/>
      <c r="F10" s="75">
        <v>0.4</v>
      </c>
      <c r="G10" s="75">
        <v>0.6</v>
      </c>
      <c r="H10" s="34">
        <f t="shared" ref="H10:H20" si="1">1-SUM(F10:G10)</f>
        <v>0</v>
      </c>
      <c r="I10" s="34">
        <v>0</v>
      </c>
      <c r="K10" s="16">
        <f>(IF(Inputs!C5="New York",$H$7,-$H$7)+F10)*$D10</f>
        <v>7125.0000000000009</v>
      </c>
      <c r="L10" s="100">
        <f>(IF(Inputs!C5="New York",-$H$7,$H$7)+G10)*D10</f>
        <v>7875</v>
      </c>
      <c r="M10" s="16">
        <f t="shared" ref="M10:N20" si="2">H10*$D10</f>
        <v>0</v>
      </c>
      <c r="N10" s="16">
        <f>I10*$D10</f>
        <v>0</v>
      </c>
      <c r="P10" s="101"/>
      <c r="Q10" s="101"/>
    </row>
    <row r="11" spans="2:17" x14ac:dyDescent="0.25">
      <c r="C11" s="17" t="s">
        <v>20</v>
      </c>
      <c r="D11" s="18">
        <f>SUM(Calcs!D15:H15)</f>
        <v>1000</v>
      </c>
      <c r="E11" s="2"/>
      <c r="F11" s="32">
        <v>0.1</v>
      </c>
      <c r="G11" s="32">
        <v>0.9</v>
      </c>
      <c r="H11" s="36">
        <f t="shared" si="1"/>
        <v>0</v>
      </c>
      <c r="I11" s="36">
        <v>0</v>
      </c>
      <c r="K11" s="18">
        <f t="shared" ref="K11:K20" si="3">F11*$D11</f>
        <v>100</v>
      </c>
      <c r="L11" s="18">
        <f t="shared" ref="L11:L19" si="4">G11*$D11</f>
        <v>900</v>
      </c>
      <c r="M11" s="18">
        <f t="shared" si="2"/>
        <v>0</v>
      </c>
      <c r="N11" s="18">
        <f t="shared" si="2"/>
        <v>0</v>
      </c>
    </row>
    <row r="12" spans="2:17" x14ac:dyDescent="0.25">
      <c r="C12" s="17" t="s">
        <v>8</v>
      </c>
      <c r="D12" s="18">
        <f>SUM(Calcs!D16:H16)</f>
        <v>4000</v>
      </c>
      <c r="E12" s="2"/>
      <c r="F12" s="74">
        <v>0.45</v>
      </c>
      <c r="G12" s="74">
        <v>0.45</v>
      </c>
      <c r="H12" s="36">
        <v>0</v>
      </c>
      <c r="I12" s="36">
        <v>0.1</v>
      </c>
      <c r="K12" s="18">
        <f t="shared" si="3"/>
        <v>1800</v>
      </c>
      <c r="L12" s="18">
        <f t="shared" si="4"/>
        <v>1800</v>
      </c>
      <c r="M12" s="18">
        <f t="shared" si="2"/>
        <v>0</v>
      </c>
      <c r="N12" s="18">
        <f t="shared" si="2"/>
        <v>400</v>
      </c>
    </row>
    <row r="13" spans="2:17" x14ac:dyDescent="0.25">
      <c r="C13" s="17" t="s">
        <v>21</v>
      </c>
      <c r="D13" s="18">
        <f>SUM(Calcs!D17:H17)</f>
        <v>2000</v>
      </c>
      <c r="E13" s="2"/>
      <c r="F13" s="32">
        <v>0.9</v>
      </c>
      <c r="G13" s="32">
        <v>0.1</v>
      </c>
      <c r="H13" s="36">
        <f t="shared" si="1"/>
        <v>0</v>
      </c>
      <c r="I13" s="36">
        <v>0</v>
      </c>
      <c r="K13" s="18">
        <f t="shared" si="3"/>
        <v>1800</v>
      </c>
      <c r="L13" s="18">
        <f t="shared" si="4"/>
        <v>200</v>
      </c>
      <c r="M13" s="18">
        <f t="shared" si="2"/>
        <v>0</v>
      </c>
      <c r="N13" s="18">
        <f t="shared" si="2"/>
        <v>0</v>
      </c>
    </row>
    <row r="14" spans="2:17" x14ac:dyDescent="0.25">
      <c r="C14" s="17" t="s">
        <v>9</v>
      </c>
      <c r="D14" s="18">
        <f>SUM(Calcs!D18:H18)</f>
        <v>2000</v>
      </c>
      <c r="E14" s="2"/>
      <c r="F14" s="32">
        <v>0.65</v>
      </c>
      <c r="G14" s="32">
        <v>0.35</v>
      </c>
      <c r="H14" s="36">
        <f t="shared" si="1"/>
        <v>0</v>
      </c>
      <c r="I14" s="36">
        <v>0</v>
      </c>
      <c r="K14" s="18">
        <f t="shared" si="3"/>
        <v>1300</v>
      </c>
      <c r="L14" s="18">
        <f t="shared" si="4"/>
        <v>700</v>
      </c>
      <c r="M14" s="18">
        <f t="shared" si="2"/>
        <v>0</v>
      </c>
      <c r="N14" s="18">
        <f t="shared" si="2"/>
        <v>0</v>
      </c>
    </row>
    <row r="15" spans="2:17" x14ac:dyDescent="0.25">
      <c r="C15" s="17" t="s">
        <v>10</v>
      </c>
      <c r="D15" s="18">
        <f>SUM(Calcs!D19:H19)</f>
        <v>6000</v>
      </c>
      <c r="E15" s="2"/>
      <c r="F15" s="32">
        <v>0.5</v>
      </c>
      <c r="G15" s="32">
        <v>0.5</v>
      </c>
      <c r="H15" s="36">
        <v>0</v>
      </c>
      <c r="I15" s="36">
        <v>0</v>
      </c>
      <c r="K15" s="18">
        <f t="shared" si="3"/>
        <v>3000</v>
      </c>
      <c r="L15" s="18">
        <f t="shared" si="4"/>
        <v>3000</v>
      </c>
      <c r="M15" s="18">
        <f t="shared" si="2"/>
        <v>0</v>
      </c>
      <c r="N15" s="18">
        <f>I15*$D15</f>
        <v>0</v>
      </c>
    </row>
    <row r="16" spans="2:17" x14ac:dyDescent="0.25">
      <c r="C16" s="17" t="s">
        <v>77</v>
      </c>
      <c r="D16" s="18">
        <f>SUM(Calcs!D20:H20)</f>
        <v>4000</v>
      </c>
      <c r="E16" s="2"/>
      <c r="F16" s="74">
        <v>0.9</v>
      </c>
      <c r="G16" s="74">
        <v>0.1</v>
      </c>
      <c r="H16" s="36">
        <f t="shared" si="1"/>
        <v>0</v>
      </c>
      <c r="I16" s="36">
        <v>0</v>
      </c>
      <c r="K16" s="18">
        <f t="shared" si="3"/>
        <v>3600</v>
      </c>
      <c r="L16" s="18">
        <f t="shared" si="4"/>
        <v>400</v>
      </c>
      <c r="M16" s="18">
        <f t="shared" si="2"/>
        <v>0</v>
      </c>
      <c r="N16" s="18">
        <f t="shared" si="2"/>
        <v>0</v>
      </c>
    </row>
    <row r="17" spans="2:14" x14ac:dyDescent="0.25">
      <c r="C17" s="17" t="s">
        <v>154</v>
      </c>
      <c r="D17" s="18">
        <f>SUM(Calcs!D21:H21)</f>
        <v>0</v>
      </c>
      <c r="E17" s="2"/>
      <c r="F17" s="32">
        <v>0.1</v>
      </c>
      <c r="G17" s="32">
        <v>0.9</v>
      </c>
      <c r="H17" s="36">
        <v>0</v>
      </c>
      <c r="I17" s="36">
        <v>0</v>
      </c>
      <c r="K17" s="18">
        <f t="shared" ref="K17" si="5">F17*$D17</f>
        <v>0</v>
      </c>
      <c r="L17" s="18">
        <f t="shared" ref="L17" si="6">G17*$D17</f>
        <v>0</v>
      </c>
      <c r="M17" s="18">
        <f t="shared" ref="M17" si="7">H17*$D17</f>
        <v>0</v>
      </c>
      <c r="N17" s="18">
        <f t="shared" ref="N17" si="8">I17*$D17</f>
        <v>0</v>
      </c>
    </row>
    <row r="18" spans="2:14" x14ac:dyDescent="0.25">
      <c r="C18" s="19" t="s">
        <v>11</v>
      </c>
      <c r="D18" s="20">
        <f>SUM(Calcs!D22:H22)</f>
        <v>0</v>
      </c>
      <c r="E18" s="2"/>
      <c r="F18" s="33">
        <v>0.1</v>
      </c>
      <c r="G18" s="33">
        <v>0.9</v>
      </c>
      <c r="H18" s="37">
        <f t="shared" si="1"/>
        <v>0</v>
      </c>
      <c r="I18" s="37">
        <v>0</v>
      </c>
      <c r="K18" s="20">
        <f t="shared" si="3"/>
        <v>0</v>
      </c>
      <c r="L18" s="20">
        <f t="shared" si="4"/>
        <v>0</v>
      </c>
      <c r="M18" s="20">
        <f t="shared" si="2"/>
        <v>0</v>
      </c>
      <c r="N18" s="20">
        <f t="shared" si="2"/>
        <v>0</v>
      </c>
    </row>
    <row r="19" spans="2:14" x14ac:dyDescent="0.25">
      <c r="C19" s="19" t="s">
        <v>149</v>
      </c>
      <c r="D19" s="20">
        <f>SUM(Calcs!D23:H23)</f>
        <v>0</v>
      </c>
      <c r="E19" s="2"/>
      <c r="F19" s="33">
        <v>0.1</v>
      </c>
      <c r="G19" s="33">
        <v>0.9</v>
      </c>
      <c r="H19" s="37">
        <f t="shared" si="1"/>
        <v>0</v>
      </c>
      <c r="I19" s="37">
        <v>0</v>
      </c>
      <c r="K19" s="20">
        <f t="shared" si="3"/>
        <v>0</v>
      </c>
      <c r="L19" s="20">
        <f t="shared" si="4"/>
        <v>0</v>
      </c>
      <c r="M19" s="20">
        <f t="shared" si="2"/>
        <v>0</v>
      </c>
      <c r="N19" s="20">
        <f t="shared" si="2"/>
        <v>0</v>
      </c>
    </row>
    <row r="20" spans="2:14" x14ac:dyDescent="0.25">
      <c r="C20" s="19" t="s">
        <v>22</v>
      </c>
      <c r="D20" s="20">
        <f>SUM(Calcs!D24:H24)</f>
        <v>0</v>
      </c>
      <c r="E20" s="2"/>
      <c r="F20" s="33">
        <v>0.1</v>
      </c>
      <c r="G20" s="33">
        <v>0.9</v>
      </c>
      <c r="H20" s="37">
        <f t="shared" si="1"/>
        <v>0</v>
      </c>
      <c r="I20" s="37">
        <v>0</v>
      </c>
      <c r="K20" s="20">
        <f t="shared" si="3"/>
        <v>0</v>
      </c>
      <c r="L20" s="20">
        <f>G20*$D20</f>
        <v>0</v>
      </c>
      <c r="M20" s="20">
        <f t="shared" si="2"/>
        <v>0</v>
      </c>
      <c r="N20" s="20">
        <f t="shared" si="2"/>
        <v>0</v>
      </c>
    </row>
    <row r="21" spans="2:14" x14ac:dyDescent="0.25">
      <c r="E21" s="2"/>
      <c r="F21" s="11"/>
      <c r="G21" s="11"/>
      <c r="H21" s="11"/>
      <c r="I21" s="11"/>
      <c r="K21" s="9"/>
      <c r="L21" s="9"/>
      <c r="M21" s="9"/>
    </row>
    <row r="22" spans="2:14" x14ac:dyDescent="0.25">
      <c r="E22" s="2"/>
      <c r="G22" s="48" t="s">
        <v>128</v>
      </c>
      <c r="H22" s="99">
        <v>7.4999999999999997E-2</v>
      </c>
      <c r="I22" s="10"/>
      <c r="K22" s="9"/>
      <c r="L22" s="9"/>
      <c r="M22" s="9"/>
    </row>
    <row r="23" spans="2:14" x14ac:dyDescent="0.25">
      <c r="E23" s="2"/>
      <c r="F23" s="11"/>
      <c r="G23" s="11"/>
      <c r="H23" s="11"/>
      <c r="I23" s="11"/>
      <c r="K23" s="9"/>
      <c r="L23" s="9"/>
      <c r="M23" s="9"/>
    </row>
    <row r="24" spans="2:14" x14ac:dyDescent="0.25">
      <c r="B24" s="6" t="s">
        <v>54</v>
      </c>
      <c r="E24" s="2"/>
      <c r="F24" s="11"/>
      <c r="G24" s="11"/>
      <c r="H24" s="11"/>
      <c r="I24" s="11"/>
      <c r="K24" s="9"/>
      <c r="L24" s="9"/>
      <c r="M24" s="9"/>
    </row>
    <row r="25" spans="2:14" x14ac:dyDescent="0.25">
      <c r="C25" s="15" t="s">
        <v>2</v>
      </c>
      <c r="D25" s="16">
        <f>SUM(Calcs!D27:H27)</f>
        <v>0</v>
      </c>
      <c r="E25" s="2"/>
      <c r="F25" s="34">
        <f>(1-G25)*F10/SUM(F10,H10)</f>
        <v>0.32500000000000007</v>
      </c>
      <c r="G25" s="34">
        <f t="shared" ref="G25:G35" si="9">MIN(1,G10+$H$22)</f>
        <v>0.67499999999999993</v>
      </c>
      <c r="H25" s="34">
        <f t="shared" ref="H25:H34" si="10">IF(H10=0, 0,(1-G25)*H10/SUM(F10,H10))</f>
        <v>0</v>
      </c>
      <c r="I25" s="34">
        <f t="shared" ref="I25:I34" si="11">IF(I10=0, 0,(1-G25)*I10/SUM(F10,I10))</f>
        <v>0</v>
      </c>
      <c r="K25" s="16">
        <f>(IF(Inputs!C5="New York",$H$7,-$H$7)+F25)*$D25</f>
        <v>0</v>
      </c>
      <c r="L25" s="16">
        <f>(IF(Inputs!C5="New York",-$H$7,$H$7)+G25)*$D25</f>
        <v>0</v>
      </c>
      <c r="M25" s="16">
        <f>H25*$D25</f>
        <v>0</v>
      </c>
      <c r="N25" s="16">
        <f>I25*$D25</f>
        <v>0</v>
      </c>
    </row>
    <row r="26" spans="2:14" x14ac:dyDescent="0.25">
      <c r="C26" s="17" t="s">
        <v>20</v>
      </c>
      <c r="D26" s="18">
        <f>SUM(Calcs!D28:H28)</f>
        <v>0</v>
      </c>
      <c r="E26" s="2"/>
      <c r="F26" s="36">
        <f>(1-G26)*F11/SUM(F11,H11)</f>
        <v>2.5000000000000022E-2</v>
      </c>
      <c r="G26" s="36">
        <f t="shared" si="9"/>
        <v>0.97499999999999998</v>
      </c>
      <c r="H26" s="36">
        <f t="shared" si="10"/>
        <v>0</v>
      </c>
      <c r="I26" s="36">
        <f t="shared" si="11"/>
        <v>0</v>
      </c>
      <c r="K26" s="18">
        <f t="shared" ref="K26:K35" si="12">F26*$D26</f>
        <v>0</v>
      </c>
      <c r="L26" s="18">
        <f t="shared" ref="L26:L35" si="13">G26*$D26</f>
        <v>0</v>
      </c>
      <c r="M26" s="18">
        <f t="shared" ref="M26:N35" si="14">H26*$D26</f>
        <v>0</v>
      </c>
      <c r="N26" s="18">
        <f t="shared" si="14"/>
        <v>0</v>
      </c>
    </row>
    <row r="27" spans="2:14" x14ac:dyDescent="0.25">
      <c r="C27" s="17" t="s">
        <v>8</v>
      </c>
      <c r="D27" s="18">
        <f>SUM(Calcs!D29:H29)</f>
        <v>0</v>
      </c>
      <c r="E27" s="2"/>
      <c r="F27" s="36">
        <f>(1-G27)*F12/SUM(F12,H12, I12)</f>
        <v>0.38863636363636361</v>
      </c>
      <c r="G27" s="36">
        <f t="shared" si="9"/>
        <v>0.52500000000000002</v>
      </c>
      <c r="H27" s="36">
        <f t="shared" si="10"/>
        <v>0</v>
      </c>
      <c r="I27" s="36">
        <f t="shared" si="11"/>
        <v>8.6363636363636351E-2</v>
      </c>
      <c r="K27" s="18">
        <f t="shared" si="12"/>
        <v>0</v>
      </c>
      <c r="L27" s="18">
        <f t="shared" si="13"/>
        <v>0</v>
      </c>
      <c r="M27" s="18">
        <f t="shared" si="14"/>
        <v>0</v>
      </c>
      <c r="N27" s="18">
        <f t="shared" si="14"/>
        <v>0</v>
      </c>
    </row>
    <row r="28" spans="2:14" x14ac:dyDescent="0.25">
      <c r="C28" s="17" t="s">
        <v>21</v>
      </c>
      <c r="D28" s="18">
        <f>SUM(Calcs!D30:H30)</f>
        <v>0</v>
      </c>
      <c r="E28" s="2"/>
      <c r="F28" s="36">
        <f t="shared" ref="F28:F34" si="15">(1-G28)*F13/SUM(F13,H13)</f>
        <v>0.82499999999999996</v>
      </c>
      <c r="G28" s="36">
        <f t="shared" si="9"/>
        <v>0.17499999999999999</v>
      </c>
      <c r="H28" s="36">
        <f t="shared" si="10"/>
        <v>0</v>
      </c>
      <c r="I28" s="36">
        <f t="shared" si="11"/>
        <v>0</v>
      </c>
      <c r="K28" s="18">
        <f t="shared" si="12"/>
        <v>0</v>
      </c>
      <c r="L28" s="18">
        <f t="shared" si="13"/>
        <v>0</v>
      </c>
      <c r="M28" s="18">
        <f t="shared" si="14"/>
        <v>0</v>
      </c>
      <c r="N28" s="18">
        <f t="shared" si="14"/>
        <v>0</v>
      </c>
    </row>
    <row r="29" spans="2:14" x14ac:dyDescent="0.25">
      <c r="C29" s="17" t="s">
        <v>9</v>
      </c>
      <c r="D29" s="18">
        <f>SUM(Calcs!D31:H31)</f>
        <v>0</v>
      </c>
      <c r="E29" s="2"/>
      <c r="F29" s="36">
        <f t="shared" si="15"/>
        <v>0.57499999999999996</v>
      </c>
      <c r="G29" s="36">
        <f t="shared" si="9"/>
        <v>0.42499999999999999</v>
      </c>
      <c r="H29" s="36">
        <f t="shared" si="10"/>
        <v>0</v>
      </c>
      <c r="I29" s="36">
        <f t="shared" si="11"/>
        <v>0</v>
      </c>
      <c r="K29" s="18">
        <f t="shared" si="12"/>
        <v>0</v>
      </c>
      <c r="L29" s="18">
        <f t="shared" si="13"/>
        <v>0</v>
      </c>
      <c r="M29" s="18">
        <f t="shared" si="14"/>
        <v>0</v>
      </c>
      <c r="N29" s="18">
        <f t="shared" si="14"/>
        <v>0</v>
      </c>
    </row>
    <row r="30" spans="2:14" x14ac:dyDescent="0.25">
      <c r="C30" s="17" t="s">
        <v>10</v>
      </c>
      <c r="D30" s="18">
        <f>SUM(Calcs!D32:H32)</f>
        <v>0</v>
      </c>
      <c r="E30" s="2"/>
      <c r="F30" s="36">
        <f t="shared" si="15"/>
        <v>0.42500000000000004</v>
      </c>
      <c r="G30" s="36">
        <f t="shared" si="9"/>
        <v>0.57499999999999996</v>
      </c>
      <c r="H30" s="36">
        <f t="shared" si="10"/>
        <v>0</v>
      </c>
      <c r="I30" s="36">
        <f t="shared" si="11"/>
        <v>0</v>
      </c>
      <c r="K30" s="18">
        <f t="shared" si="12"/>
        <v>0</v>
      </c>
      <c r="L30" s="18">
        <f t="shared" si="13"/>
        <v>0</v>
      </c>
      <c r="M30" s="18">
        <f t="shared" si="14"/>
        <v>0</v>
      </c>
      <c r="N30" s="18">
        <f t="shared" si="14"/>
        <v>0</v>
      </c>
    </row>
    <row r="31" spans="2:14" x14ac:dyDescent="0.25">
      <c r="C31" s="17" t="s">
        <v>77</v>
      </c>
      <c r="D31" s="18">
        <f>SUM(Calcs!D33:H33)</f>
        <v>0</v>
      </c>
      <c r="E31" s="2"/>
      <c r="F31" s="36">
        <f t="shared" si="15"/>
        <v>0.82499999999999996</v>
      </c>
      <c r="G31" s="36">
        <f t="shared" si="9"/>
        <v>0.17499999999999999</v>
      </c>
      <c r="H31" s="36">
        <f t="shared" si="10"/>
        <v>0</v>
      </c>
      <c r="I31" s="36">
        <f t="shared" si="11"/>
        <v>0</v>
      </c>
      <c r="K31" s="18">
        <f t="shared" si="12"/>
        <v>0</v>
      </c>
      <c r="L31" s="18">
        <f t="shared" si="13"/>
        <v>0</v>
      </c>
      <c r="M31" s="18">
        <f t="shared" si="14"/>
        <v>0</v>
      </c>
      <c r="N31" s="18">
        <f t="shared" si="14"/>
        <v>0</v>
      </c>
    </row>
    <row r="32" spans="2:14" x14ac:dyDescent="0.25">
      <c r="C32" s="17" t="s">
        <v>154</v>
      </c>
      <c r="D32" s="18">
        <f>SUM(Calcs!D34:H34)</f>
        <v>0</v>
      </c>
      <c r="E32" s="2"/>
      <c r="F32" s="36">
        <f t="shared" si="15"/>
        <v>2.5000000000000022E-2</v>
      </c>
      <c r="G32" s="36">
        <f t="shared" si="9"/>
        <v>0.97499999999999998</v>
      </c>
      <c r="H32" s="36">
        <f t="shared" si="10"/>
        <v>0</v>
      </c>
      <c r="I32" s="36">
        <f t="shared" si="11"/>
        <v>0</v>
      </c>
      <c r="K32" s="18">
        <f t="shared" ref="K32" si="16">F32*$D32</f>
        <v>0</v>
      </c>
      <c r="L32" s="18">
        <f t="shared" ref="L32" si="17">G32*$D32</f>
        <v>0</v>
      </c>
      <c r="M32" s="18">
        <f t="shared" ref="M32" si="18">H32*$D32</f>
        <v>0</v>
      </c>
      <c r="N32" s="18">
        <f t="shared" ref="N32" si="19">I32*$D32</f>
        <v>0</v>
      </c>
    </row>
    <row r="33" spans="2:14" x14ac:dyDescent="0.25">
      <c r="C33" s="19" t="s">
        <v>11</v>
      </c>
      <c r="D33" s="20">
        <f>SUM(Calcs!D35:H35)</f>
        <v>0</v>
      </c>
      <c r="E33" s="2"/>
      <c r="F33" s="37">
        <f t="shared" si="15"/>
        <v>2.5000000000000022E-2</v>
      </c>
      <c r="G33" s="37">
        <f t="shared" si="9"/>
        <v>0.97499999999999998</v>
      </c>
      <c r="H33" s="37">
        <f t="shared" si="10"/>
        <v>0</v>
      </c>
      <c r="I33" s="37">
        <f t="shared" si="11"/>
        <v>0</v>
      </c>
      <c r="K33" s="20">
        <f t="shared" si="12"/>
        <v>0</v>
      </c>
      <c r="L33" s="20">
        <f t="shared" si="13"/>
        <v>0</v>
      </c>
      <c r="M33" s="20">
        <f t="shared" si="14"/>
        <v>0</v>
      </c>
      <c r="N33" s="20">
        <f t="shared" si="14"/>
        <v>0</v>
      </c>
    </row>
    <row r="34" spans="2:14" x14ac:dyDescent="0.25">
      <c r="C34" s="19" t="s">
        <v>149</v>
      </c>
      <c r="D34" s="20">
        <f>SUM(Calcs!D36:H36)</f>
        <v>0</v>
      </c>
      <c r="E34" s="2"/>
      <c r="F34" s="37">
        <f t="shared" si="15"/>
        <v>2.5000000000000022E-2</v>
      </c>
      <c r="G34" s="37">
        <f t="shared" si="9"/>
        <v>0.97499999999999998</v>
      </c>
      <c r="H34" s="37">
        <f t="shared" si="10"/>
        <v>0</v>
      </c>
      <c r="I34" s="37">
        <f t="shared" si="11"/>
        <v>0</v>
      </c>
      <c r="K34" s="20">
        <f t="shared" si="12"/>
        <v>0</v>
      </c>
      <c r="L34" s="20">
        <f t="shared" si="13"/>
        <v>0</v>
      </c>
      <c r="M34" s="20">
        <f t="shared" si="14"/>
        <v>0</v>
      </c>
      <c r="N34" s="20">
        <f t="shared" si="14"/>
        <v>0</v>
      </c>
    </row>
    <row r="35" spans="2:14" x14ac:dyDescent="0.25">
      <c r="C35" s="28" t="s">
        <v>22</v>
      </c>
      <c r="D35" s="29">
        <f>SUM(Calcs!D37:H37)</f>
        <v>0</v>
      </c>
      <c r="E35" s="2"/>
      <c r="F35" s="35">
        <f t="shared" ref="F35" si="20">(1-G35)*F20/SUM(F20,H20)</f>
        <v>2.5000000000000022E-2</v>
      </c>
      <c r="G35" s="35">
        <f t="shared" si="9"/>
        <v>0.97499999999999998</v>
      </c>
      <c r="H35" s="35">
        <f t="shared" ref="H35" si="21">IF(H20=0, 0,(1-G35)*H20/SUM(F20,H20))</f>
        <v>0</v>
      </c>
      <c r="I35" s="35">
        <f t="shared" ref="I35" si="22">IF(I20=0, 0,(1-G35)*I20/SUM(F20,I20))</f>
        <v>0</v>
      </c>
      <c r="K35" s="29">
        <f t="shared" si="12"/>
        <v>0</v>
      </c>
      <c r="L35" s="29">
        <f t="shared" si="13"/>
        <v>0</v>
      </c>
      <c r="M35" s="29">
        <f t="shared" si="14"/>
        <v>0</v>
      </c>
      <c r="N35" s="29">
        <f t="shared" si="14"/>
        <v>0</v>
      </c>
    </row>
    <row r="36" spans="2:14" x14ac:dyDescent="0.25">
      <c r="E36" s="2"/>
      <c r="F36" s="11"/>
      <c r="G36" s="11"/>
      <c r="H36" s="11"/>
      <c r="I36" s="11"/>
      <c r="K36" s="9"/>
      <c r="L36" s="9"/>
      <c r="M36" s="9"/>
    </row>
    <row r="37" spans="2:14" x14ac:dyDescent="0.25">
      <c r="B37" s="6" t="s">
        <v>46</v>
      </c>
      <c r="E37" s="2"/>
      <c r="F37" s="11"/>
      <c r="G37" s="11"/>
      <c r="H37" s="11"/>
      <c r="I37" s="11"/>
      <c r="K37" s="9"/>
      <c r="L37" s="9"/>
      <c r="M37" s="9"/>
    </row>
    <row r="38" spans="2:14" x14ac:dyDescent="0.25">
      <c r="C38" s="17" t="s">
        <v>13</v>
      </c>
      <c r="D38" s="18">
        <f>SUM(Calcs!D88:H88)</f>
        <v>0</v>
      </c>
      <c r="E38" s="2"/>
      <c r="F38" s="32">
        <v>0.9</v>
      </c>
      <c r="G38" s="32">
        <v>0.1</v>
      </c>
      <c r="H38" s="36">
        <f>1-SUM(F38:G38)</f>
        <v>0</v>
      </c>
      <c r="I38" s="36">
        <v>0</v>
      </c>
      <c r="K38" s="18">
        <f t="shared" ref="K38:N46" si="23">F38*$D38</f>
        <v>0</v>
      </c>
      <c r="L38" s="18">
        <f t="shared" si="23"/>
        <v>0</v>
      </c>
      <c r="M38" s="18">
        <f t="shared" si="23"/>
        <v>0</v>
      </c>
      <c r="N38" s="18">
        <f t="shared" si="23"/>
        <v>0</v>
      </c>
    </row>
    <row r="39" spans="2:14" x14ac:dyDescent="0.25">
      <c r="C39" s="17" t="s">
        <v>14</v>
      </c>
      <c r="D39" s="18">
        <f>SUM(Calcs!D89:H89)</f>
        <v>14000</v>
      </c>
      <c r="E39" s="2"/>
      <c r="F39" s="32">
        <v>0.9</v>
      </c>
      <c r="G39" s="32">
        <v>0.1</v>
      </c>
      <c r="H39" s="36">
        <f>1-SUM(F39:G39)</f>
        <v>0</v>
      </c>
      <c r="I39" s="36">
        <v>0</v>
      </c>
      <c r="K39" s="18">
        <f t="shared" si="23"/>
        <v>12600</v>
      </c>
      <c r="L39" s="18">
        <f t="shared" si="23"/>
        <v>1400</v>
      </c>
      <c r="M39" s="18">
        <f t="shared" si="23"/>
        <v>0</v>
      </c>
      <c r="N39" s="18">
        <f t="shared" si="23"/>
        <v>0</v>
      </c>
    </row>
    <row r="40" spans="2:14" x14ac:dyDescent="0.25">
      <c r="C40" s="19" t="s">
        <v>15</v>
      </c>
      <c r="D40" s="20">
        <f>SUM(Calcs!D90:H90)</f>
        <v>0</v>
      </c>
      <c r="E40" s="2"/>
      <c r="F40" s="33">
        <v>0.1</v>
      </c>
      <c r="G40" s="33">
        <v>0.9</v>
      </c>
      <c r="H40" s="37">
        <f t="shared" ref="H40:H46" si="24">1-SUM(F40:G40)</f>
        <v>0</v>
      </c>
      <c r="I40" s="37">
        <v>0</v>
      </c>
      <c r="K40" s="20">
        <f t="shared" si="23"/>
        <v>0</v>
      </c>
      <c r="L40" s="20">
        <f t="shared" si="23"/>
        <v>0</v>
      </c>
      <c r="M40" s="20">
        <f t="shared" si="23"/>
        <v>0</v>
      </c>
      <c r="N40" s="20">
        <f t="shared" si="23"/>
        <v>0</v>
      </c>
    </row>
    <row r="41" spans="2:14" x14ac:dyDescent="0.25">
      <c r="C41" s="19" t="s">
        <v>129</v>
      </c>
      <c r="D41" s="20">
        <f>SUM(Calcs!D91:H91)</f>
        <v>0</v>
      </c>
      <c r="E41" s="2"/>
      <c r="F41" s="33">
        <v>0.1</v>
      </c>
      <c r="G41" s="33">
        <v>0.9</v>
      </c>
      <c r="H41" s="37">
        <v>0</v>
      </c>
      <c r="I41" s="37">
        <v>0</v>
      </c>
      <c r="K41" s="20">
        <f t="shared" ref="K41" si="25">F41*$D41</f>
        <v>0</v>
      </c>
      <c r="L41" s="20">
        <f t="shared" ref="L41" si="26">G41*$D41</f>
        <v>0</v>
      </c>
      <c r="M41" s="20">
        <f t="shared" ref="M41" si="27">H41*$D41</f>
        <v>0</v>
      </c>
      <c r="N41" s="20">
        <f t="shared" ref="N41" si="28">I41*$D41</f>
        <v>0</v>
      </c>
    </row>
    <row r="42" spans="2:14" x14ac:dyDescent="0.25">
      <c r="C42" s="19" t="s">
        <v>16</v>
      </c>
      <c r="D42" s="20">
        <f>SUM(Calcs!D92:H92)</f>
        <v>0</v>
      </c>
      <c r="E42" s="2"/>
      <c r="F42" s="33">
        <v>0.1</v>
      </c>
      <c r="G42" s="33">
        <v>0.9</v>
      </c>
      <c r="H42" s="37">
        <f t="shared" ref="H42" si="29">1-SUM(F42:G42)</f>
        <v>0</v>
      </c>
      <c r="I42" s="37">
        <v>0</v>
      </c>
      <c r="K42" s="20">
        <f t="shared" ref="K42" si="30">F42*$D42</f>
        <v>0</v>
      </c>
      <c r="L42" s="20">
        <f t="shared" ref="L42" si="31">G42*$D42</f>
        <v>0</v>
      </c>
      <c r="M42" s="20">
        <f t="shared" ref="M42" si="32">H42*$D42</f>
        <v>0</v>
      </c>
      <c r="N42" s="20">
        <f t="shared" ref="N42" si="33">I42*$D42</f>
        <v>0</v>
      </c>
    </row>
    <row r="43" spans="2:14" x14ac:dyDescent="0.25">
      <c r="C43" s="19" t="s">
        <v>99</v>
      </c>
      <c r="D43" s="20">
        <f>SUM(Calcs!D93:H93)</f>
        <v>0</v>
      </c>
      <c r="E43" s="2"/>
      <c r="F43" s="33">
        <v>0.1</v>
      </c>
      <c r="G43" s="33">
        <v>0.9</v>
      </c>
      <c r="H43" s="37">
        <f t="shared" ref="H43:H45" si="34">1-SUM(F43:G43)</f>
        <v>0</v>
      </c>
      <c r="I43" s="37">
        <v>0</v>
      </c>
      <c r="K43" s="20">
        <f t="shared" ref="K43:K45" si="35">F43*$D43</f>
        <v>0</v>
      </c>
      <c r="L43" s="20">
        <f t="shared" ref="L43:L45" si="36">G43*$D43</f>
        <v>0</v>
      </c>
      <c r="M43" s="20">
        <f t="shared" ref="M43:M45" si="37">H43*$D43</f>
        <v>0</v>
      </c>
      <c r="N43" s="20">
        <f t="shared" ref="N43:N45" si="38">I43*$D43</f>
        <v>0</v>
      </c>
    </row>
    <row r="44" spans="2:14" x14ac:dyDescent="0.25">
      <c r="C44" s="19" t="s">
        <v>150</v>
      </c>
      <c r="D44" s="20">
        <f>SUM(Calcs!D94:H94)</f>
        <v>0</v>
      </c>
      <c r="E44" s="2"/>
      <c r="F44" s="33">
        <v>0.1</v>
      </c>
      <c r="G44" s="33">
        <v>0.9</v>
      </c>
      <c r="H44" s="37">
        <f t="shared" ref="H44" si="39">1-SUM(F44:G44)</f>
        <v>0</v>
      </c>
      <c r="I44" s="37">
        <v>0</v>
      </c>
      <c r="K44" s="20">
        <f t="shared" ref="K44" si="40">F44*$D44</f>
        <v>0</v>
      </c>
      <c r="L44" s="20">
        <f t="shared" ref="L44" si="41">G44*$D44</f>
        <v>0</v>
      </c>
      <c r="M44" s="20">
        <f t="shared" ref="M44" si="42">H44*$D44</f>
        <v>0</v>
      </c>
      <c r="N44" s="20">
        <f t="shared" ref="N44" si="43">I44*$D44</f>
        <v>0</v>
      </c>
    </row>
    <row r="45" spans="2:14" x14ac:dyDescent="0.25">
      <c r="C45" s="19" t="s">
        <v>98</v>
      </c>
      <c r="D45" s="20">
        <f>SUM(Calcs!D95:H95)</f>
        <v>0</v>
      </c>
      <c r="E45" s="2"/>
      <c r="F45" s="33">
        <v>0.1</v>
      </c>
      <c r="G45" s="33">
        <v>0.9</v>
      </c>
      <c r="H45" s="37">
        <f t="shared" si="34"/>
        <v>0</v>
      </c>
      <c r="I45" s="37">
        <v>0</v>
      </c>
      <c r="K45" s="20">
        <f t="shared" si="35"/>
        <v>0</v>
      </c>
      <c r="L45" s="20">
        <f t="shared" si="36"/>
        <v>0</v>
      </c>
      <c r="M45" s="20">
        <f t="shared" si="37"/>
        <v>0</v>
      </c>
      <c r="N45" s="20">
        <f t="shared" si="38"/>
        <v>0</v>
      </c>
    </row>
    <row r="46" spans="2:14" x14ac:dyDescent="0.25">
      <c r="C46" s="81" t="s">
        <v>97</v>
      </c>
      <c r="D46" s="84">
        <f>SUM(Calcs!D96:H96)</f>
        <v>9600</v>
      </c>
      <c r="F46" s="85">
        <v>0.1</v>
      </c>
      <c r="G46" s="85">
        <v>0.9</v>
      </c>
      <c r="H46" s="86">
        <f t="shared" si="24"/>
        <v>0</v>
      </c>
      <c r="I46" s="86">
        <v>0</v>
      </c>
      <c r="K46" s="84">
        <f t="shared" si="23"/>
        <v>960</v>
      </c>
      <c r="L46" s="84">
        <f t="shared" si="23"/>
        <v>8640</v>
      </c>
      <c r="M46" s="84">
        <f t="shared" si="23"/>
        <v>0</v>
      </c>
      <c r="N46" s="84">
        <f t="shared" si="23"/>
        <v>0</v>
      </c>
    </row>
    <row r="47" spans="2:14" x14ac:dyDescent="0.25">
      <c r="K47" s="9"/>
      <c r="L47" s="9"/>
      <c r="M47" s="9"/>
    </row>
    <row r="48" spans="2:14" x14ac:dyDescent="0.25">
      <c r="B48" s="6" t="s">
        <v>55</v>
      </c>
      <c r="F48" s="11"/>
      <c r="G48" s="11"/>
      <c r="H48" s="11"/>
      <c r="I48" s="11"/>
      <c r="K48" s="9"/>
      <c r="L48" s="9"/>
      <c r="M48" s="9"/>
    </row>
    <row r="49" spans="2:14" x14ac:dyDescent="0.25">
      <c r="C49" s="28" t="s">
        <v>13</v>
      </c>
      <c r="D49" s="29">
        <f>SUM(Calcs!D99:H99)</f>
        <v>0</v>
      </c>
      <c r="F49" s="49">
        <f t="shared" ref="F49:F55" si="44">IFERROR((1-G49)*F38/SUM(F38,H38),0)</f>
        <v>0.82499999999999996</v>
      </c>
      <c r="G49" s="49">
        <f t="shared" ref="G49:G55" si="45">MIN(1,G38+$H$22)</f>
        <v>0.17499999999999999</v>
      </c>
      <c r="H49" s="49">
        <f t="shared" ref="H49:H55" si="46">IFERROR((1-G49)*H38/SUM(F38,H38),0)</f>
        <v>0</v>
      </c>
      <c r="I49" s="49">
        <v>0</v>
      </c>
      <c r="K49" s="29">
        <f>F49*$D49</f>
        <v>0</v>
      </c>
      <c r="L49" s="29">
        <f t="shared" ref="L49:L53" si="47">G49*$D49</f>
        <v>0</v>
      </c>
      <c r="M49" s="29">
        <f>H49*$D49</f>
        <v>0</v>
      </c>
      <c r="N49" s="29">
        <f>I49*$D49</f>
        <v>0</v>
      </c>
    </row>
    <row r="50" spans="2:14" x14ac:dyDescent="0.25">
      <c r="C50" s="17" t="s">
        <v>14</v>
      </c>
      <c r="D50" s="18">
        <f>SUM(Calcs!D100:H100)</f>
        <v>0</v>
      </c>
      <c r="F50" s="30">
        <f t="shared" si="44"/>
        <v>0.82499999999999996</v>
      </c>
      <c r="G50" s="30">
        <f t="shared" si="45"/>
        <v>0.17499999999999999</v>
      </c>
      <c r="H50" s="30">
        <f t="shared" si="46"/>
        <v>0</v>
      </c>
      <c r="I50" s="30">
        <v>0</v>
      </c>
      <c r="K50" s="18">
        <f>F50*$D50</f>
        <v>0</v>
      </c>
      <c r="L50" s="18">
        <f t="shared" si="47"/>
        <v>0</v>
      </c>
      <c r="M50" s="18">
        <f t="shared" ref="M50:N53" si="48">H50*$D50</f>
        <v>0</v>
      </c>
      <c r="N50" s="18">
        <f t="shared" si="48"/>
        <v>0</v>
      </c>
    </row>
    <row r="51" spans="2:14" x14ac:dyDescent="0.25">
      <c r="C51" s="19" t="s">
        <v>15</v>
      </c>
      <c r="D51" s="20">
        <f>SUM(Calcs!D101:H101)</f>
        <v>0</v>
      </c>
      <c r="F51" s="31">
        <f t="shared" si="44"/>
        <v>2.5000000000000022E-2</v>
      </c>
      <c r="G51" s="31">
        <f t="shared" si="45"/>
        <v>0.97499999999999998</v>
      </c>
      <c r="H51" s="31">
        <f t="shared" si="46"/>
        <v>0</v>
      </c>
      <c r="I51" s="31">
        <v>0</v>
      </c>
      <c r="K51" s="20">
        <f t="shared" ref="K51:K53" si="49">F51*$D51</f>
        <v>0</v>
      </c>
      <c r="L51" s="20">
        <f t="shared" si="47"/>
        <v>0</v>
      </c>
      <c r="M51" s="20">
        <f t="shared" si="48"/>
        <v>0</v>
      </c>
      <c r="N51" s="20">
        <f t="shared" si="48"/>
        <v>0</v>
      </c>
    </row>
    <row r="52" spans="2:14" x14ac:dyDescent="0.25">
      <c r="C52" s="19" t="s">
        <v>129</v>
      </c>
      <c r="D52" s="20">
        <f>SUM(Calcs!D102:H102)</f>
        <v>0</v>
      </c>
      <c r="F52" s="31">
        <f t="shared" si="44"/>
        <v>2.5000000000000022E-2</v>
      </c>
      <c r="G52" s="31">
        <f t="shared" si="45"/>
        <v>0.97499999999999998</v>
      </c>
      <c r="H52" s="31">
        <f t="shared" si="46"/>
        <v>0</v>
      </c>
      <c r="I52" s="31">
        <v>0</v>
      </c>
      <c r="K52" s="20">
        <f t="shared" ref="K52" si="50">F52*$D52</f>
        <v>0</v>
      </c>
      <c r="L52" s="20">
        <f t="shared" ref="L52" si="51">G52*$D52</f>
        <v>0</v>
      </c>
      <c r="M52" s="20">
        <f t="shared" ref="M52" si="52">H52*$D52</f>
        <v>0</v>
      </c>
      <c r="N52" s="20">
        <f t="shared" ref="N52" si="53">I52*$D52</f>
        <v>0</v>
      </c>
    </row>
    <row r="53" spans="2:14" x14ac:dyDescent="0.25">
      <c r="C53" s="19" t="s">
        <v>16</v>
      </c>
      <c r="D53" s="20">
        <f>SUM(Calcs!D103:H103)</f>
        <v>0</v>
      </c>
      <c r="F53" s="31">
        <f t="shared" si="44"/>
        <v>2.5000000000000022E-2</v>
      </c>
      <c r="G53" s="31">
        <f t="shared" si="45"/>
        <v>0.97499999999999998</v>
      </c>
      <c r="H53" s="31">
        <f t="shared" si="46"/>
        <v>0</v>
      </c>
      <c r="I53" s="31">
        <v>0</v>
      </c>
      <c r="K53" s="20">
        <f t="shared" si="49"/>
        <v>0</v>
      </c>
      <c r="L53" s="20">
        <f t="shared" si="47"/>
        <v>0</v>
      </c>
      <c r="M53" s="20">
        <f t="shared" si="48"/>
        <v>0</v>
      </c>
      <c r="N53" s="20">
        <f t="shared" si="48"/>
        <v>0</v>
      </c>
    </row>
    <row r="54" spans="2:14" x14ac:dyDescent="0.25">
      <c r="C54" s="19" t="s">
        <v>99</v>
      </c>
      <c r="D54" s="20">
        <f>SUM(Calcs!D104:H104)</f>
        <v>0</v>
      </c>
      <c r="F54" s="31">
        <f t="shared" si="44"/>
        <v>2.5000000000000022E-2</v>
      </c>
      <c r="G54" s="31">
        <f t="shared" si="45"/>
        <v>0.97499999999999998</v>
      </c>
      <c r="H54" s="31">
        <f t="shared" si="46"/>
        <v>0</v>
      </c>
      <c r="I54" s="31">
        <v>0</v>
      </c>
      <c r="K54" s="20">
        <f t="shared" ref="K54:K56" si="54">F54*$D54</f>
        <v>0</v>
      </c>
      <c r="L54" s="20">
        <f t="shared" ref="L54:L56" si="55">G54*$D54</f>
        <v>0</v>
      </c>
      <c r="M54" s="20">
        <f t="shared" ref="M54:M56" si="56">H54*$D54</f>
        <v>0</v>
      </c>
      <c r="N54" s="20">
        <f t="shared" ref="N54:N56" si="57">I54*$D54</f>
        <v>0</v>
      </c>
    </row>
    <row r="55" spans="2:14" x14ac:dyDescent="0.25">
      <c r="C55" s="19" t="s">
        <v>150</v>
      </c>
      <c r="D55" s="20">
        <f>SUM(Calcs!D105:H105)</f>
        <v>0</v>
      </c>
      <c r="F55" s="31">
        <f t="shared" si="44"/>
        <v>2.5000000000000022E-2</v>
      </c>
      <c r="G55" s="31">
        <f t="shared" si="45"/>
        <v>0.97499999999999998</v>
      </c>
      <c r="H55" s="31">
        <f t="shared" si="46"/>
        <v>0</v>
      </c>
      <c r="I55" s="31">
        <v>0</v>
      </c>
      <c r="K55" s="20">
        <f t="shared" ref="K55" si="58">F55*$D55</f>
        <v>0</v>
      </c>
      <c r="L55" s="20">
        <f t="shared" ref="L55" si="59">G55*$D55</f>
        <v>0</v>
      </c>
      <c r="M55" s="20">
        <f t="shared" ref="M55" si="60">H55*$D55</f>
        <v>0</v>
      </c>
      <c r="N55" s="20">
        <f t="shared" ref="N55" si="61">I55*$D55</f>
        <v>0</v>
      </c>
    </row>
    <row r="56" spans="2:14" x14ac:dyDescent="0.25">
      <c r="C56" s="19" t="s">
        <v>98</v>
      </c>
      <c r="D56" s="20">
        <f>SUM(Calcs!D106:H106)</f>
        <v>0</v>
      </c>
      <c r="F56" s="31">
        <f t="shared" ref="F56" si="62">IFERROR((1-G56)*F45/SUM(F45,H45),0)</f>
        <v>2.5000000000000022E-2</v>
      </c>
      <c r="G56" s="31">
        <f t="shared" ref="G56" si="63">MIN(1,G45+$H$22)</f>
        <v>0.97499999999999998</v>
      </c>
      <c r="H56" s="31">
        <f t="shared" ref="H56" si="64">IFERROR((1-G56)*H45/SUM(F45,H45),0)</f>
        <v>0</v>
      </c>
      <c r="I56" s="31">
        <v>0</v>
      </c>
      <c r="K56" s="20">
        <f t="shared" si="54"/>
        <v>0</v>
      </c>
      <c r="L56" s="20">
        <f t="shared" si="55"/>
        <v>0</v>
      </c>
      <c r="M56" s="20">
        <f t="shared" si="56"/>
        <v>0</v>
      </c>
      <c r="N56" s="20">
        <f t="shared" si="57"/>
        <v>0</v>
      </c>
    </row>
    <row r="57" spans="2:14" x14ac:dyDescent="0.25">
      <c r="C57" s="81" t="s">
        <v>97</v>
      </c>
      <c r="D57" s="84">
        <f>SUM(Calcs!D107:H107)</f>
        <v>0</v>
      </c>
      <c r="F57" s="87">
        <f t="shared" ref="F57" si="65">IFERROR((1-G57)*F46/SUM(F46,H46),0)</f>
        <v>2.5000000000000022E-2</v>
      </c>
      <c r="G57" s="87">
        <f t="shared" ref="G57" si="66">MIN(1,G46+$H$22)</f>
        <v>0.97499999999999998</v>
      </c>
      <c r="H57" s="87">
        <f t="shared" ref="H57" si="67">IFERROR((1-G57)*H46/SUM(F46,H46),0)</f>
        <v>0</v>
      </c>
      <c r="I57" s="87">
        <v>0</v>
      </c>
      <c r="K57" s="84">
        <f t="shared" ref="K57" si="68">F57*$D57</f>
        <v>0</v>
      </c>
      <c r="L57" s="84">
        <f t="shared" ref="L57" si="69">G57*$D57</f>
        <v>0</v>
      </c>
      <c r="M57" s="84">
        <f t="shared" ref="M57" si="70">H57*$D57</f>
        <v>0</v>
      </c>
      <c r="N57" s="84">
        <f t="shared" ref="N57" si="71">I57*$D57</f>
        <v>0</v>
      </c>
    </row>
    <row r="58" spans="2:14" x14ac:dyDescent="0.25">
      <c r="K58" s="9"/>
      <c r="L58" s="9"/>
      <c r="M58" s="9"/>
    </row>
    <row r="59" spans="2:14" x14ac:dyDescent="0.25">
      <c r="B59" s="6" t="s">
        <v>37</v>
      </c>
      <c r="K59" s="9"/>
      <c r="L59" s="9"/>
      <c r="M59" s="9"/>
    </row>
    <row r="60" spans="2:14" x14ac:dyDescent="0.25">
      <c r="C60" t="s">
        <v>38</v>
      </c>
      <c r="D60" s="1">
        <f>SUM(Outputs_External!D30:'Outputs_External'!H30)</f>
        <v>-2880</v>
      </c>
      <c r="E60" s="1"/>
      <c r="F60" s="8">
        <f>IFERROR(SUM(K74:K82)/SUM($K$74:$N$82), 0)</f>
        <v>0.59061032863849761</v>
      </c>
      <c r="G60" s="8">
        <f t="shared" ref="G60:I60" si="72">IFERROR(SUM(L74:L82)/SUM($K$74:$N$82), 0)</f>
        <v>0.4</v>
      </c>
      <c r="H60" s="8">
        <f t="shared" si="72"/>
        <v>0</v>
      </c>
      <c r="I60" s="8">
        <f t="shared" si="72"/>
        <v>9.3896713615023476E-3</v>
      </c>
      <c r="K60" s="12">
        <f>F60*$D$60</f>
        <v>-1700.9577464788731</v>
      </c>
      <c r="L60" s="12">
        <f>G60*$D$60</f>
        <v>-1152</v>
      </c>
      <c r="M60" s="12">
        <f>H60*$D$60</f>
        <v>0</v>
      </c>
      <c r="N60" s="12">
        <f>I60*$D$60</f>
        <v>-27.04225352112676</v>
      </c>
    </row>
    <row r="61" spans="2:14" x14ac:dyDescent="0.25">
      <c r="C61" t="s">
        <v>115</v>
      </c>
      <c r="D61" s="1">
        <f>SUM(Outputs_External!D31:'Outputs_External'!H31)</f>
        <v>0</v>
      </c>
      <c r="F61" s="3">
        <f>IFERROR(SUM(K10:K60)/SUM($K10:$N60), 0)</f>
        <v>0.55891890083189188</v>
      </c>
      <c r="G61" s="3">
        <f>IFERROR(SUM(L10:L60)/SUM($K10:$N60), 0)</f>
        <v>0.43426535087719298</v>
      </c>
      <c r="H61" s="3">
        <f>IFERROR(SUM(M10:M60)/SUM($K10:$N60), 0)</f>
        <v>0</v>
      </c>
      <c r="I61" s="3">
        <f>1-F61-G61-H61</f>
        <v>6.8157482909151357E-3</v>
      </c>
      <c r="K61" s="12">
        <f>F61*$D$61</f>
        <v>0</v>
      </c>
      <c r="L61" s="12">
        <f>G61*$D$61</f>
        <v>0</v>
      </c>
      <c r="M61" s="12">
        <f>H61*$D$61</f>
        <v>0</v>
      </c>
      <c r="N61" s="12">
        <f>I61*$D$61</f>
        <v>0</v>
      </c>
    </row>
    <row r="62" spans="2:14" x14ac:dyDescent="0.25">
      <c r="C62" t="s">
        <v>82</v>
      </c>
      <c r="D62" s="1">
        <f>Outputs_External!D32</f>
        <v>0</v>
      </c>
      <c r="F62" s="3">
        <v>0.63</v>
      </c>
      <c r="G62" s="3">
        <v>0.37</v>
      </c>
      <c r="H62" s="3">
        <v>0</v>
      </c>
      <c r="I62" s="3">
        <v>0</v>
      </c>
      <c r="K62" s="12">
        <f>$D$62*F62</f>
        <v>0</v>
      </c>
      <c r="L62" s="12">
        <f t="shared" ref="L62:N62" si="73">$D$62*G62</f>
        <v>0</v>
      </c>
      <c r="M62" s="12">
        <f t="shared" si="73"/>
        <v>0</v>
      </c>
      <c r="N62" s="12">
        <f t="shared" si="73"/>
        <v>0</v>
      </c>
    </row>
    <row r="63" spans="2:14" x14ac:dyDescent="0.25">
      <c r="K63" s="9"/>
      <c r="L63" s="9"/>
      <c r="M63" s="9"/>
    </row>
    <row r="64" spans="2:14" x14ac:dyDescent="0.25">
      <c r="B64" s="6" t="s">
        <v>39</v>
      </c>
      <c r="D64" s="1">
        <f>SUM(Outputs_External!D34:'Outputs_External'!H34)</f>
        <v>54720</v>
      </c>
      <c r="K64" s="12">
        <f>SUM(K60:K62, K38:K46, K10:K20,K25:K35,K49:K57)</f>
        <v>30584.042253521129</v>
      </c>
      <c r="L64" s="12">
        <f>SUM(L60:L62, L38:L46, L10:L20,L25:L35,L49:L57)</f>
        <v>23763</v>
      </c>
      <c r="M64" s="12">
        <f>SUM(M60:M62, M38:M46, M10:M20,M25:M35,M49:M57)</f>
        <v>0</v>
      </c>
      <c r="N64" s="12">
        <f>SUM(N60:N62, N38:N46, N10:N20,N25:N35,N49:N57)</f>
        <v>372.95774647887322</v>
      </c>
    </row>
    <row r="65" spans="2:14" x14ac:dyDescent="0.25">
      <c r="C65" s="21" t="s">
        <v>56</v>
      </c>
      <c r="D65" s="23">
        <f>SUM(K64:N64)</f>
        <v>54720</v>
      </c>
      <c r="K65" s="12"/>
      <c r="L65" s="12"/>
      <c r="M65" s="12"/>
    </row>
    <row r="66" spans="2:14" x14ac:dyDescent="0.25">
      <c r="C66" s="21"/>
      <c r="D66" s="23"/>
      <c r="K66" s="12"/>
      <c r="L66" s="12"/>
      <c r="M66" s="12"/>
    </row>
    <row r="67" spans="2:14" x14ac:dyDescent="0.25">
      <c r="B67" s="6" t="s">
        <v>147</v>
      </c>
      <c r="C67" s="21"/>
      <c r="D67" s="1">
        <f>SUM(Outputs_Timeline!N:N)</f>
        <v>0</v>
      </c>
      <c r="F67" s="3">
        <f>'MARA Prices'!$F$5</f>
        <v>0.1</v>
      </c>
      <c r="G67" s="3">
        <f>'MARA Prices'!$F$6</f>
        <v>0.1</v>
      </c>
      <c r="H67" s="3">
        <v>0</v>
      </c>
      <c r="I67" s="3">
        <f>'MARA Prices'!$F$4</f>
        <v>0.8</v>
      </c>
      <c r="K67" s="12">
        <f>$D$67*F67</f>
        <v>0</v>
      </c>
      <c r="L67" s="12">
        <f>$D$67*G67</f>
        <v>0</v>
      </c>
      <c r="M67" s="12">
        <f>$D$67*H67</f>
        <v>0</v>
      </c>
      <c r="N67" s="12">
        <f>$D$67*I67</f>
        <v>0</v>
      </c>
    </row>
    <row r="68" spans="2:14" x14ac:dyDescent="0.25">
      <c r="K68" s="9"/>
      <c r="L68" s="9"/>
      <c r="M68" s="9"/>
    </row>
    <row r="69" spans="2:14" x14ac:dyDescent="0.25">
      <c r="B69" s="6" t="s">
        <v>70</v>
      </c>
      <c r="D69" s="7">
        <f>SUM(Outputs_Timeline!W:W)</f>
        <v>171274.5</v>
      </c>
      <c r="K69" s="12">
        <f>SUM(Outputs_Timeline!X:X)</f>
        <v>95430.27834507043</v>
      </c>
      <c r="L69" s="12">
        <f>SUM(Outputs_Timeline!Y:Y)</f>
        <v>74711.362500000003</v>
      </c>
      <c r="M69" s="12">
        <f>SUM(Outputs_Timeline!Z:Z)</f>
        <v>0</v>
      </c>
      <c r="N69" s="12">
        <f>SUM(Outputs_Timeline!AA:AA)</f>
        <v>1132.8591549295777</v>
      </c>
    </row>
    <row r="70" spans="2:14" x14ac:dyDescent="0.25">
      <c r="D70" s="1"/>
      <c r="K70" s="53">
        <f>IFERROR(K69/$D$69, 0)</f>
        <v>0.55717738685601437</v>
      </c>
      <c r="L70" s="53">
        <f>IFERROR(L69/$D$69, 0)</f>
        <v>0.4362083234807283</v>
      </c>
      <c r="M70" s="53">
        <f>IFERROR(M69/$D$69, 0)</f>
        <v>0</v>
      </c>
      <c r="N70" s="53">
        <f>IFERROR(N69/$D$69, 0)</f>
        <v>6.6142896632573889E-3</v>
      </c>
    </row>
    <row r="72" spans="2:14" x14ac:dyDescent="0.25">
      <c r="K72" s="9"/>
      <c r="L72" s="9"/>
      <c r="M72" s="9"/>
    </row>
    <row r="73" spans="2:14" x14ac:dyDescent="0.25">
      <c r="B73" s="27" t="s">
        <v>52</v>
      </c>
      <c r="C73" s="21"/>
      <c r="D73" s="21"/>
      <c r="E73" s="21"/>
      <c r="F73" s="21"/>
      <c r="G73" s="21"/>
      <c r="H73" s="21"/>
      <c r="I73" s="21"/>
      <c r="J73" s="98"/>
      <c r="K73" s="22"/>
      <c r="L73" s="22"/>
      <c r="M73" s="22"/>
    </row>
    <row r="74" spans="2:14" x14ac:dyDescent="0.25">
      <c r="B74" s="27"/>
      <c r="C74" s="21" t="s">
        <v>13</v>
      </c>
      <c r="D74" s="23">
        <f>SUM(Calcs!D66:H66)+SUM(Calcs!D77:H77)</f>
        <v>0</v>
      </c>
      <c r="E74" s="21"/>
      <c r="F74" s="24">
        <f>F38</f>
        <v>0.9</v>
      </c>
      <c r="G74" s="24">
        <f>G38</f>
        <v>0.1</v>
      </c>
      <c r="H74" s="24">
        <f>H38</f>
        <v>0</v>
      </c>
      <c r="I74" s="24">
        <f>I38</f>
        <v>0</v>
      </c>
      <c r="J74" s="98"/>
      <c r="K74" s="25">
        <f t="shared" ref="K74:N76" si="74">F74*$D74</f>
        <v>0</v>
      </c>
      <c r="L74" s="25">
        <f t="shared" si="74"/>
        <v>0</v>
      </c>
      <c r="M74" s="25">
        <f t="shared" si="74"/>
        <v>0</v>
      </c>
      <c r="N74" s="25">
        <f t="shared" si="74"/>
        <v>0</v>
      </c>
    </row>
    <row r="75" spans="2:14" x14ac:dyDescent="0.25">
      <c r="B75" s="27"/>
      <c r="C75" s="21" t="s">
        <v>14</v>
      </c>
      <c r="D75" s="23">
        <f>SUM(Calcs!D67:H67)+SUM(Calcs!D78:H78)</f>
        <v>33000</v>
      </c>
      <c r="E75" s="23"/>
      <c r="F75" s="24">
        <f>IFERROR(SUM(K$39,K$11:K$16,K$50,K$26:K$31)/SUM($K$39:$N$39,$K$11:$N$16,$K$50:$N$50,$K$26:$N$31),0)</f>
        <v>0.73333333333333328</v>
      </c>
      <c r="G75" s="24">
        <f>IFERROR(SUM(L$39,L$11:L$16,L$50,L$26:L$31)/SUM($K$39:$N$39,$K$11:$N$16,$K$50:$N$50,$K$26:$N$31),0)</f>
        <v>0.25454545454545452</v>
      </c>
      <c r="H75" s="24">
        <f>IFERROR(SUM(M$39,M$11:M$16,M$50,M$26:M$31)/SUM($K$39:$N$39,$K$11:$N$16,$K$50:$N$50,$K$26:$N$31),0)</f>
        <v>0</v>
      </c>
      <c r="I75" s="24">
        <f>IFERROR(SUM(N$39,N$11:N$16,N$50,N$26:N$31)/SUM($K$39:$N$39,$K$11:$N$16,$K$50:$N$50,$K$26:$N$31),0)</f>
        <v>1.2121212121212121E-2</v>
      </c>
      <c r="J75" s="98"/>
      <c r="K75" s="25">
        <f t="shared" si="74"/>
        <v>24200</v>
      </c>
      <c r="L75" s="25">
        <f t="shared" si="74"/>
        <v>8400</v>
      </c>
      <c r="M75" s="25">
        <f t="shared" si="74"/>
        <v>0</v>
      </c>
      <c r="N75" s="25">
        <f t="shared" si="74"/>
        <v>400</v>
      </c>
    </row>
    <row r="76" spans="2:14" x14ac:dyDescent="0.25">
      <c r="B76" s="27"/>
      <c r="C76" s="21" t="s">
        <v>15</v>
      </c>
      <c r="D76" s="23">
        <f>SUM(Calcs!D68:H68)+SUM(Calcs!D79:H79)</f>
        <v>0</v>
      </c>
      <c r="E76" s="21"/>
      <c r="F76" s="24">
        <f>IFERROR(SUM(K40,K18:K20,K51,K33:K35)/SUM($K$40:$N$40,$K$18:$M$20,$K$51:$N$51,$K$33:$N$35),0)</f>
        <v>0</v>
      </c>
      <c r="G76" s="24">
        <f>IFERROR(SUM(L40,L18:L20,L51,L33:L35)/SUM($K$40:$N$40,$K$18:$M$20,$K$51:$N$51,$K$33:$N$35),0)</f>
        <v>0</v>
      </c>
      <c r="H76" s="24">
        <f>IFERROR(SUM(M40,M18:M20,M51,M33:M35)/SUM($K$40:$N$40,$K$18:$M$20,$K$51:$N$51,$K$33:$N$35),0)</f>
        <v>0</v>
      </c>
      <c r="I76" s="24">
        <f>IFERROR(SUM(N40,N18:N20,N51,N33:N35)/SUM($K$40:$N$40,$K$18:$M$20,$K$51:$N$51,$K$33:$N$35),0)</f>
        <v>0</v>
      </c>
      <c r="J76" s="98"/>
      <c r="K76" s="25">
        <f t="shared" si="74"/>
        <v>0</v>
      </c>
      <c r="L76" s="25">
        <f t="shared" si="74"/>
        <v>0</v>
      </c>
      <c r="M76" s="25">
        <f t="shared" si="74"/>
        <v>0</v>
      </c>
      <c r="N76" s="25">
        <f t="shared" si="74"/>
        <v>0</v>
      </c>
    </row>
    <row r="77" spans="2:14" x14ac:dyDescent="0.25">
      <c r="B77" s="27"/>
      <c r="C77" s="21" t="s">
        <v>152</v>
      </c>
      <c r="D77" s="23">
        <f>SUM(Calcs!D69:H69)+SUM(Calcs!D80:H80)</f>
        <v>0</v>
      </c>
      <c r="E77" s="21"/>
      <c r="F77" s="24">
        <f>IFERROR(SUM(K41,K18:K20,K52,K33:K35)/SUM($K$41:$N$41,$K$18:$M$20,$K$52:$N$52,$K$33:$N$35),0)</f>
        <v>0</v>
      </c>
      <c r="G77" s="24">
        <f>IFERROR(SUM(L41,L18:L20,L52,L33:L35)/SUM($K$41:$N$41,$K$18:$M$20,$K$52:$N$52,$K$33:$N$35),0)</f>
        <v>0</v>
      </c>
      <c r="H77" s="24">
        <f>IFERROR(SUM(M41,M18:M20,M52,M33:M35)/SUM($K$41:$N$41,$K$18:$M$20,$K$52:$N$52,$K$33:$N$35),0)</f>
        <v>0</v>
      </c>
      <c r="I77" s="24">
        <f>IFERROR(SUM(N41,N18:N20,N52,N33:N35)/SUM($K$41:$N$41,$K$18:$M$20,$K$52:$N$52,$K$33:$N$35),0)</f>
        <v>0</v>
      </c>
      <c r="J77" s="98"/>
      <c r="K77" s="25">
        <f t="shared" ref="K77" si="75">F77*$D77</f>
        <v>0</v>
      </c>
      <c r="L77" s="25">
        <f t="shared" ref="L77" si="76">G77*$D77</f>
        <v>0</v>
      </c>
      <c r="M77" s="25">
        <f t="shared" ref="M77" si="77">H77*$D77</f>
        <v>0</v>
      </c>
      <c r="N77" s="25">
        <f t="shared" ref="N77" si="78">I77*$D77</f>
        <v>0</v>
      </c>
    </row>
    <row r="78" spans="2:14" x14ac:dyDescent="0.25">
      <c r="B78" s="27"/>
      <c r="C78" s="21" t="s">
        <v>16</v>
      </c>
      <c r="D78" s="23">
        <f>SUM(Calcs!D70:H70)+SUM(Calcs!D81:H81)</f>
        <v>0</v>
      </c>
      <c r="E78" s="21"/>
      <c r="F78" s="24">
        <f t="shared" ref="F78:I79" si="79">IFERROR(SUM(K42,K53)/SUM($K42:$N42,$K53:$N53),0)</f>
        <v>0</v>
      </c>
      <c r="G78" s="24">
        <f t="shared" si="79"/>
        <v>0</v>
      </c>
      <c r="H78" s="24">
        <f t="shared" si="79"/>
        <v>0</v>
      </c>
      <c r="I78" s="24">
        <f t="shared" si="79"/>
        <v>0</v>
      </c>
      <c r="J78" s="98"/>
      <c r="K78" s="25">
        <f t="shared" ref="K78" si="80">F78*$D78</f>
        <v>0</v>
      </c>
      <c r="L78" s="25">
        <f t="shared" ref="L78:L82" si="81">G78*$D78</f>
        <v>0</v>
      </c>
      <c r="M78" s="25">
        <f t="shared" ref="M78:M82" si="82">H78*$D78</f>
        <v>0</v>
      </c>
      <c r="N78" s="25">
        <f t="shared" ref="N78:N82" si="83">I78*$D78</f>
        <v>0</v>
      </c>
    </row>
    <row r="79" spans="2:14" x14ac:dyDescent="0.25">
      <c r="B79" s="27"/>
      <c r="C79" s="21" t="s">
        <v>99</v>
      </c>
      <c r="D79" s="23">
        <f>SUM(Calcs!D71:H71)+SUM(Calcs!D82:H82)</f>
        <v>0</v>
      </c>
      <c r="E79" s="21"/>
      <c r="F79" s="24">
        <f t="shared" si="79"/>
        <v>0</v>
      </c>
      <c r="G79" s="24">
        <f t="shared" si="79"/>
        <v>0</v>
      </c>
      <c r="H79" s="24">
        <f t="shared" si="79"/>
        <v>0</v>
      </c>
      <c r="I79" s="24">
        <f t="shared" si="79"/>
        <v>0</v>
      </c>
      <c r="J79" s="98"/>
      <c r="K79" s="25">
        <f t="shared" ref="K79:K81" si="84">F79*$D79</f>
        <v>0</v>
      </c>
      <c r="L79" s="25">
        <f t="shared" ref="L79:L81" si="85">G79*$D79</f>
        <v>0</v>
      </c>
      <c r="M79" s="25">
        <f t="shared" ref="M79:M81" si="86">H79*$D79</f>
        <v>0</v>
      </c>
      <c r="N79" s="25">
        <f t="shared" ref="N79:N81" si="87">I79*$D79</f>
        <v>0</v>
      </c>
    </row>
    <row r="80" spans="2:14" x14ac:dyDescent="0.25">
      <c r="B80" s="27"/>
      <c r="C80" s="21" t="s">
        <v>150</v>
      </c>
      <c r="D80" s="23">
        <f>SUM(Calcs!D72:H72)+SUM(Calcs!D83:H83)</f>
        <v>0</v>
      </c>
      <c r="E80" s="21"/>
      <c r="F80" s="24">
        <f>IFERROR(SUM(K44,K19,K55,K34)/SUM($K$44:$N$44,$K$19:$N$19,$K$55:$N$55,$K$34:$N$34),0)</f>
        <v>0</v>
      </c>
      <c r="G80" s="24">
        <f>IFERROR(SUM(L44,L19,L55,L34)/SUM($K$44:$N$44,$K$19:$N$19,$K$55:$N$55,$K$34:$N$34),0)</f>
        <v>0</v>
      </c>
      <c r="H80" s="24">
        <f>IFERROR(SUM(M44,M19,M55,M34)/SUM($K$44:$N$44,$K$19:$N$19,$K$55:$N$55,$K$34:$N$34),0)</f>
        <v>0</v>
      </c>
      <c r="I80" s="24">
        <f>IFERROR(SUM(N44,N19,N55,N34)/SUM($K$44:$N$44,$K$19:$N$19,$K$55:$N$55,$K$34:$N$34),0)</f>
        <v>0</v>
      </c>
      <c r="J80" s="98"/>
      <c r="K80" s="25">
        <f t="shared" ref="K80" si="88">F80*$D80</f>
        <v>0</v>
      </c>
      <c r="L80" s="25">
        <f t="shared" ref="L80" si="89">G80*$D80</f>
        <v>0</v>
      </c>
      <c r="M80" s="25">
        <f t="shared" ref="M80" si="90">H80*$D80</f>
        <v>0</v>
      </c>
      <c r="N80" s="25">
        <f t="shared" ref="N80" si="91">I80*$D80</f>
        <v>0</v>
      </c>
    </row>
    <row r="81" spans="2:14" x14ac:dyDescent="0.25">
      <c r="B81" s="27"/>
      <c r="C81" s="21" t="s">
        <v>98</v>
      </c>
      <c r="D81" s="23">
        <f>SUM(Calcs!D73:H73)+SUM(Calcs!D84:H84)</f>
        <v>0</v>
      </c>
      <c r="E81" s="21"/>
      <c r="F81" s="24">
        <f t="shared" ref="F81:I81" si="92">IFERROR(SUM(K45,K56)/SUM($K45:$N45,$K56:$N56),0)</f>
        <v>0</v>
      </c>
      <c r="G81" s="24">
        <f t="shared" si="92"/>
        <v>0</v>
      </c>
      <c r="H81" s="24">
        <f t="shared" si="92"/>
        <v>0</v>
      </c>
      <c r="I81" s="24">
        <f t="shared" si="92"/>
        <v>0</v>
      </c>
      <c r="J81" s="98"/>
      <c r="K81" s="25">
        <f t="shared" si="84"/>
        <v>0</v>
      </c>
      <c r="L81" s="25">
        <f t="shared" si="85"/>
        <v>0</v>
      </c>
      <c r="M81" s="25">
        <f t="shared" si="86"/>
        <v>0</v>
      </c>
      <c r="N81" s="25">
        <f t="shared" si="87"/>
        <v>0</v>
      </c>
    </row>
    <row r="82" spans="2:14" x14ac:dyDescent="0.25">
      <c r="B82" s="27"/>
      <c r="C82" s="21" t="s">
        <v>97</v>
      </c>
      <c r="D82" s="23">
        <f>IF(Inputs!$C$4 = "Yes", 0, SUM(Calcs!D74:H74)+SUM(Calcs!D85:H85))</f>
        <v>9600</v>
      </c>
      <c r="E82" s="21"/>
      <c r="F82" s="24">
        <f t="shared" ref="F82" si="93">IFERROR(SUM(K46,K57)/SUM($K46:$N46,$K57:$N57),0)</f>
        <v>0.1</v>
      </c>
      <c r="G82" s="24">
        <f t="shared" ref="G82" si="94">IFERROR(SUM(L46,L57)/SUM($K46:$N46,$K57:$N57),0)</f>
        <v>0.9</v>
      </c>
      <c r="H82" s="24">
        <f t="shared" ref="H82" si="95">IFERROR(SUM(M46,M57)/SUM($K46:$N46,$K57:$N57),0)</f>
        <v>0</v>
      </c>
      <c r="I82" s="24">
        <f t="shared" ref="I82" si="96">IFERROR(SUM(N46,N57)/SUM($K46:$N46,$K57:$N57),0)</f>
        <v>0</v>
      </c>
      <c r="J82" s="98"/>
      <c r="K82" s="25">
        <f>F82*$D82</f>
        <v>960</v>
      </c>
      <c r="L82" s="25">
        <f t="shared" si="81"/>
        <v>8640</v>
      </c>
      <c r="M82" s="25">
        <f t="shared" si="82"/>
        <v>0</v>
      </c>
      <c r="N82" s="25">
        <f t="shared" si="83"/>
        <v>0</v>
      </c>
    </row>
  </sheetData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27" sqref="R27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14.7109375" style="60" bestFit="1" customWidth="1"/>
    <col min="8" max="8" width="4.5703125" style="60" customWidth="1"/>
    <col min="9" max="13" width="8.7109375" style="63"/>
    <col min="14" max="14" width="10.140625" style="63" bestFit="1" customWidth="1"/>
    <col min="15" max="15" width="5.42578125" customWidth="1"/>
    <col min="16" max="16" width="10.42578125" style="63" bestFit="1" customWidth="1"/>
    <col min="17" max="18" width="8.7109375" style="63"/>
    <col min="19" max="19" width="14" style="63" bestFit="1" customWidth="1"/>
    <col min="20" max="20" width="11.85546875" style="63" customWidth="1"/>
    <col min="21" max="21" width="14.85546875" style="63" bestFit="1" customWidth="1"/>
    <col min="22" max="22" width="3.5703125" customWidth="1"/>
    <col min="26" max="27" width="14.85546875" bestFit="1" customWidth="1"/>
    <col min="30" max="34" width="12.28515625" bestFit="1" customWidth="1"/>
  </cols>
  <sheetData>
    <row r="1" spans="2:34" x14ac:dyDescent="0.25">
      <c r="F1" s="65">
        <f>COUNTIF(F3:F94,"&gt;0")</f>
        <v>36</v>
      </c>
      <c r="G1" s="65"/>
      <c r="I1" s="61" t="s">
        <v>62</v>
      </c>
      <c r="J1" s="61"/>
      <c r="K1" s="61"/>
      <c r="L1" s="61"/>
      <c r="M1" s="61"/>
      <c r="N1" s="61"/>
      <c r="P1" s="61" t="s">
        <v>67</v>
      </c>
      <c r="Q1" s="61"/>
      <c r="R1" s="61"/>
      <c r="S1" s="61"/>
      <c r="T1" s="61"/>
      <c r="U1" s="61"/>
      <c r="W1" s="61" t="s">
        <v>69</v>
      </c>
      <c r="X1" s="61"/>
      <c r="Y1" s="61"/>
      <c r="Z1" s="61"/>
      <c r="AD1" s="61" t="s">
        <v>148</v>
      </c>
      <c r="AE1" s="61"/>
      <c r="AF1" s="107"/>
      <c r="AG1" s="107"/>
      <c r="AH1" s="107"/>
    </row>
    <row r="2" spans="2:34" x14ac:dyDescent="0.25">
      <c r="B2" s="59" t="s">
        <v>61</v>
      </c>
      <c r="C2" s="59"/>
      <c r="D2" s="59" t="s">
        <v>66</v>
      </c>
      <c r="E2" s="59" t="s">
        <v>71</v>
      </c>
      <c r="F2" s="59" t="s">
        <v>68</v>
      </c>
      <c r="G2" s="59" t="s">
        <v>140</v>
      </c>
      <c r="H2" s="59"/>
      <c r="I2" s="62" t="s">
        <v>63</v>
      </c>
      <c r="J2" s="62" t="s">
        <v>64</v>
      </c>
      <c r="K2" s="62" t="s">
        <v>41</v>
      </c>
      <c r="L2" s="62" t="s">
        <v>65</v>
      </c>
      <c r="M2" s="62"/>
      <c r="N2" s="105" t="s">
        <v>146</v>
      </c>
      <c r="P2" s="62" t="s">
        <v>63</v>
      </c>
      <c r="Q2" s="62" t="s">
        <v>64</v>
      </c>
      <c r="R2" s="62" t="s">
        <v>41</v>
      </c>
      <c r="S2" s="62" t="s">
        <v>138</v>
      </c>
      <c r="T2" s="62" t="s">
        <v>79</v>
      </c>
      <c r="U2" s="62" t="s">
        <v>78</v>
      </c>
      <c r="W2" s="62" t="s">
        <v>63</v>
      </c>
      <c r="X2" s="62" t="s">
        <v>64</v>
      </c>
      <c r="Y2" s="62" t="s">
        <v>41</v>
      </c>
      <c r="Z2" s="62" t="s">
        <v>79</v>
      </c>
      <c r="AA2" s="62" t="s">
        <v>78</v>
      </c>
      <c r="AD2" s="62" t="s">
        <v>105</v>
      </c>
      <c r="AE2" s="62" t="s">
        <v>106</v>
      </c>
      <c r="AF2" s="62" t="s">
        <v>107</v>
      </c>
      <c r="AG2" s="62" t="s">
        <v>108</v>
      </c>
      <c r="AH2" s="62" t="s">
        <v>109</v>
      </c>
    </row>
    <row r="3" spans="2:34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G3" s="64">
        <f>IF(AND(B3&gt;=Inputs!$C$1,B3&lt;EDATE(Inputs!$C$1,Inputs!$C$2)),(1+'MARA Prices'!$F$1)^IFERROR(DATEDIF('MARA Prices'!$F$2,B3,"Y")+1, 0),0)</f>
        <v>0</v>
      </c>
      <c r="I3" s="63">
        <f>IF($B3=Inputs!$C$1,SUM(Outputs_Internal!$D$4, Outputs_Internal!$D$5),0)*$D3</f>
        <v>0</v>
      </c>
      <c r="J3" s="63">
        <f>IF($B3=Inputs!$C$1,SUM(Outputs_Internal!K$4, Outputs_Internal!K$5),0)*$D3</f>
        <v>0</v>
      </c>
      <c r="K3" s="63">
        <f>IF($B3=Inputs!$C$1,SUM(Outputs_Internal!L$4, Outputs_Internal!L$5),0)*$D3</f>
        <v>0</v>
      </c>
      <c r="L3" s="63">
        <f>IF($B3=Inputs!$C$1,SUM(Outputs_Internal!M$4, Outputs_Internal!$M$5),0)*$D3</f>
        <v>0</v>
      </c>
      <c r="N3" s="63">
        <f>SUM(AD3:AH3)</f>
        <v>0</v>
      </c>
      <c r="P3" s="63">
        <f>$F3*Outputs_Internal!$D$64/12+N3</f>
        <v>0</v>
      </c>
      <c r="Q3" s="63">
        <f>$F3*Outputs_Internal!K$64/12+N3*'MARA Prices'!$F$5</f>
        <v>0</v>
      </c>
      <c r="R3" s="63">
        <f>$F3*Outputs_Internal!L$64/12+N3*'MARA Prices'!$F$6</f>
        <v>0</v>
      </c>
      <c r="S3" s="63">
        <f>N3*'MARA Prices'!$F$4</f>
        <v>0</v>
      </c>
      <c r="T3" s="63">
        <f>$F3*Outputs_Internal!M$64/12</f>
        <v>0</v>
      </c>
      <c r="U3" s="63">
        <f>$F3*Outputs_Internal!N$64/12</f>
        <v>0</v>
      </c>
      <c r="W3" s="63"/>
      <c r="X3" s="63"/>
      <c r="Y3" s="63"/>
      <c r="Z3" s="63"/>
      <c r="AD3" s="63">
        <f>'MARA Prices'!H$21*$G3</f>
        <v>0</v>
      </c>
      <c r="AE3" s="63">
        <f>'MARA Prices'!I$21*$G3</f>
        <v>0</v>
      </c>
      <c r="AF3" s="63">
        <f>'MARA Prices'!J$21*$G3</f>
        <v>0</v>
      </c>
      <c r="AG3" s="63">
        <f>'MARA Prices'!K$21*$G3</f>
        <v>0</v>
      </c>
      <c r="AH3" s="63">
        <f>'MARA Prices'!L$21*$G3</f>
        <v>0</v>
      </c>
    </row>
    <row r="4" spans="2:34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G4" s="64">
        <f>IF(AND(B4&gt;=Inputs!$C$1,B4&lt;EDATE(Inputs!$C$1,Inputs!$C$2)),(1+'MARA Prices'!$F$1)^IFERROR(DATEDIF('MARA Prices'!$F$2,B4,"Y")+1, 0),0)</f>
        <v>0</v>
      </c>
      <c r="I4" s="63">
        <f>IF($B4=Inputs!$C$1,SUM(Outputs_Internal!$D$4, Outputs_Internal!$D$5),0)*$D4</f>
        <v>0</v>
      </c>
      <c r="J4" s="63">
        <f>IF($B4=Inputs!$C$1,SUM(Outputs_Internal!K$4, Outputs_Internal!K$5),0)*$D4</f>
        <v>0</v>
      </c>
      <c r="K4" s="63">
        <f>IF($B4=Inputs!$C$1,SUM(Outputs_Internal!L$4, Outputs_Internal!L$5),0)*$D4</f>
        <v>0</v>
      </c>
      <c r="L4" s="63">
        <f>IF($B4=Inputs!$C$1,SUM(Outputs_Internal!M$4, Outputs_Internal!$M$5),0)*$D4</f>
        <v>0</v>
      </c>
      <c r="N4" s="63">
        <f t="shared" ref="N4:N67" si="0">SUM(AD4:AH4)</f>
        <v>0</v>
      </c>
      <c r="P4" s="63">
        <f>$F4*Outputs_Internal!$D$64/12+N4</f>
        <v>0</v>
      </c>
      <c r="Q4" s="63">
        <f>$F4*Outputs_Internal!K$64/12+N4*'MARA Prices'!$F$5</f>
        <v>0</v>
      </c>
      <c r="R4" s="63">
        <f>$F4*Outputs_Internal!L$64/12+N4*'MARA Prices'!$F$6</f>
        <v>0</v>
      </c>
      <c r="S4" s="63">
        <f>N4*'MARA Prices'!$F$4</f>
        <v>0</v>
      </c>
      <c r="T4" s="63">
        <f>$F4*Outputs_Internal!M$64/12</f>
        <v>0</v>
      </c>
      <c r="U4" s="63">
        <f>$F4*Outputs_Internal!N$64/12</f>
        <v>0</v>
      </c>
      <c r="AD4" s="63">
        <f>'MARA Prices'!H$21*$G4</f>
        <v>0</v>
      </c>
      <c r="AE4" s="63">
        <f>'MARA Prices'!I$21*$G4</f>
        <v>0</v>
      </c>
      <c r="AF4" s="63">
        <f>'MARA Prices'!J$21*$G4</f>
        <v>0</v>
      </c>
      <c r="AG4" s="63">
        <f>'MARA Prices'!K$21*$G4</f>
        <v>0</v>
      </c>
      <c r="AH4" s="63">
        <f>'MARA Prices'!L$21*$G4</f>
        <v>0</v>
      </c>
    </row>
    <row r="5" spans="2:34" x14ac:dyDescent="0.25">
      <c r="B5" s="60">
        <f t="shared" ref="B5:B68" si="1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G5" s="64">
        <f>IF(AND(B5&gt;=Inputs!$C$1,B5&lt;EDATE(Inputs!$C$1,Inputs!$C$2)),(1+'MARA Prices'!$F$1)^IFERROR(DATEDIF('MARA Prices'!$F$2,B5,"Y")+1, 0),0)</f>
        <v>0</v>
      </c>
      <c r="I5" s="63">
        <f>IF($B5=Inputs!$C$1,SUM(Outputs_Internal!$D$4, Outputs_Internal!$D$5),0)*$D5</f>
        <v>0</v>
      </c>
      <c r="J5" s="63">
        <f>IF($B5=Inputs!$C$1,SUM(Outputs_Internal!K$4, Outputs_Internal!K$5),0)*$D5</f>
        <v>0</v>
      </c>
      <c r="K5" s="63">
        <f>IF($B5=Inputs!$C$1,SUM(Outputs_Internal!L$4, Outputs_Internal!L$5),0)*$D5</f>
        <v>0</v>
      </c>
      <c r="L5" s="63">
        <f>IF($B5=Inputs!$C$1,SUM(Outputs_Internal!M$4, Outputs_Internal!$M$5),0)*$D5</f>
        <v>0</v>
      </c>
      <c r="N5" s="63">
        <f t="shared" si="0"/>
        <v>0</v>
      </c>
      <c r="P5" s="63">
        <f>$F5*Outputs_Internal!$D$64/12+N5</f>
        <v>0</v>
      </c>
      <c r="Q5" s="63">
        <f>$F5*Outputs_Internal!K$64/12+N5*'MARA Prices'!$F$5</f>
        <v>0</v>
      </c>
      <c r="R5" s="63">
        <f>$F5*Outputs_Internal!L$64/12+N5*'MARA Prices'!$F$6</f>
        <v>0</v>
      </c>
      <c r="S5" s="63">
        <f>N5*'MARA Prices'!$F$4</f>
        <v>0</v>
      </c>
      <c r="T5" s="63">
        <f>$F5*Outputs_Internal!M$64/12</f>
        <v>0</v>
      </c>
      <c r="U5" s="63">
        <f>$F5*Outputs_Internal!N$64/12</f>
        <v>0</v>
      </c>
      <c r="W5" s="63">
        <f t="shared" ref="W5:W36" si="2">IF(MOD(MONTH($B5),3)=0,SUM(I3:I5,P3:P5),0)</f>
        <v>0</v>
      </c>
      <c r="X5" s="63">
        <f t="shared" ref="X5:X36" si="3">IF(MOD(MONTH($B5),3)=0,SUM(J3:J5,Q3:Q5),0)</f>
        <v>0</v>
      </c>
      <c r="Y5" s="63">
        <f t="shared" ref="Y5:Y36" si="4">IF(MOD(MONTH($B5),3)=0,SUM(K3:K5,R3:R5),0)</f>
        <v>0</v>
      </c>
      <c r="Z5" s="63">
        <f t="shared" ref="Z5:Z36" si="5">IF(MOD(MONTH($B5),3)=0,SUM(L3:L5,T3:T5),0)</f>
        <v>0</v>
      </c>
      <c r="AA5" s="63">
        <f t="shared" ref="AA5:AA36" si="6">IF(MOD(MONTH($B5),3)=0,SUM(U3:U5,S3:S5),0)</f>
        <v>0</v>
      </c>
      <c r="AD5" s="63">
        <f>'MARA Prices'!H$21*$G5</f>
        <v>0</v>
      </c>
      <c r="AE5" s="63">
        <f>'MARA Prices'!I$21*$G5</f>
        <v>0</v>
      </c>
      <c r="AF5" s="63">
        <f>'MARA Prices'!J$21*$G5</f>
        <v>0</v>
      </c>
      <c r="AG5" s="63">
        <f>'MARA Prices'!K$21*$G5</f>
        <v>0</v>
      </c>
      <c r="AH5" s="63">
        <f>'MARA Prices'!L$21*$G5</f>
        <v>0</v>
      </c>
    </row>
    <row r="6" spans="2:34" x14ac:dyDescent="0.25">
      <c r="B6" s="60">
        <f t="shared" si="1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G6" s="64">
        <f>IF(AND(B6&gt;=Inputs!$C$1,B6&lt;EDATE(Inputs!$C$1,Inputs!$C$2)),(1+'MARA Prices'!$F$1)^IFERROR(DATEDIF('MARA Prices'!$F$2,B6,"Y")+1, 0),0)</f>
        <v>0</v>
      </c>
      <c r="I6" s="63">
        <f>IF($B6=Inputs!$C$1,SUM(Outputs_Internal!$D$4, Outputs_Internal!$D$5),0)*$D6</f>
        <v>0</v>
      </c>
      <c r="J6" s="63">
        <f>IF($B6=Inputs!$C$1,SUM(Outputs_Internal!K$4, Outputs_Internal!K$5),0)*$D6</f>
        <v>0</v>
      </c>
      <c r="K6" s="63">
        <f>IF($B6=Inputs!$C$1,SUM(Outputs_Internal!L$4, Outputs_Internal!L$5),0)*$D6</f>
        <v>0</v>
      </c>
      <c r="L6" s="63">
        <f>IF($B6=Inputs!$C$1,SUM(Outputs_Internal!M$4, Outputs_Internal!$M$5),0)*$D6</f>
        <v>0</v>
      </c>
      <c r="N6" s="63">
        <f t="shared" si="0"/>
        <v>0</v>
      </c>
      <c r="P6" s="63">
        <f>$F6*Outputs_Internal!$D$64/12+N6</f>
        <v>0</v>
      </c>
      <c r="Q6" s="63">
        <f>$F6*Outputs_Internal!K$64/12+N6*'MARA Prices'!$F$5</f>
        <v>0</v>
      </c>
      <c r="R6" s="63">
        <f>$F6*Outputs_Internal!L$64/12+N6*'MARA Prices'!$F$6</f>
        <v>0</v>
      </c>
      <c r="S6" s="63">
        <f>N6*'MARA Prices'!$F$4</f>
        <v>0</v>
      </c>
      <c r="T6" s="63">
        <f>$F6*Outputs_Internal!M$64/12</f>
        <v>0</v>
      </c>
      <c r="U6" s="63">
        <f>$F6*Outputs_Internal!N$64/12</f>
        <v>0</v>
      </c>
      <c r="W6" s="63">
        <f t="shared" si="2"/>
        <v>0</v>
      </c>
      <c r="X6" s="63">
        <f t="shared" si="3"/>
        <v>0</v>
      </c>
      <c r="Y6" s="63">
        <f t="shared" si="4"/>
        <v>0</v>
      </c>
      <c r="Z6" s="63">
        <f t="shared" si="5"/>
        <v>0</v>
      </c>
      <c r="AA6" s="63">
        <f t="shared" si="6"/>
        <v>0</v>
      </c>
      <c r="AD6" s="63">
        <f>'MARA Prices'!H$21*$G6</f>
        <v>0</v>
      </c>
      <c r="AE6" s="63">
        <f>'MARA Prices'!I$21*$G6</f>
        <v>0</v>
      </c>
      <c r="AF6" s="63">
        <f>'MARA Prices'!J$21*$G6</f>
        <v>0</v>
      </c>
      <c r="AG6" s="63">
        <f>'MARA Prices'!K$21*$G6</f>
        <v>0</v>
      </c>
      <c r="AH6" s="63">
        <f>'MARA Prices'!L$21*$G6</f>
        <v>0</v>
      </c>
    </row>
    <row r="7" spans="2:34" x14ac:dyDescent="0.25">
      <c r="B7" s="60">
        <f t="shared" si="1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G7" s="64">
        <f>IF(AND(B7&gt;=Inputs!$C$1,B7&lt;EDATE(Inputs!$C$1,Inputs!$C$2)),(1+'MARA Prices'!$F$1)^IFERROR(DATEDIF('MARA Prices'!$F$2,B7,"Y")+1, 0),0)</f>
        <v>0</v>
      </c>
      <c r="I7" s="63">
        <f>IF($B7=Inputs!$C$1,SUM(Outputs_Internal!$D$4, Outputs_Internal!$D$5),0)*$D7</f>
        <v>0</v>
      </c>
      <c r="J7" s="63">
        <f>IF($B7=Inputs!$C$1,SUM(Outputs_Internal!K$4, Outputs_Internal!K$5),0)*$D7</f>
        <v>0</v>
      </c>
      <c r="K7" s="63">
        <f>IF($B7=Inputs!$C$1,SUM(Outputs_Internal!L$4, Outputs_Internal!L$5),0)*$D7</f>
        <v>0</v>
      </c>
      <c r="L7" s="63">
        <f>IF($B7=Inputs!$C$1,SUM(Outputs_Internal!M$4, Outputs_Internal!$M$5),0)*$D7</f>
        <v>0</v>
      </c>
      <c r="N7" s="63">
        <f t="shared" si="0"/>
        <v>0</v>
      </c>
      <c r="P7" s="63">
        <f>$F7*Outputs_Internal!$D$64/12+N7</f>
        <v>0</v>
      </c>
      <c r="Q7" s="63">
        <f>$F7*Outputs_Internal!K$64/12+N7*'MARA Prices'!$F$5</f>
        <v>0</v>
      </c>
      <c r="R7" s="63">
        <f>$F7*Outputs_Internal!L$64/12+N7*'MARA Prices'!$F$6</f>
        <v>0</v>
      </c>
      <c r="S7" s="63">
        <f>N7*'MARA Prices'!$F$4</f>
        <v>0</v>
      </c>
      <c r="T7" s="63">
        <f>$F7*Outputs_Internal!M$64/12</f>
        <v>0</v>
      </c>
      <c r="U7" s="63">
        <f>$F7*Outputs_Internal!N$64/12</f>
        <v>0</v>
      </c>
      <c r="W7" s="63">
        <f t="shared" si="2"/>
        <v>0</v>
      </c>
      <c r="X7" s="63">
        <f t="shared" si="3"/>
        <v>0</v>
      </c>
      <c r="Y7" s="63">
        <f t="shared" si="4"/>
        <v>0</v>
      </c>
      <c r="Z7" s="63">
        <f t="shared" si="5"/>
        <v>0</v>
      </c>
      <c r="AA7" s="63">
        <f t="shared" si="6"/>
        <v>0</v>
      </c>
      <c r="AD7" s="63">
        <f>'MARA Prices'!H$21*$G7</f>
        <v>0</v>
      </c>
      <c r="AE7" s="63">
        <f>'MARA Prices'!I$21*$G7</f>
        <v>0</v>
      </c>
      <c r="AF7" s="63">
        <f>'MARA Prices'!J$21*$G7</f>
        <v>0</v>
      </c>
      <c r="AG7" s="63">
        <f>'MARA Prices'!K$21*$G7</f>
        <v>0</v>
      </c>
      <c r="AH7" s="63">
        <f>'MARA Prices'!L$21*$G7</f>
        <v>0</v>
      </c>
    </row>
    <row r="8" spans="2:34" x14ac:dyDescent="0.25">
      <c r="B8" s="60">
        <f t="shared" si="1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G8" s="64">
        <f>IF(AND(B8&gt;=Inputs!$C$1,B8&lt;EDATE(Inputs!$C$1,Inputs!$C$2)),(1+'MARA Prices'!$F$1)^IFERROR(DATEDIF('MARA Prices'!$F$2,B8,"Y")+1, 0),0)</f>
        <v>0</v>
      </c>
      <c r="I8" s="63">
        <f>IF($B8=Inputs!$C$1,SUM(Outputs_Internal!$D$4, Outputs_Internal!$D$5),0)*$D8</f>
        <v>0</v>
      </c>
      <c r="J8" s="63">
        <f>IF($B8=Inputs!$C$1,SUM(Outputs_Internal!K$4, Outputs_Internal!K$5),0)*$D8</f>
        <v>0</v>
      </c>
      <c r="K8" s="63">
        <f>IF($B8=Inputs!$C$1,SUM(Outputs_Internal!L$4, Outputs_Internal!L$5),0)*$D8</f>
        <v>0</v>
      </c>
      <c r="L8" s="63">
        <f>IF($B8=Inputs!$C$1,SUM(Outputs_Internal!M$4, Outputs_Internal!$M$5),0)*$D8</f>
        <v>0</v>
      </c>
      <c r="N8" s="63">
        <f t="shared" si="0"/>
        <v>0</v>
      </c>
      <c r="P8" s="63">
        <f>$F8*Outputs_Internal!$D$64/12+N8</f>
        <v>0</v>
      </c>
      <c r="Q8" s="63">
        <f>$F8*Outputs_Internal!K$64/12+N8*'MARA Prices'!$F$5</f>
        <v>0</v>
      </c>
      <c r="R8" s="63">
        <f>$F8*Outputs_Internal!L$64/12+N8*'MARA Prices'!$F$6</f>
        <v>0</v>
      </c>
      <c r="S8" s="63">
        <f>N8*'MARA Prices'!$F$4</f>
        <v>0</v>
      </c>
      <c r="T8" s="63">
        <f>$F8*Outputs_Internal!M$64/12</f>
        <v>0</v>
      </c>
      <c r="U8" s="63">
        <f>$F8*Outputs_Internal!N$64/12</f>
        <v>0</v>
      </c>
      <c r="W8" s="63">
        <f t="shared" si="2"/>
        <v>0</v>
      </c>
      <c r="X8" s="63">
        <f t="shared" si="3"/>
        <v>0</v>
      </c>
      <c r="Y8" s="63">
        <f t="shared" si="4"/>
        <v>0</v>
      </c>
      <c r="Z8" s="63">
        <f t="shared" si="5"/>
        <v>0</v>
      </c>
      <c r="AA8" s="63">
        <f t="shared" si="6"/>
        <v>0</v>
      </c>
      <c r="AD8" s="63">
        <f>'MARA Prices'!H$21*$G8</f>
        <v>0</v>
      </c>
      <c r="AE8" s="63">
        <f>'MARA Prices'!I$21*$G8</f>
        <v>0</v>
      </c>
      <c r="AF8" s="63">
        <f>'MARA Prices'!J$21*$G8</f>
        <v>0</v>
      </c>
      <c r="AG8" s="63">
        <f>'MARA Prices'!K$21*$G8</f>
        <v>0</v>
      </c>
      <c r="AH8" s="63">
        <f>'MARA Prices'!L$21*$G8</f>
        <v>0</v>
      </c>
    </row>
    <row r="9" spans="2:34" x14ac:dyDescent="0.25">
      <c r="B9" s="60">
        <f t="shared" si="1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0</v>
      </c>
      <c r="G9" s="64">
        <f>IF(AND(B9&gt;=Inputs!$C$1,B9&lt;EDATE(Inputs!$C$1,Inputs!$C$2)),(1+'MARA Prices'!$F$1)^IFERROR(DATEDIF('MARA Prices'!$F$2,B9,"Y")+1, 0),0)</f>
        <v>0</v>
      </c>
      <c r="I9" s="63">
        <f>IF($B9=Inputs!$C$1,SUM(Outputs_Internal!$D$4, Outputs_Internal!$D$5),0)*$D9</f>
        <v>0</v>
      </c>
      <c r="J9" s="63">
        <f>IF($B9=Inputs!$C$1,SUM(Outputs_Internal!K$4, Outputs_Internal!K$5),0)*$D9</f>
        <v>0</v>
      </c>
      <c r="K9" s="63">
        <f>IF($B9=Inputs!$C$1,SUM(Outputs_Internal!L$4, Outputs_Internal!L$5),0)*$D9</f>
        <v>0</v>
      </c>
      <c r="L9" s="63">
        <f>IF($B9=Inputs!$C$1,SUM(Outputs_Internal!M$4, Outputs_Internal!$M$5),0)*$D9</f>
        <v>0</v>
      </c>
      <c r="N9" s="63">
        <f t="shared" si="0"/>
        <v>0</v>
      </c>
      <c r="P9" s="63">
        <f>$F9*Outputs_Internal!$D$64/12+N9</f>
        <v>0</v>
      </c>
      <c r="Q9" s="63">
        <f>$F9*Outputs_Internal!K$64/12+N9*'MARA Prices'!$F$5</f>
        <v>0</v>
      </c>
      <c r="R9" s="63">
        <f>$F9*Outputs_Internal!L$64/12+N9*'MARA Prices'!$F$6</f>
        <v>0</v>
      </c>
      <c r="S9" s="63">
        <f>N9*'MARA Prices'!$F$4</f>
        <v>0</v>
      </c>
      <c r="T9" s="63">
        <f>$F9*Outputs_Internal!M$64/12</f>
        <v>0</v>
      </c>
      <c r="U9" s="63">
        <f>$F9*Outputs_Internal!N$64/12</f>
        <v>0</v>
      </c>
      <c r="W9" s="63">
        <f t="shared" si="2"/>
        <v>0</v>
      </c>
      <c r="X9" s="63">
        <f t="shared" si="3"/>
        <v>0</v>
      </c>
      <c r="Y9" s="63">
        <f t="shared" si="4"/>
        <v>0</v>
      </c>
      <c r="Z9" s="63">
        <f t="shared" si="5"/>
        <v>0</v>
      </c>
      <c r="AA9" s="63">
        <f t="shared" si="6"/>
        <v>0</v>
      </c>
      <c r="AD9" s="63">
        <f>'MARA Prices'!H$21*$G9</f>
        <v>0</v>
      </c>
      <c r="AE9" s="63">
        <f>'MARA Prices'!I$21*$G9</f>
        <v>0</v>
      </c>
      <c r="AF9" s="63">
        <f>'MARA Prices'!J$21*$G9</f>
        <v>0</v>
      </c>
      <c r="AG9" s="63">
        <f>'MARA Prices'!K$21*$G9</f>
        <v>0</v>
      </c>
      <c r="AH9" s="63">
        <f>'MARA Prices'!L$21*$G9</f>
        <v>0</v>
      </c>
    </row>
    <row r="10" spans="2:34" x14ac:dyDescent="0.25">
      <c r="B10" s="60">
        <f t="shared" si="1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0</v>
      </c>
      <c r="G10" s="64">
        <f>IF(AND(B10&gt;=Inputs!$C$1,B10&lt;EDATE(Inputs!$C$1,Inputs!$C$2)),(1+'MARA Prices'!$F$1)^IFERROR(DATEDIF('MARA Prices'!$F$2,B10,"Y")+1, 0),0)</f>
        <v>0</v>
      </c>
      <c r="I10" s="63">
        <f>IF($B10=Inputs!$C$1,SUM(Outputs_Internal!$D$4, Outputs_Internal!$D$5),0)*$D10</f>
        <v>0</v>
      </c>
      <c r="J10" s="63">
        <f>IF($B10=Inputs!$C$1,SUM(Outputs_Internal!K$4, Outputs_Internal!K$5),0)*$D10</f>
        <v>0</v>
      </c>
      <c r="K10" s="63">
        <f>IF($B10=Inputs!$C$1,SUM(Outputs_Internal!L$4, Outputs_Internal!L$5),0)*$D10</f>
        <v>0</v>
      </c>
      <c r="L10" s="63">
        <f>IF($B10=Inputs!$C$1,SUM(Outputs_Internal!M$4, Outputs_Internal!$M$5),0)*$D10</f>
        <v>0</v>
      </c>
      <c r="N10" s="63">
        <f t="shared" si="0"/>
        <v>0</v>
      </c>
      <c r="P10" s="63">
        <f>$F10*Outputs_Internal!$D$64/12+N10</f>
        <v>0</v>
      </c>
      <c r="Q10" s="63">
        <f>$F10*Outputs_Internal!K$64/12+N10*'MARA Prices'!$F$5</f>
        <v>0</v>
      </c>
      <c r="R10" s="63">
        <f>$F10*Outputs_Internal!L$64/12+N10*'MARA Prices'!$F$6</f>
        <v>0</v>
      </c>
      <c r="S10" s="63">
        <f>N10*'MARA Prices'!$F$4</f>
        <v>0</v>
      </c>
      <c r="T10" s="63">
        <f>$F10*Outputs_Internal!M$64/12</f>
        <v>0</v>
      </c>
      <c r="U10" s="63">
        <f>$F10*Outputs_Internal!N$64/12</f>
        <v>0</v>
      </c>
      <c r="W10" s="63">
        <f t="shared" si="2"/>
        <v>0</v>
      </c>
      <c r="X10" s="63">
        <f t="shared" si="3"/>
        <v>0</v>
      </c>
      <c r="Y10" s="63">
        <f t="shared" si="4"/>
        <v>0</v>
      </c>
      <c r="Z10" s="63">
        <f t="shared" si="5"/>
        <v>0</v>
      </c>
      <c r="AA10" s="63">
        <f t="shared" si="6"/>
        <v>0</v>
      </c>
      <c r="AD10" s="63">
        <f>'MARA Prices'!H$21*$G10</f>
        <v>0</v>
      </c>
      <c r="AE10" s="63">
        <f>'MARA Prices'!I$21*$G10</f>
        <v>0</v>
      </c>
      <c r="AF10" s="63">
        <f>'MARA Prices'!J$21*$G10</f>
        <v>0</v>
      </c>
      <c r="AG10" s="63">
        <f>'MARA Prices'!K$21*$G10</f>
        <v>0</v>
      </c>
      <c r="AH10" s="63">
        <f>'MARA Prices'!L$21*$G10</f>
        <v>0</v>
      </c>
    </row>
    <row r="11" spans="2:34" x14ac:dyDescent="0.25">
      <c r="B11" s="60">
        <f t="shared" si="1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0</v>
      </c>
      <c r="G11" s="64">
        <f>IF(AND(B11&gt;=Inputs!$C$1,B11&lt;EDATE(Inputs!$C$1,Inputs!$C$2)),(1+'MARA Prices'!$F$1)^IFERROR(DATEDIF('MARA Prices'!$F$2,B11,"Y")+1, 0),0)</f>
        <v>0</v>
      </c>
      <c r="I11" s="63">
        <f>IF($B11=Inputs!$C$1,SUM(Outputs_Internal!$D$4, Outputs_Internal!$D$5),0)*$D11</f>
        <v>0</v>
      </c>
      <c r="J11" s="63">
        <f>IF($B11=Inputs!$C$1,SUM(Outputs_Internal!K$4, Outputs_Internal!K$5),0)*$D11</f>
        <v>0</v>
      </c>
      <c r="K11" s="63">
        <f>IF($B11=Inputs!$C$1,SUM(Outputs_Internal!L$4, Outputs_Internal!L$5),0)*$D11</f>
        <v>0</v>
      </c>
      <c r="L11" s="63">
        <f>IF($B11=Inputs!$C$1,SUM(Outputs_Internal!M$4, Outputs_Internal!$M$5),0)*$D11</f>
        <v>0</v>
      </c>
      <c r="N11" s="63">
        <f t="shared" si="0"/>
        <v>0</v>
      </c>
      <c r="P11" s="63">
        <f>$F11*Outputs_Internal!$D$64/12+N11</f>
        <v>0</v>
      </c>
      <c r="Q11" s="63">
        <f>$F11*Outputs_Internal!K$64/12+N11*'MARA Prices'!$F$5</f>
        <v>0</v>
      </c>
      <c r="R11" s="63">
        <f>$F11*Outputs_Internal!L$64/12+N11*'MARA Prices'!$F$6</f>
        <v>0</v>
      </c>
      <c r="S11" s="63">
        <f>N11*'MARA Prices'!$F$4</f>
        <v>0</v>
      </c>
      <c r="T11" s="63">
        <f>$F11*Outputs_Internal!M$64/12</f>
        <v>0</v>
      </c>
      <c r="U11" s="63">
        <f>$F11*Outputs_Internal!N$64/12</f>
        <v>0</v>
      </c>
      <c r="W11" s="63">
        <f t="shared" si="2"/>
        <v>0</v>
      </c>
      <c r="X11" s="63">
        <f t="shared" si="3"/>
        <v>0</v>
      </c>
      <c r="Y11" s="63">
        <f t="shared" si="4"/>
        <v>0</v>
      </c>
      <c r="Z11" s="63">
        <f t="shared" si="5"/>
        <v>0</v>
      </c>
      <c r="AA11" s="63">
        <f t="shared" si="6"/>
        <v>0</v>
      </c>
      <c r="AD11" s="63">
        <f>'MARA Prices'!H$21*$G11</f>
        <v>0</v>
      </c>
      <c r="AE11" s="63">
        <f>'MARA Prices'!I$21*$G11</f>
        <v>0</v>
      </c>
      <c r="AF11" s="63">
        <f>'MARA Prices'!J$21*$G11</f>
        <v>0</v>
      </c>
      <c r="AG11" s="63">
        <f>'MARA Prices'!K$21*$G11</f>
        <v>0</v>
      </c>
      <c r="AH11" s="63">
        <f>'MARA Prices'!L$21*$G11</f>
        <v>0</v>
      </c>
    </row>
    <row r="12" spans="2:34" x14ac:dyDescent="0.25">
      <c r="B12" s="60">
        <f t="shared" si="1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0</v>
      </c>
      <c r="G12" s="64">
        <f>IF(AND(B12&gt;=Inputs!$C$1,B12&lt;EDATE(Inputs!$C$1,Inputs!$C$2)),(1+'MARA Prices'!$F$1)^IFERROR(DATEDIF('MARA Prices'!$F$2,B12,"Y")+1, 0),0)</f>
        <v>0</v>
      </c>
      <c r="I12" s="63">
        <f>IF($B12=Inputs!$C$1,SUM(Outputs_Internal!$D$4, Outputs_Internal!$D$5),0)*$D12</f>
        <v>0</v>
      </c>
      <c r="J12" s="63">
        <f>IF($B12=Inputs!$C$1,SUM(Outputs_Internal!K$4, Outputs_Internal!K$5),0)*$D12</f>
        <v>0</v>
      </c>
      <c r="K12" s="63">
        <f>IF($B12=Inputs!$C$1,SUM(Outputs_Internal!L$4, Outputs_Internal!L$5),0)*$D12</f>
        <v>0</v>
      </c>
      <c r="L12" s="63">
        <f>IF($B12=Inputs!$C$1,SUM(Outputs_Internal!M$4, Outputs_Internal!$M$5),0)*$D12</f>
        <v>0</v>
      </c>
      <c r="N12" s="63">
        <f t="shared" si="0"/>
        <v>0</v>
      </c>
      <c r="P12" s="63">
        <f>$F12*Outputs_Internal!$D$64/12+N12</f>
        <v>0</v>
      </c>
      <c r="Q12" s="63">
        <f>$F12*Outputs_Internal!K$64/12+N12*'MARA Prices'!$F$5</f>
        <v>0</v>
      </c>
      <c r="R12" s="63">
        <f>$F12*Outputs_Internal!L$64/12+N12*'MARA Prices'!$F$6</f>
        <v>0</v>
      </c>
      <c r="S12" s="63">
        <f>N12*'MARA Prices'!$F$4</f>
        <v>0</v>
      </c>
      <c r="T12" s="63">
        <f>$F12*Outputs_Internal!M$64/12</f>
        <v>0</v>
      </c>
      <c r="U12" s="63">
        <f>$F12*Outputs_Internal!N$64/12</f>
        <v>0</v>
      </c>
      <c r="W12" s="63">
        <f t="shared" si="2"/>
        <v>0</v>
      </c>
      <c r="X12" s="63">
        <f t="shared" si="3"/>
        <v>0</v>
      </c>
      <c r="Y12" s="63">
        <f t="shared" si="4"/>
        <v>0</v>
      </c>
      <c r="Z12" s="63">
        <f t="shared" si="5"/>
        <v>0</v>
      </c>
      <c r="AA12" s="63">
        <f t="shared" si="6"/>
        <v>0</v>
      </c>
      <c r="AD12" s="63">
        <f>'MARA Prices'!H$21*$G12</f>
        <v>0</v>
      </c>
      <c r="AE12" s="63">
        <f>'MARA Prices'!I$21*$G12</f>
        <v>0</v>
      </c>
      <c r="AF12" s="63">
        <f>'MARA Prices'!J$21*$G12</f>
        <v>0</v>
      </c>
      <c r="AG12" s="63">
        <f>'MARA Prices'!K$21*$G12</f>
        <v>0</v>
      </c>
      <c r="AH12" s="63">
        <f>'MARA Prices'!L$21*$G12</f>
        <v>0</v>
      </c>
    </row>
    <row r="13" spans="2:34" x14ac:dyDescent="0.25">
      <c r="B13" s="60">
        <f t="shared" si="1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0</v>
      </c>
      <c r="G13" s="64">
        <f>IF(AND(B13&gt;=Inputs!$C$1,B13&lt;EDATE(Inputs!$C$1,Inputs!$C$2)),(1+'MARA Prices'!$F$1)^IFERROR(DATEDIF('MARA Prices'!$F$2,B13,"Y")+1, 0),0)</f>
        <v>0</v>
      </c>
      <c r="I13" s="63">
        <f>IF($B13=Inputs!$C$1,SUM(Outputs_Internal!$D$4, Outputs_Internal!$D$5),0)*$D13</f>
        <v>0</v>
      </c>
      <c r="J13" s="63">
        <f>IF($B13=Inputs!$C$1,SUM(Outputs_Internal!K$4, Outputs_Internal!K$5),0)*$D13</f>
        <v>0</v>
      </c>
      <c r="K13" s="63">
        <f>IF($B13=Inputs!$C$1,SUM(Outputs_Internal!L$4, Outputs_Internal!L$5),0)*$D13</f>
        <v>0</v>
      </c>
      <c r="L13" s="63">
        <f>IF($B13=Inputs!$C$1,SUM(Outputs_Internal!M$4, Outputs_Internal!$M$5),0)*$D13</f>
        <v>0</v>
      </c>
      <c r="N13" s="63">
        <f t="shared" si="0"/>
        <v>0</v>
      </c>
      <c r="P13" s="63">
        <f>$F13*Outputs_Internal!$D$64/12+N13</f>
        <v>0</v>
      </c>
      <c r="Q13" s="63">
        <f>$F13*Outputs_Internal!K$64/12+N13*'MARA Prices'!$F$5</f>
        <v>0</v>
      </c>
      <c r="R13" s="63">
        <f>$F13*Outputs_Internal!L$64/12+N13*'MARA Prices'!$F$6</f>
        <v>0</v>
      </c>
      <c r="S13" s="63">
        <f>N13*'MARA Prices'!$F$4</f>
        <v>0</v>
      </c>
      <c r="T13" s="63">
        <f>$F13*Outputs_Internal!M$64/12</f>
        <v>0</v>
      </c>
      <c r="U13" s="63">
        <f>$F13*Outputs_Internal!N$64/12</f>
        <v>0</v>
      </c>
      <c r="W13" s="63">
        <f t="shared" si="2"/>
        <v>0</v>
      </c>
      <c r="X13" s="63">
        <f t="shared" si="3"/>
        <v>0</v>
      </c>
      <c r="Y13" s="63">
        <f t="shared" si="4"/>
        <v>0</v>
      </c>
      <c r="Z13" s="63">
        <f t="shared" si="5"/>
        <v>0</v>
      </c>
      <c r="AA13" s="63">
        <f t="shared" si="6"/>
        <v>0</v>
      </c>
      <c r="AD13" s="63">
        <f>'MARA Prices'!H$21*$G13</f>
        <v>0</v>
      </c>
      <c r="AE13" s="63">
        <f>'MARA Prices'!I$21*$G13</f>
        <v>0</v>
      </c>
      <c r="AF13" s="63">
        <f>'MARA Prices'!J$21*$G13</f>
        <v>0</v>
      </c>
      <c r="AG13" s="63">
        <f>'MARA Prices'!K$21*$G13</f>
        <v>0</v>
      </c>
      <c r="AH13" s="63">
        <f>'MARA Prices'!L$21*$G13</f>
        <v>0</v>
      </c>
    </row>
    <row r="14" spans="2:34" x14ac:dyDescent="0.25">
      <c r="B14" s="60">
        <f t="shared" si="1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0</v>
      </c>
      <c r="G14" s="64">
        <f>IF(AND(B14&gt;=Inputs!$C$1,B14&lt;EDATE(Inputs!$C$1,Inputs!$C$2)),(1+'MARA Prices'!$F$1)^IFERROR(DATEDIF('MARA Prices'!$F$2,B14,"Y")+1, 0),0)</f>
        <v>0</v>
      </c>
      <c r="I14" s="63">
        <f>IF($B14=Inputs!$C$1,SUM(Outputs_Internal!$D$4, Outputs_Internal!$D$5),0)*$D14</f>
        <v>0</v>
      </c>
      <c r="J14" s="63">
        <f>IF($B14=Inputs!$C$1,SUM(Outputs_Internal!K$4, Outputs_Internal!K$5),0)*$D14</f>
        <v>0</v>
      </c>
      <c r="K14" s="63">
        <f>IF($B14=Inputs!$C$1,SUM(Outputs_Internal!L$4, Outputs_Internal!L$5),0)*$D14</f>
        <v>0</v>
      </c>
      <c r="L14" s="63">
        <f>IF($B14=Inputs!$C$1,SUM(Outputs_Internal!M$4, Outputs_Internal!$M$5),0)*$D14</f>
        <v>0</v>
      </c>
      <c r="N14" s="63">
        <f t="shared" si="0"/>
        <v>0</v>
      </c>
      <c r="P14" s="63">
        <f>$F14*Outputs_Internal!$D$64/12+N14</f>
        <v>0</v>
      </c>
      <c r="Q14" s="63">
        <f>$F14*Outputs_Internal!K$64/12+N14*'MARA Prices'!$F$5</f>
        <v>0</v>
      </c>
      <c r="R14" s="63">
        <f>$F14*Outputs_Internal!L$64/12+N14*'MARA Prices'!$F$6</f>
        <v>0</v>
      </c>
      <c r="S14" s="63">
        <f>N14*'MARA Prices'!$F$4</f>
        <v>0</v>
      </c>
      <c r="T14" s="63">
        <f>$F14*Outputs_Internal!M$64/12</f>
        <v>0</v>
      </c>
      <c r="U14" s="63">
        <f>$F14*Outputs_Internal!N$64/12</f>
        <v>0</v>
      </c>
      <c r="W14" s="63">
        <f t="shared" si="2"/>
        <v>0</v>
      </c>
      <c r="X14" s="63">
        <f t="shared" si="3"/>
        <v>0</v>
      </c>
      <c r="Y14" s="63">
        <f t="shared" si="4"/>
        <v>0</v>
      </c>
      <c r="Z14" s="63">
        <f t="shared" si="5"/>
        <v>0</v>
      </c>
      <c r="AA14" s="63">
        <f t="shared" si="6"/>
        <v>0</v>
      </c>
      <c r="AD14" s="63">
        <f>'MARA Prices'!H$21*$G14</f>
        <v>0</v>
      </c>
      <c r="AE14" s="63">
        <f>'MARA Prices'!I$21*$G14</f>
        <v>0</v>
      </c>
      <c r="AF14" s="63">
        <f>'MARA Prices'!J$21*$G14</f>
        <v>0</v>
      </c>
      <c r="AG14" s="63">
        <f>'MARA Prices'!K$21*$G14</f>
        <v>0</v>
      </c>
      <c r="AH14" s="63">
        <f>'MARA Prices'!L$21*$G14</f>
        <v>0</v>
      </c>
    </row>
    <row r="15" spans="2:34" x14ac:dyDescent="0.25">
      <c r="B15" s="60">
        <f t="shared" si="1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0</v>
      </c>
      <c r="G15" s="64">
        <f>IF(AND(B15&gt;=Inputs!$C$1,B15&lt;EDATE(Inputs!$C$1,Inputs!$C$2)),(1+'MARA Prices'!$F$1)^IFERROR(DATEDIF('MARA Prices'!$F$2,B15,"Y")+1, 0),0)</f>
        <v>0</v>
      </c>
      <c r="I15" s="63">
        <f>IF($B15=Inputs!$C$1,SUM(Outputs_Internal!$D$4, Outputs_Internal!$D$5),0)*$D15</f>
        <v>0</v>
      </c>
      <c r="J15" s="63">
        <f>IF($B15=Inputs!$C$1,SUM(Outputs_Internal!K$4, Outputs_Internal!K$5),0)*$D15</f>
        <v>0</v>
      </c>
      <c r="K15" s="63">
        <f>IF($B15=Inputs!$C$1,SUM(Outputs_Internal!L$4, Outputs_Internal!L$5),0)*$D15</f>
        <v>0</v>
      </c>
      <c r="L15" s="63">
        <f>IF($B15=Inputs!$C$1,SUM(Outputs_Internal!M$4, Outputs_Internal!$M$5),0)*$D15</f>
        <v>0</v>
      </c>
      <c r="N15" s="63">
        <f t="shared" si="0"/>
        <v>0</v>
      </c>
      <c r="P15" s="63">
        <f>$F15*Outputs_Internal!$D$64/12+N15</f>
        <v>0</v>
      </c>
      <c r="Q15" s="63">
        <f>$F15*Outputs_Internal!K$64/12+N15*'MARA Prices'!$F$5</f>
        <v>0</v>
      </c>
      <c r="R15" s="63">
        <f>$F15*Outputs_Internal!L$64/12+N15*'MARA Prices'!$F$6</f>
        <v>0</v>
      </c>
      <c r="S15" s="63">
        <f>N15*'MARA Prices'!$F$4</f>
        <v>0</v>
      </c>
      <c r="T15" s="63">
        <f>$F15*Outputs_Internal!M$64/12</f>
        <v>0</v>
      </c>
      <c r="U15" s="63">
        <f>$F15*Outputs_Internal!N$64/12</f>
        <v>0</v>
      </c>
      <c r="W15" s="63">
        <f t="shared" si="2"/>
        <v>0</v>
      </c>
      <c r="X15" s="63">
        <f t="shared" si="3"/>
        <v>0</v>
      </c>
      <c r="Y15" s="63">
        <f t="shared" si="4"/>
        <v>0</v>
      </c>
      <c r="Z15" s="63">
        <f t="shared" si="5"/>
        <v>0</v>
      </c>
      <c r="AA15" s="63">
        <f t="shared" si="6"/>
        <v>0</v>
      </c>
      <c r="AD15" s="63">
        <f>'MARA Prices'!H$21*$G15</f>
        <v>0</v>
      </c>
      <c r="AE15" s="63">
        <f>'MARA Prices'!I$21*$G15</f>
        <v>0</v>
      </c>
      <c r="AF15" s="63">
        <f>'MARA Prices'!J$21*$G15</f>
        <v>0</v>
      </c>
      <c r="AG15" s="63">
        <f>'MARA Prices'!K$21*$G15</f>
        <v>0</v>
      </c>
      <c r="AH15" s="63">
        <f>'MARA Prices'!L$21*$G15</f>
        <v>0</v>
      </c>
    </row>
    <row r="16" spans="2:34" x14ac:dyDescent="0.25">
      <c r="B16" s="60">
        <f t="shared" si="1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0</v>
      </c>
      <c r="G16" s="64">
        <f>IF(AND(B16&gt;=Inputs!$C$1,B16&lt;EDATE(Inputs!$C$1,Inputs!$C$2)),(1+'MARA Prices'!$F$1)^IFERROR(DATEDIF('MARA Prices'!$F$2,B16,"Y")+1, 0),0)</f>
        <v>0</v>
      </c>
      <c r="I16" s="63">
        <f>IF($B16=Inputs!$C$1,SUM(Outputs_Internal!$D$4, Outputs_Internal!$D$5),0)*$D16</f>
        <v>0</v>
      </c>
      <c r="J16" s="63">
        <f>IF($B16=Inputs!$C$1,SUM(Outputs_Internal!K$4, Outputs_Internal!K$5),0)*$D16</f>
        <v>0</v>
      </c>
      <c r="K16" s="63">
        <f>IF($B16=Inputs!$C$1,SUM(Outputs_Internal!L$4, Outputs_Internal!L$5),0)*$D16</f>
        <v>0</v>
      </c>
      <c r="L16" s="63">
        <f>IF($B16=Inputs!$C$1,SUM(Outputs_Internal!M$4, Outputs_Internal!$M$5),0)*$D16</f>
        <v>0</v>
      </c>
      <c r="N16" s="63">
        <f t="shared" si="0"/>
        <v>0</v>
      </c>
      <c r="P16" s="63">
        <f>$F16*Outputs_Internal!$D$64/12+N16</f>
        <v>0</v>
      </c>
      <c r="Q16" s="63">
        <f>$F16*Outputs_Internal!K$64/12+N16*'MARA Prices'!$F$5</f>
        <v>0</v>
      </c>
      <c r="R16" s="63">
        <f>$F16*Outputs_Internal!L$64/12+N16*'MARA Prices'!$F$6</f>
        <v>0</v>
      </c>
      <c r="S16" s="63">
        <f>N16*'MARA Prices'!$F$4</f>
        <v>0</v>
      </c>
      <c r="T16" s="63">
        <f>$F16*Outputs_Internal!M$64/12</f>
        <v>0</v>
      </c>
      <c r="U16" s="63">
        <f>$F16*Outputs_Internal!N$64/12</f>
        <v>0</v>
      </c>
      <c r="W16" s="63">
        <f t="shared" si="2"/>
        <v>0</v>
      </c>
      <c r="X16" s="63">
        <f t="shared" si="3"/>
        <v>0</v>
      </c>
      <c r="Y16" s="63">
        <f t="shared" si="4"/>
        <v>0</v>
      </c>
      <c r="Z16" s="63">
        <f t="shared" si="5"/>
        <v>0</v>
      </c>
      <c r="AA16" s="63">
        <f t="shared" si="6"/>
        <v>0</v>
      </c>
      <c r="AD16" s="63">
        <f>'MARA Prices'!H$21*$G16</f>
        <v>0</v>
      </c>
      <c r="AE16" s="63">
        <f>'MARA Prices'!I$21*$G16</f>
        <v>0</v>
      </c>
      <c r="AF16" s="63">
        <f>'MARA Prices'!J$21*$G16</f>
        <v>0</v>
      </c>
      <c r="AG16" s="63">
        <f>'MARA Prices'!K$21*$G16</f>
        <v>0</v>
      </c>
      <c r="AH16" s="63">
        <f>'MARA Prices'!L$21*$G16</f>
        <v>0</v>
      </c>
    </row>
    <row r="17" spans="2:34" x14ac:dyDescent="0.25">
      <c r="B17" s="60">
        <f t="shared" si="1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0</v>
      </c>
      <c r="G17" s="64">
        <f>IF(AND(B17&gt;=Inputs!$C$1,B17&lt;EDATE(Inputs!$C$1,Inputs!$C$2)),(1+'MARA Prices'!$F$1)^IFERROR(DATEDIF('MARA Prices'!$F$2,B17,"Y")+1, 0),0)</f>
        <v>0</v>
      </c>
      <c r="I17" s="63">
        <f>IF($B17=Inputs!$C$1,SUM(Outputs_Internal!$D$4, Outputs_Internal!$D$5),0)*$D17</f>
        <v>0</v>
      </c>
      <c r="J17" s="63">
        <f>IF($B17=Inputs!$C$1,SUM(Outputs_Internal!K$4, Outputs_Internal!K$5),0)*$D17</f>
        <v>0</v>
      </c>
      <c r="K17" s="63">
        <f>IF($B17=Inputs!$C$1,SUM(Outputs_Internal!L$4, Outputs_Internal!L$5),0)*$D17</f>
        <v>0</v>
      </c>
      <c r="L17" s="63">
        <f>IF($B17=Inputs!$C$1,SUM(Outputs_Internal!M$4, Outputs_Internal!$M$5),0)*$D17</f>
        <v>0</v>
      </c>
      <c r="N17" s="63">
        <f t="shared" si="0"/>
        <v>0</v>
      </c>
      <c r="P17" s="63">
        <f>$F17*Outputs_Internal!$D$64/12+N17</f>
        <v>0</v>
      </c>
      <c r="Q17" s="63">
        <f>$F17*Outputs_Internal!K$64/12+N17*'MARA Prices'!$F$5</f>
        <v>0</v>
      </c>
      <c r="R17" s="63">
        <f>$F17*Outputs_Internal!L$64/12+N17*'MARA Prices'!$F$6</f>
        <v>0</v>
      </c>
      <c r="S17" s="63">
        <f>N17*'MARA Prices'!$F$4</f>
        <v>0</v>
      </c>
      <c r="T17" s="63">
        <f>$F17*Outputs_Internal!M$64/12</f>
        <v>0</v>
      </c>
      <c r="U17" s="63">
        <f>$F17*Outputs_Internal!N$64/12</f>
        <v>0</v>
      </c>
      <c r="W17" s="63">
        <f t="shared" si="2"/>
        <v>0</v>
      </c>
      <c r="X17" s="63">
        <f t="shared" si="3"/>
        <v>0</v>
      </c>
      <c r="Y17" s="63">
        <f t="shared" si="4"/>
        <v>0</v>
      </c>
      <c r="Z17" s="63">
        <f t="shared" si="5"/>
        <v>0</v>
      </c>
      <c r="AA17" s="63">
        <f t="shared" si="6"/>
        <v>0</v>
      </c>
      <c r="AD17" s="63">
        <f>'MARA Prices'!H$21*$G17</f>
        <v>0</v>
      </c>
      <c r="AE17" s="63">
        <f>'MARA Prices'!I$21*$G17</f>
        <v>0</v>
      </c>
      <c r="AF17" s="63">
        <f>'MARA Prices'!J$21*$G17</f>
        <v>0</v>
      </c>
      <c r="AG17" s="63">
        <f>'MARA Prices'!K$21*$G17</f>
        <v>0</v>
      </c>
      <c r="AH17" s="63">
        <f>'MARA Prices'!L$21*$G17</f>
        <v>0</v>
      </c>
    </row>
    <row r="18" spans="2:34" x14ac:dyDescent="0.25">
      <c r="B18" s="60">
        <f t="shared" si="1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0</v>
      </c>
      <c r="G18" s="64">
        <f>IF(AND(B18&gt;=Inputs!$C$1,B18&lt;EDATE(Inputs!$C$1,Inputs!$C$2)),(1+'MARA Prices'!$F$1)^IFERROR(DATEDIF('MARA Prices'!$F$2,B18,"Y")+1, 0),0)</f>
        <v>0</v>
      </c>
      <c r="I18" s="63">
        <f>IF($B18=Inputs!$C$1,SUM(Outputs_Internal!$D$4, Outputs_Internal!$D$5),0)*$D18</f>
        <v>0</v>
      </c>
      <c r="J18" s="63">
        <f>IF($B18=Inputs!$C$1,SUM(Outputs_Internal!K$4, Outputs_Internal!K$5),0)*$D18</f>
        <v>0</v>
      </c>
      <c r="K18" s="63">
        <f>IF($B18=Inputs!$C$1,SUM(Outputs_Internal!L$4, Outputs_Internal!L$5),0)*$D18</f>
        <v>0</v>
      </c>
      <c r="L18" s="63">
        <f>IF($B18=Inputs!$C$1,SUM(Outputs_Internal!M$4, Outputs_Internal!$M$5),0)*$D18</f>
        <v>0</v>
      </c>
      <c r="N18" s="63">
        <f t="shared" si="0"/>
        <v>0</v>
      </c>
      <c r="P18" s="63">
        <f>$F18*Outputs_Internal!$D$64/12+N18</f>
        <v>0</v>
      </c>
      <c r="Q18" s="63">
        <f>$F18*Outputs_Internal!K$64/12+N18*'MARA Prices'!$F$5</f>
        <v>0</v>
      </c>
      <c r="R18" s="63">
        <f>$F18*Outputs_Internal!L$64/12+N18*'MARA Prices'!$F$6</f>
        <v>0</v>
      </c>
      <c r="S18" s="63">
        <f>N18*'MARA Prices'!$F$4</f>
        <v>0</v>
      </c>
      <c r="T18" s="63">
        <f>$F18*Outputs_Internal!M$64/12</f>
        <v>0</v>
      </c>
      <c r="U18" s="63">
        <f>$F18*Outputs_Internal!N$64/12</f>
        <v>0</v>
      </c>
      <c r="W18" s="63">
        <f t="shared" si="2"/>
        <v>0</v>
      </c>
      <c r="X18" s="63">
        <f t="shared" si="3"/>
        <v>0</v>
      </c>
      <c r="Y18" s="63">
        <f t="shared" si="4"/>
        <v>0</v>
      </c>
      <c r="Z18" s="63">
        <f t="shared" si="5"/>
        <v>0</v>
      </c>
      <c r="AA18" s="63">
        <f t="shared" si="6"/>
        <v>0</v>
      </c>
      <c r="AD18" s="63">
        <f>'MARA Prices'!H$21*$G18</f>
        <v>0</v>
      </c>
      <c r="AE18" s="63">
        <f>'MARA Prices'!I$21*$G18</f>
        <v>0</v>
      </c>
      <c r="AF18" s="63">
        <f>'MARA Prices'!J$21*$G18</f>
        <v>0</v>
      </c>
      <c r="AG18" s="63">
        <f>'MARA Prices'!K$21*$G18</f>
        <v>0</v>
      </c>
      <c r="AH18" s="63">
        <f>'MARA Prices'!L$21*$G18</f>
        <v>0</v>
      </c>
    </row>
    <row r="19" spans="2:34" x14ac:dyDescent="0.25">
      <c r="B19" s="60">
        <f t="shared" si="1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0</v>
      </c>
      <c r="G19" s="64">
        <f>IF(AND(B19&gt;=Inputs!$C$1,B19&lt;EDATE(Inputs!$C$1,Inputs!$C$2)),(1+'MARA Prices'!$F$1)^IFERROR(DATEDIF('MARA Prices'!$F$2,B19,"Y")+1, 0),0)</f>
        <v>0</v>
      </c>
      <c r="I19" s="63">
        <f>IF($B19=Inputs!$C$1,SUM(Outputs_Internal!$D$4, Outputs_Internal!$D$5),0)*$D19</f>
        <v>0</v>
      </c>
      <c r="J19" s="63">
        <f>IF($B19=Inputs!$C$1,SUM(Outputs_Internal!K$4, Outputs_Internal!K$5),0)*$D19</f>
        <v>0</v>
      </c>
      <c r="K19" s="63">
        <f>IF($B19=Inputs!$C$1,SUM(Outputs_Internal!L$4, Outputs_Internal!L$5),0)*$D19</f>
        <v>0</v>
      </c>
      <c r="L19" s="63">
        <f>IF($B19=Inputs!$C$1,SUM(Outputs_Internal!M$4, Outputs_Internal!$M$5),0)*$D19</f>
        <v>0</v>
      </c>
      <c r="N19" s="63">
        <f t="shared" si="0"/>
        <v>0</v>
      </c>
      <c r="P19" s="63">
        <f>$F19*Outputs_Internal!$D$64/12+N19</f>
        <v>0</v>
      </c>
      <c r="Q19" s="63">
        <f>$F19*Outputs_Internal!K$64/12+N19*'MARA Prices'!$F$5</f>
        <v>0</v>
      </c>
      <c r="R19" s="63">
        <f>$F19*Outputs_Internal!L$64/12+N19*'MARA Prices'!$F$6</f>
        <v>0</v>
      </c>
      <c r="S19" s="63">
        <f>N19*'MARA Prices'!$F$4</f>
        <v>0</v>
      </c>
      <c r="T19" s="63">
        <f>$F19*Outputs_Internal!M$64/12</f>
        <v>0</v>
      </c>
      <c r="U19" s="63">
        <f>$F19*Outputs_Internal!N$64/12</f>
        <v>0</v>
      </c>
      <c r="W19" s="63">
        <f t="shared" si="2"/>
        <v>0</v>
      </c>
      <c r="X19" s="63">
        <f t="shared" si="3"/>
        <v>0</v>
      </c>
      <c r="Y19" s="63">
        <f t="shared" si="4"/>
        <v>0</v>
      </c>
      <c r="Z19" s="63">
        <f t="shared" si="5"/>
        <v>0</v>
      </c>
      <c r="AA19" s="63">
        <f t="shared" si="6"/>
        <v>0</v>
      </c>
      <c r="AD19" s="63">
        <f>'MARA Prices'!H$21*$G19</f>
        <v>0</v>
      </c>
      <c r="AE19" s="63">
        <f>'MARA Prices'!I$21*$G19</f>
        <v>0</v>
      </c>
      <c r="AF19" s="63">
        <f>'MARA Prices'!J$21*$G19</f>
        <v>0</v>
      </c>
      <c r="AG19" s="63">
        <f>'MARA Prices'!K$21*$G19</f>
        <v>0</v>
      </c>
      <c r="AH19" s="63">
        <f>'MARA Prices'!L$21*$G19</f>
        <v>0</v>
      </c>
    </row>
    <row r="20" spans="2:34" x14ac:dyDescent="0.25">
      <c r="B20" s="60">
        <f t="shared" si="1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0</v>
      </c>
      <c r="G20" s="64">
        <f>IF(AND(B20&gt;=Inputs!$C$1,B20&lt;EDATE(Inputs!$C$1,Inputs!$C$2)),(1+'MARA Prices'!$F$1)^IFERROR(DATEDIF('MARA Prices'!$F$2,B20,"Y")+1, 0),0)</f>
        <v>0</v>
      </c>
      <c r="I20" s="63">
        <f>IF($B20=Inputs!$C$1,SUM(Outputs_Internal!$D$4, Outputs_Internal!$D$5),0)*$D20</f>
        <v>0</v>
      </c>
      <c r="J20" s="63">
        <f>IF($B20=Inputs!$C$1,SUM(Outputs_Internal!K$4, Outputs_Internal!K$5),0)*$D20</f>
        <v>0</v>
      </c>
      <c r="K20" s="63">
        <f>IF($B20=Inputs!$C$1,SUM(Outputs_Internal!L$4, Outputs_Internal!L$5),0)*$D20</f>
        <v>0</v>
      </c>
      <c r="L20" s="63">
        <f>IF($B20=Inputs!$C$1,SUM(Outputs_Internal!M$4, Outputs_Internal!$M$5),0)*$D20</f>
        <v>0</v>
      </c>
      <c r="N20" s="63">
        <f t="shared" si="0"/>
        <v>0</v>
      </c>
      <c r="P20" s="63">
        <f>$F20*Outputs_Internal!$D$64/12+N20</f>
        <v>0</v>
      </c>
      <c r="Q20" s="63">
        <f>$F20*Outputs_Internal!K$64/12+N20*'MARA Prices'!$F$5</f>
        <v>0</v>
      </c>
      <c r="R20" s="63">
        <f>$F20*Outputs_Internal!L$64/12+N20*'MARA Prices'!$F$6</f>
        <v>0</v>
      </c>
      <c r="S20" s="63">
        <f>N20*'MARA Prices'!$F$4</f>
        <v>0</v>
      </c>
      <c r="T20" s="63">
        <f>$F20*Outputs_Internal!M$64/12</f>
        <v>0</v>
      </c>
      <c r="U20" s="63">
        <f>$F20*Outputs_Internal!N$64/12</f>
        <v>0</v>
      </c>
      <c r="W20" s="63">
        <f t="shared" si="2"/>
        <v>0</v>
      </c>
      <c r="X20" s="63">
        <f t="shared" si="3"/>
        <v>0</v>
      </c>
      <c r="Y20" s="63">
        <f t="shared" si="4"/>
        <v>0</v>
      </c>
      <c r="Z20" s="63">
        <f t="shared" si="5"/>
        <v>0</v>
      </c>
      <c r="AA20" s="63">
        <f t="shared" si="6"/>
        <v>0</v>
      </c>
      <c r="AD20" s="63">
        <f>'MARA Prices'!H$21*$G20</f>
        <v>0</v>
      </c>
      <c r="AE20" s="63">
        <f>'MARA Prices'!I$21*$G20</f>
        <v>0</v>
      </c>
      <c r="AF20" s="63">
        <f>'MARA Prices'!J$21*$G20</f>
        <v>0</v>
      </c>
      <c r="AG20" s="63">
        <f>'MARA Prices'!K$21*$G20</f>
        <v>0</v>
      </c>
      <c r="AH20" s="63">
        <f>'MARA Prices'!L$21*$G20</f>
        <v>0</v>
      </c>
    </row>
    <row r="21" spans="2:34" x14ac:dyDescent="0.25">
      <c r="B21" s="60">
        <f t="shared" si="1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0</v>
      </c>
      <c r="G21" s="64">
        <f>IF(AND(B21&gt;=Inputs!$C$1,B21&lt;EDATE(Inputs!$C$1,Inputs!$C$2)),(1+'MARA Prices'!$F$1)^IFERROR(DATEDIF('MARA Prices'!$F$2,B21,"Y")+1, 0),0)</f>
        <v>0</v>
      </c>
      <c r="I21" s="63">
        <f>IF($B21=Inputs!$C$1,SUM(Outputs_Internal!$D$4, Outputs_Internal!$D$5),0)*$D21</f>
        <v>0</v>
      </c>
      <c r="J21" s="63">
        <f>IF($B21=Inputs!$C$1,SUM(Outputs_Internal!K$4, Outputs_Internal!K$5),0)*$D21</f>
        <v>0</v>
      </c>
      <c r="K21" s="63">
        <f>IF($B21=Inputs!$C$1,SUM(Outputs_Internal!L$4, Outputs_Internal!L$5),0)*$D21</f>
        <v>0</v>
      </c>
      <c r="L21" s="63">
        <f>IF($B21=Inputs!$C$1,SUM(Outputs_Internal!M$4, Outputs_Internal!$M$5),0)*$D21</f>
        <v>0</v>
      </c>
      <c r="N21" s="63">
        <f t="shared" si="0"/>
        <v>0</v>
      </c>
      <c r="P21" s="63">
        <f>$F21*Outputs_Internal!$D$64/12+N21</f>
        <v>0</v>
      </c>
      <c r="Q21" s="63">
        <f>$F21*Outputs_Internal!K$64/12+N21*'MARA Prices'!$F$5</f>
        <v>0</v>
      </c>
      <c r="R21" s="63">
        <f>$F21*Outputs_Internal!L$64/12+N21*'MARA Prices'!$F$6</f>
        <v>0</v>
      </c>
      <c r="S21" s="63">
        <f>N21*'MARA Prices'!$F$4</f>
        <v>0</v>
      </c>
      <c r="T21" s="63">
        <f>$F21*Outputs_Internal!M$64/12</f>
        <v>0</v>
      </c>
      <c r="U21" s="63">
        <f>$F21*Outputs_Internal!N$64/12</f>
        <v>0</v>
      </c>
      <c r="W21" s="63">
        <f t="shared" si="2"/>
        <v>0</v>
      </c>
      <c r="X21" s="63">
        <f t="shared" si="3"/>
        <v>0</v>
      </c>
      <c r="Y21" s="63">
        <f t="shared" si="4"/>
        <v>0</v>
      </c>
      <c r="Z21" s="63">
        <f t="shared" si="5"/>
        <v>0</v>
      </c>
      <c r="AA21" s="63">
        <f t="shared" si="6"/>
        <v>0</v>
      </c>
      <c r="AD21" s="63">
        <f>'MARA Prices'!H$21*$G21</f>
        <v>0</v>
      </c>
      <c r="AE21" s="63">
        <f>'MARA Prices'!I$21*$G21</f>
        <v>0</v>
      </c>
      <c r="AF21" s="63">
        <f>'MARA Prices'!J$21*$G21</f>
        <v>0</v>
      </c>
      <c r="AG21" s="63">
        <f>'MARA Prices'!K$21*$G21</f>
        <v>0</v>
      </c>
      <c r="AH21" s="63">
        <f>'MARA Prices'!L$21*$G21</f>
        <v>0</v>
      </c>
    </row>
    <row r="22" spans="2:34" x14ac:dyDescent="0.25">
      <c r="B22" s="60">
        <f t="shared" si="1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0</v>
      </c>
      <c r="G22" s="64">
        <f>IF(AND(B22&gt;=Inputs!$C$1,B22&lt;EDATE(Inputs!$C$1,Inputs!$C$2)),(1+'MARA Prices'!$F$1)^IFERROR(DATEDIF('MARA Prices'!$F$2,B22,"Y")+1, 0),0)</f>
        <v>0</v>
      </c>
      <c r="I22" s="63">
        <f>IF($B22=Inputs!$C$1,SUM(Outputs_Internal!$D$4, Outputs_Internal!$D$5),0)*$D22</f>
        <v>0</v>
      </c>
      <c r="J22" s="63">
        <f>IF($B22=Inputs!$C$1,SUM(Outputs_Internal!K$4, Outputs_Internal!K$5),0)*$D22</f>
        <v>0</v>
      </c>
      <c r="K22" s="63">
        <f>IF($B22=Inputs!$C$1,SUM(Outputs_Internal!L$4, Outputs_Internal!L$5),0)*$D22</f>
        <v>0</v>
      </c>
      <c r="L22" s="63">
        <f>IF($B22=Inputs!$C$1,SUM(Outputs_Internal!M$4, Outputs_Internal!$M$5),0)*$D22</f>
        <v>0</v>
      </c>
      <c r="N22" s="63">
        <f t="shared" si="0"/>
        <v>0</v>
      </c>
      <c r="P22" s="63">
        <f>$F22*Outputs_Internal!$D$64/12+N22</f>
        <v>0</v>
      </c>
      <c r="Q22" s="63">
        <f>$F22*Outputs_Internal!K$64/12+N22*'MARA Prices'!$F$5</f>
        <v>0</v>
      </c>
      <c r="R22" s="63">
        <f>$F22*Outputs_Internal!L$64/12+N22*'MARA Prices'!$F$6</f>
        <v>0</v>
      </c>
      <c r="S22" s="63">
        <f>N22*'MARA Prices'!$F$4</f>
        <v>0</v>
      </c>
      <c r="T22" s="63">
        <f>$F22*Outputs_Internal!M$64/12</f>
        <v>0</v>
      </c>
      <c r="U22" s="63">
        <f>$F22*Outputs_Internal!N$64/12</f>
        <v>0</v>
      </c>
      <c r="W22" s="63">
        <f t="shared" si="2"/>
        <v>0</v>
      </c>
      <c r="X22" s="63">
        <f t="shared" si="3"/>
        <v>0</v>
      </c>
      <c r="Y22" s="63">
        <f t="shared" si="4"/>
        <v>0</v>
      </c>
      <c r="Z22" s="63">
        <f t="shared" si="5"/>
        <v>0</v>
      </c>
      <c r="AA22" s="63">
        <f t="shared" si="6"/>
        <v>0</v>
      </c>
      <c r="AD22" s="63">
        <f>'MARA Prices'!H$21*$G22</f>
        <v>0</v>
      </c>
      <c r="AE22" s="63">
        <f>'MARA Prices'!I$21*$G22</f>
        <v>0</v>
      </c>
      <c r="AF22" s="63">
        <f>'MARA Prices'!J$21*$G22</f>
        <v>0</v>
      </c>
      <c r="AG22" s="63">
        <f>'MARA Prices'!K$21*$G22</f>
        <v>0</v>
      </c>
      <c r="AH22" s="63">
        <f>'MARA Prices'!L$21*$G22</f>
        <v>0</v>
      </c>
    </row>
    <row r="23" spans="2:34" x14ac:dyDescent="0.25">
      <c r="B23" s="60">
        <f t="shared" si="1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0</v>
      </c>
      <c r="G23" s="64">
        <f>IF(AND(B23&gt;=Inputs!$C$1,B23&lt;EDATE(Inputs!$C$1,Inputs!$C$2)),(1+'MARA Prices'!$F$1)^IFERROR(DATEDIF('MARA Prices'!$F$2,B23,"Y")+1, 0),0)</f>
        <v>0</v>
      </c>
      <c r="I23" s="63">
        <f>IF($B23=Inputs!$C$1,SUM(Outputs_Internal!$D$4, Outputs_Internal!$D$5),0)*$D23</f>
        <v>0</v>
      </c>
      <c r="J23" s="63">
        <f>IF($B23=Inputs!$C$1,SUM(Outputs_Internal!K$4, Outputs_Internal!K$5),0)*$D23</f>
        <v>0</v>
      </c>
      <c r="K23" s="63">
        <f>IF($B23=Inputs!$C$1,SUM(Outputs_Internal!L$4, Outputs_Internal!L$5),0)*$D23</f>
        <v>0</v>
      </c>
      <c r="L23" s="63">
        <f>IF($B23=Inputs!$C$1,SUM(Outputs_Internal!M$4, Outputs_Internal!$M$5),0)*$D23</f>
        <v>0</v>
      </c>
      <c r="N23" s="63">
        <f t="shared" si="0"/>
        <v>0</v>
      </c>
      <c r="P23" s="63">
        <f>$F23*Outputs_Internal!$D$64/12+N23</f>
        <v>0</v>
      </c>
      <c r="Q23" s="63">
        <f>$F23*Outputs_Internal!K$64/12+N23*'MARA Prices'!$F$5</f>
        <v>0</v>
      </c>
      <c r="R23" s="63">
        <f>$F23*Outputs_Internal!L$64/12+N23*'MARA Prices'!$F$6</f>
        <v>0</v>
      </c>
      <c r="S23" s="63">
        <f>N23*'MARA Prices'!$F$4</f>
        <v>0</v>
      </c>
      <c r="T23" s="63">
        <f>$F23*Outputs_Internal!M$64/12</f>
        <v>0</v>
      </c>
      <c r="U23" s="63">
        <f>$F23*Outputs_Internal!N$64/12</f>
        <v>0</v>
      </c>
      <c r="W23" s="63">
        <f t="shared" si="2"/>
        <v>0</v>
      </c>
      <c r="X23" s="63">
        <f t="shared" si="3"/>
        <v>0</v>
      </c>
      <c r="Y23" s="63">
        <f t="shared" si="4"/>
        <v>0</v>
      </c>
      <c r="Z23" s="63">
        <f t="shared" si="5"/>
        <v>0</v>
      </c>
      <c r="AA23" s="63">
        <f t="shared" si="6"/>
        <v>0</v>
      </c>
      <c r="AD23" s="63">
        <f>'MARA Prices'!H$21*$G23</f>
        <v>0</v>
      </c>
      <c r="AE23" s="63">
        <f>'MARA Prices'!I$21*$G23</f>
        <v>0</v>
      </c>
      <c r="AF23" s="63">
        <f>'MARA Prices'!J$21*$G23</f>
        <v>0</v>
      </c>
      <c r="AG23" s="63">
        <f>'MARA Prices'!K$21*$G23</f>
        <v>0</v>
      </c>
      <c r="AH23" s="63">
        <f>'MARA Prices'!L$21*$G23</f>
        <v>0</v>
      </c>
    </row>
    <row r="24" spans="2:34" x14ac:dyDescent="0.25">
      <c r="B24" s="60">
        <f t="shared" si="1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0</v>
      </c>
      <c r="G24" s="64">
        <f>IF(AND(B24&gt;=Inputs!$C$1,B24&lt;EDATE(Inputs!$C$1,Inputs!$C$2)),(1+'MARA Prices'!$F$1)^IFERROR(DATEDIF('MARA Prices'!$F$2,B24,"Y")+1, 0),0)</f>
        <v>0</v>
      </c>
      <c r="I24" s="63">
        <f>IF($B24=Inputs!$C$1,SUM(Outputs_Internal!$D$4, Outputs_Internal!$D$5),0)*$D24</f>
        <v>0</v>
      </c>
      <c r="J24" s="63">
        <f>IF($B24=Inputs!$C$1,SUM(Outputs_Internal!K$4, Outputs_Internal!K$5),0)*$D24</f>
        <v>0</v>
      </c>
      <c r="K24" s="63">
        <f>IF($B24=Inputs!$C$1,SUM(Outputs_Internal!L$4, Outputs_Internal!L$5),0)*$D24</f>
        <v>0</v>
      </c>
      <c r="L24" s="63">
        <f>IF($B24=Inputs!$C$1,SUM(Outputs_Internal!M$4, Outputs_Internal!$M$5),0)*$D24</f>
        <v>0</v>
      </c>
      <c r="N24" s="63">
        <f t="shared" si="0"/>
        <v>0</v>
      </c>
      <c r="P24" s="63">
        <f>$F24*Outputs_Internal!$D$64/12+N24</f>
        <v>0</v>
      </c>
      <c r="Q24" s="63">
        <f>$F24*Outputs_Internal!K$64/12+N24*'MARA Prices'!$F$5</f>
        <v>0</v>
      </c>
      <c r="R24" s="63">
        <f>$F24*Outputs_Internal!L$64/12+N24*'MARA Prices'!$F$6</f>
        <v>0</v>
      </c>
      <c r="S24" s="63">
        <f>N24*'MARA Prices'!$F$4</f>
        <v>0</v>
      </c>
      <c r="T24" s="63">
        <f>$F24*Outputs_Internal!M$64/12</f>
        <v>0</v>
      </c>
      <c r="U24" s="63">
        <f>$F24*Outputs_Internal!N$64/12</f>
        <v>0</v>
      </c>
      <c r="W24" s="63">
        <f t="shared" si="2"/>
        <v>0</v>
      </c>
      <c r="X24" s="63">
        <f t="shared" si="3"/>
        <v>0</v>
      </c>
      <c r="Y24" s="63">
        <f t="shared" si="4"/>
        <v>0</v>
      </c>
      <c r="Z24" s="63">
        <f t="shared" si="5"/>
        <v>0</v>
      </c>
      <c r="AA24" s="63">
        <f t="shared" si="6"/>
        <v>0</v>
      </c>
      <c r="AD24" s="63">
        <f>'MARA Prices'!H$21*$G24</f>
        <v>0</v>
      </c>
      <c r="AE24" s="63">
        <f>'MARA Prices'!I$21*$G24</f>
        <v>0</v>
      </c>
      <c r="AF24" s="63">
        <f>'MARA Prices'!J$21*$G24</f>
        <v>0</v>
      </c>
      <c r="AG24" s="63">
        <f>'MARA Prices'!K$21*$G24</f>
        <v>0</v>
      </c>
      <c r="AH24" s="63">
        <f>'MARA Prices'!L$21*$G24</f>
        <v>0</v>
      </c>
    </row>
    <row r="25" spans="2:34" x14ac:dyDescent="0.25">
      <c r="B25" s="60">
        <f t="shared" si="1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0</v>
      </c>
      <c r="G25" s="64">
        <f>IF(AND(B25&gt;=Inputs!$C$1,B25&lt;EDATE(Inputs!$C$1,Inputs!$C$2)),(1+'MARA Prices'!$F$1)^IFERROR(DATEDIF('MARA Prices'!$F$2,B25,"Y")+1, 0),0)</f>
        <v>0</v>
      </c>
      <c r="I25" s="63">
        <f>IF($B25=Inputs!$C$1,SUM(Outputs_Internal!$D$4, Outputs_Internal!$D$5),0)*$D25</f>
        <v>0</v>
      </c>
      <c r="J25" s="63">
        <f>IF($B25=Inputs!$C$1,SUM(Outputs_Internal!K$4, Outputs_Internal!K$5),0)*$D25</f>
        <v>0</v>
      </c>
      <c r="K25" s="63">
        <f>IF($B25=Inputs!$C$1,SUM(Outputs_Internal!L$4, Outputs_Internal!L$5),0)*$D25</f>
        <v>0</v>
      </c>
      <c r="L25" s="63">
        <f>IF($B25=Inputs!$C$1,SUM(Outputs_Internal!M$4, Outputs_Internal!$M$5),0)*$D25</f>
        <v>0</v>
      </c>
      <c r="N25" s="63">
        <f t="shared" si="0"/>
        <v>0</v>
      </c>
      <c r="P25" s="63">
        <f>$F25*Outputs_Internal!$D$64/12+N25</f>
        <v>0</v>
      </c>
      <c r="Q25" s="63">
        <f>$F25*Outputs_Internal!K$64/12+N25*'MARA Prices'!$F$5</f>
        <v>0</v>
      </c>
      <c r="R25" s="63">
        <f>$F25*Outputs_Internal!L$64/12+N25*'MARA Prices'!$F$6</f>
        <v>0</v>
      </c>
      <c r="S25" s="63">
        <f>N25*'MARA Prices'!$F$4</f>
        <v>0</v>
      </c>
      <c r="T25" s="63">
        <f>$F25*Outputs_Internal!M$64/12</f>
        <v>0</v>
      </c>
      <c r="U25" s="63">
        <f>$F25*Outputs_Internal!N$64/12</f>
        <v>0</v>
      </c>
      <c r="W25" s="63">
        <f t="shared" si="2"/>
        <v>0</v>
      </c>
      <c r="X25" s="63">
        <f t="shared" si="3"/>
        <v>0</v>
      </c>
      <c r="Y25" s="63">
        <f t="shared" si="4"/>
        <v>0</v>
      </c>
      <c r="Z25" s="63">
        <f t="shared" si="5"/>
        <v>0</v>
      </c>
      <c r="AA25" s="63">
        <f t="shared" si="6"/>
        <v>0</v>
      </c>
      <c r="AD25" s="63">
        <f>'MARA Prices'!H$21*$G25</f>
        <v>0</v>
      </c>
      <c r="AE25" s="63">
        <f>'MARA Prices'!I$21*$G25</f>
        <v>0</v>
      </c>
      <c r="AF25" s="63">
        <f>'MARA Prices'!J$21*$G25</f>
        <v>0</v>
      </c>
      <c r="AG25" s="63">
        <f>'MARA Prices'!K$21*$G25</f>
        <v>0</v>
      </c>
      <c r="AH25" s="63">
        <f>'MARA Prices'!L$21*$G25</f>
        <v>0</v>
      </c>
    </row>
    <row r="26" spans="2:34" x14ac:dyDescent="0.25">
      <c r="B26" s="60">
        <f t="shared" si="1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0</v>
      </c>
      <c r="G26" s="64">
        <f>IF(AND(B26&gt;=Inputs!$C$1,B26&lt;EDATE(Inputs!$C$1,Inputs!$C$2)),(1+'MARA Prices'!$F$1)^IFERROR(DATEDIF('MARA Prices'!$F$2,B26,"Y")+1, 0),0)</f>
        <v>0</v>
      </c>
      <c r="I26" s="63">
        <f>IF($B26=Inputs!$C$1,SUM(Outputs_Internal!$D$4, Outputs_Internal!$D$5),0)*$D26</f>
        <v>0</v>
      </c>
      <c r="J26" s="63">
        <f>IF($B26=Inputs!$C$1,SUM(Outputs_Internal!K$4, Outputs_Internal!K$5),0)*$D26</f>
        <v>0</v>
      </c>
      <c r="K26" s="63">
        <f>IF($B26=Inputs!$C$1,SUM(Outputs_Internal!L$4, Outputs_Internal!L$5),0)*$D26</f>
        <v>0</v>
      </c>
      <c r="L26" s="63">
        <f>IF($B26=Inputs!$C$1,SUM(Outputs_Internal!M$4, Outputs_Internal!$M$5),0)*$D26</f>
        <v>0</v>
      </c>
      <c r="N26" s="63">
        <f t="shared" si="0"/>
        <v>0</v>
      </c>
      <c r="P26" s="63">
        <f>$F26*Outputs_Internal!$D$64/12+N26</f>
        <v>0</v>
      </c>
      <c r="Q26" s="63">
        <f>$F26*Outputs_Internal!K$64/12+N26*'MARA Prices'!$F$5</f>
        <v>0</v>
      </c>
      <c r="R26" s="63">
        <f>$F26*Outputs_Internal!L$64/12+N26*'MARA Prices'!$F$6</f>
        <v>0</v>
      </c>
      <c r="S26" s="63">
        <f>N26*'MARA Prices'!$F$4</f>
        <v>0</v>
      </c>
      <c r="T26" s="63">
        <f>$F26*Outputs_Internal!M$64/12</f>
        <v>0</v>
      </c>
      <c r="U26" s="63">
        <f>$F26*Outputs_Internal!N$64/12</f>
        <v>0</v>
      </c>
      <c r="W26" s="63">
        <f t="shared" si="2"/>
        <v>0</v>
      </c>
      <c r="X26" s="63">
        <f t="shared" si="3"/>
        <v>0</v>
      </c>
      <c r="Y26" s="63">
        <f t="shared" si="4"/>
        <v>0</v>
      </c>
      <c r="Z26" s="63">
        <f t="shared" si="5"/>
        <v>0</v>
      </c>
      <c r="AA26" s="63">
        <f t="shared" si="6"/>
        <v>0</v>
      </c>
      <c r="AD26" s="63">
        <f>'MARA Prices'!H$21*$G26</f>
        <v>0</v>
      </c>
      <c r="AE26" s="63">
        <f>'MARA Prices'!I$21*$G26</f>
        <v>0</v>
      </c>
      <c r="AF26" s="63">
        <f>'MARA Prices'!J$21*$G26</f>
        <v>0</v>
      </c>
      <c r="AG26" s="63">
        <f>'MARA Prices'!K$21*$G26</f>
        <v>0</v>
      </c>
      <c r="AH26" s="63">
        <f>'MARA Prices'!L$21*$G26</f>
        <v>0</v>
      </c>
    </row>
    <row r="27" spans="2:34" x14ac:dyDescent="0.25">
      <c r="B27" s="60">
        <f t="shared" si="1"/>
        <v>43647</v>
      </c>
      <c r="D27" s="64">
        <f>D26*IF(AND(MONTH(B27)=1,YEAR(B27)&gt;=YEAR(Prices!$L$15)),1+Prices!$L$14,1)</f>
        <v>1.0125</v>
      </c>
      <c r="E27" s="64">
        <f>IF(B27=Inputs!$C$1,D27,E26)</f>
        <v>1.0125</v>
      </c>
      <c r="F27" s="64">
        <f>IF(AND(B27&gt;=Inputs!$C$1,B27&lt;EDATE(Inputs!$C$1,Inputs!$C$2)),E27,0)</f>
        <v>1.0125</v>
      </c>
      <c r="G27" s="64">
        <f>IF(AND(B27&gt;=Inputs!$C$1,B27&lt;EDATE(Inputs!$C$1,Inputs!$C$2)),(1+'MARA Prices'!$F$1)^IFERROR(DATEDIF('MARA Prices'!$F$2,B27,"Y")+1, 0),0)</f>
        <v>1</v>
      </c>
      <c r="I27" s="63">
        <f>IF($B27=Inputs!$C$1,SUM(Outputs_Internal!$D$4, Outputs_Internal!$D$5),0)*$D27</f>
        <v>5062.5</v>
      </c>
      <c r="J27" s="63">
        <f>IF($B27=Inputs!$C$1,SUM(Outputs_Internal!K$4, Outputs_Internal!K$5),0)*$D27</f>
        <v>2531.25</v>
      </c>
      <c r="K27" s="63">
        <f>IF($B27=Inputs!$C$1,SUM(Outputs_Internal!L$4, Outputs_Internal!L$5),0)*$D27</f>
        <v>2531.25</v>
      </c>
      <c r="L27" s="63">
        <f>IF($B27=Inputs!$C$1,SUM(Outputs_Internal!M$4, Outputs_Internal!$M$5),0)*$D27</f>
        <v>0</v>
      </c>
      <c r="N27" s="63">
        <f t="shared" si="0"/>
        <v>0</v>
      </c>
      <c r="P27" s="63">
        <f>$F27*Outputs_Internal!$D$64/12+N27</f>
        <v>4617</v>
      </c>
      <c r="Q27" s="63">
        <f>$F27*Outputs_Internal!K$64/12+N27*'MARA Prices'!$F$5</f>
        <v>2580.5285651408453</v>
      </c>
      <c r="R27" s="63">
        <f>$F27*Outputs_Internal!L$64/12+N27*'MARA Prices'!$F$6</f>
        <v>2005.003125</v>
      </c>
      <c r="S27" s="63">
        <f>N27*'MARA Prices'!$F$4</f>
        <v>0</v>
      </c>
      <c r="T27" s="63">
        <f>$F27*Outputs_Internal!M$64/12</f>
        <v>0</v>
      </c>
      <c r="U27" s="63">
        <f>$F27*Outputs_Internal!N$64/12</f>
        <v>31.468309859154928</v>
      </c>
      <c r="W27" s="63">
        <f t="shared" si="2"/>
        <v>0</v>
      </c>
      <c r="X27" s="63">
        <f t="shared" si="3"/>
        <v>0</v>
      </c>
      <c r="Y27" s="63">
        <f t="shared" si="4"/>
        <v>0</v>
      </c>
      <c r="Z27" s="63">
        <f t="shared" si="5"/>
        <v>0</v>
      </c>
      <c r="AA27" s="63">
        <f t="shared" si="6"/>
        <v>0</v>
      </c>
      <c r="AD27" s="63">
        <f>'MARA Prices'!H$21*$G27</f>
        <v>0</v>
      </c>
      <c r="AE27" s="63">
        <f>'MARA Prices'!I$21*$G27</f>
        <v>0</v>
      </c>
      <c r="AF27" s="63">
        <f>'MARA Prices'!J$21*$G27</f>
        <v>0</v>
      </c>
      <c r="AG27" s="63">
        <f>'MARA Prices'!K$21*$G27</f>
        <v>0</v>
      </c>
      <c r="AH27" s="63">
        <f>'MARA Prices'!L$21*$G27</f>
        <v>0</v>
      </c>
    </row>
    <row r="28" spans="2:34" x14ac:dyDescent="0.25">
      <c r="B28" s="60">
        <f t="shared" si="1"/>
        <v>43678</v>
      </c>
      <c r="D28" s="64">
        <f>D27*IF(AND(MONTH(B28)=1,YEAR(B28)&gt;=YEAR(Prices!$L$15)),1+Prices!$L$14,1)</f>
        <v>1.0125</v>
      </c>
      <c r="E28" s="64">
        <f>IF(B28=Inputs!$C$1,D28,E27)</f>
        <v>1.0125</v>
      </c>
      <c r="F28" s="64">
        <f>IF(AND(B28&gt;=Inputs!$C$1,B28&lt;EDATE(Inputs!$C$1,Inputs!$C$2)),E28,0)</f>
        <v>1.0125</v>
      </c>
      <c r="G28" s="64">
        <f>IF(AND(B28&gt;=Inputs!$C$1,B28&lt;EDATE(Inputs!$C$1,Inputs!$C$2)),(1+'MARA Prices'!$F$1)^IFERROR(DATEDIF('MARA Prices'!$F$2,B28,"Y")+1, 0),0)</f>
        <v>1</v>
      </c>
      <c r="I28" s="63">
        <f>IF($B28=Inputs!$C$1,SUM(Outputs_Internal!$D$4, Outputs_Internal!$D$5),0)*$D28</f>
        <v>0</v>
      </c>
      <c r="J28" s="63">
        <f>IF($B28=Inputs!$C$1,SUM(Outputs_Internal!K$4, Outputs_Internal!K$5),0)*$D28</f>
        <v>0</v>
      </c>
      <c r="K28" s="63">
        <f>IF($B28=Inputs!$C$1,SUM(Outputs_Internal!L$4, Outputs_Internal!L$5),0)*$D28</f>
        <v>0</v>
      </c>
      <c r="L28" s="63">
        <f>IF($B28=Inputs!$C$1,SUM(Outputs_Internal!M$4, Outputs_Internal!$M$5),0)*$D28</f>
        <v>0</v>
      </c>
      <c r="N28" s="63">
        <f t="shared" si="0"/>
        <v>0</v>
      </c>
      <c r="P28" s="63">
        <f>$F28*Outputs_Internal!$D$64/12+N28</f>
        <v>4617</v>
      </c>
      <c r="Q28" s="63">
        <f>$F28*Outputs_Internal!K$64/12+N28*'MARA Prices'!$F$5</f>
        <v>2580.5285651408453</v>
      </c>
      <c r="R28" s="63">
        <f>$F28*Outputs_Internal!L$64/12+N28*'MARA Prices'!$F$6</f>
        <v>2005.003125</v>
      </c>
      <c r="S28" s="63">
        <f>N28*'MARA Prices'!$F$4</f>
        <v>0</v>
      </c>
      <c r="T28" s="63">
        <f>$F28*Outputs_Internal!M$64/12</f>
        <v>0</v>
      </c>
      <c r="U28" s="63">
        <f>$F28*Outputs_Internal!N$64/12</f>
        <v>31.468309859154928</v>
      </c>
      <c r="W28" s="63">
        <f t="shared" si="2"/>
        <v>0</v>
      </c>
      <c r="X28" s="63">
        <f t="shared" si="3"/>
        <v>0</v>
      </c>
      <c r="Y28" s="63">
        <f t="shared" si="4"/>
        <v>0</v>
      </c>
      <c r="Z28" s="63">
        <f t="shared" si="5"/>
        <v>0</v>
      </c>
      <c r="AA28" s="63">
        <f t="shared" si="6"/>
        <v>0</v>
      </c>
      <c r="AD28" s="63">
        <f>'MARA Prices'!H$21*$G28</f>
        <v>0</v>
      </c>
      <c r="AE28" s="63">
        <f>'MARA Prices'!I$21*$G28</f>
        <v>0</v>
      </c>
      <c r="AF28" s="63">
        <f>'MARA Prices'!J$21*$G28</f>
        <v>0</v>
      </c>
      <c r="AG28" s="63">
        <f>'MARA Prices'!K$21*$G28</f>
        <v>0</v>
      </c>
      <c r="AH28" s="63">
        <f>'MARA Prices'!L$21*$G28</f>
        <v>0</v>
      </c>
    </row>
    <row r="29" spans="2:34" x14ac:dyDescent="0.25">
      <c r="B29" s="60">
        <f t="shared" si="1"/>
        <v>43709</v>
      </c>
      <c r="D29" s="64">
        <f>D28*IF(AND(MONTH(B29)=1,YEAR(B29)&gt;=YEAR(Prices!$L$15)),1+Prices!$L$14,1)</f>
        <v>1.0125</v>
      </c>
      <c r="E29" s="64">
        <f>IF(B29=Inputs!$C$1,D29,E28)</f>
        <v>1.0125</v>
      </c>
      <c r="F29" s="64">
        <f>IF(AND(B29&gt;=Inputs!$C$1,B29&lt;EDATE(Inputs!$C$1,Inputs!$C$2)),E29,0)</f>
        <v>1.0125</v>
      </c>
      <c r="G29" s="64">
        <f>IF(AND(B29&gt;=Inputs!$C$1,B29&lt;EDATE(Inputs!$C$1,Inputs!$C$2)),(1+'MARA Prices'!$F$1)^IFERROR(DATEDIF('MARA Prices'!$F$2,B29,"Y")+1, 0),0)</f>
        <v>1</v>
      </c>
      <c r="I29" s="63">
        <f>IF($B29=Inputs!$C$1,SUM(Outputs_Internal!$D$4, Outputs_Internal!$D$5),0)*$D29</f>
        <v>0</v>
      </c>
      <c r="J29" s="63">
        <f>IF($B29=Inputs!$C$1,SUM(Outputs_Internal!K$4, Outputs_Internal!K$5),0)*$D29</f>
        <v>0</v>
      </c>
      <c r="K29" s="63">
        <f>IF($B29=Inputs!$C$1,SUM(Outputs_Internal!L$4, Outputs_Internal!L$5),0)*$D29</f>
        <v>0</v>
      </c>
      <c r="L29" s="63">
        <f>IF($B29=Inputs!$C$1,SUM(Outputs_Internal!M$4, Outputs_Internal!$M$5),0)*$D29</f>
        <v>0</v>
      </c>
      <c r="N29" s="63">
        <f t="shared" si="0"/>
        <v>0</v>
      </c>
      <c r="P29" s="63">
        <f>$F29*Outputs_Internal!$D$64/12+N29</f>
        <v>4617</v>
      </c>
      <c r="Q29" s="63">
        <f>$F29*Outputs_Internal!K$64/12+N29*'MARA Prices'!$F$5</f>
        <v>2580.5285651408453</v>
      </c>
      <c r="R29" s="63">
        <f>$F29*Outputs_Internal!L$64/12+N29*'MARA Prices'!$F$6</f>
        <v>2005.003125</v>
      </c>
      <c r="S29" s="63">
        <f>N29*'MARA Prices'!$F$4</f>
        <v>0</v>
      </c>
      <c r="T29" s="63">
        <f>$F29*Outputs_Internal!M$64/12</f>
        <v>0</v>
      </c>
      <c r="U29" s="63">
        <f>$F29*Outputs_Internal!N$64/12</f>
        <v>31.468309859154928</v>
      </c>
      <c r="W29" s="63">
        <f t="shared" si="2"/>
        <v>18913.5</v>
      </c>
      <c r="X29" s="63">
        <f t="shared" si="3"/>
        <v>10272.835695422535</v>
      </c>
      <c r="Y29" s="63">
        <f t="shared" si="4"/>
        <v>8546.2593749999996</v>
      </c>
      <c r="Z29" s="63">
        <f t="shared" si="5"/>
        <v>0</v>
      </c>
      <c r="AA29" s="63">
        <f t="shared" si="6"/>
        <v>94.404929577464785</v>
      </c>
      <c r="AD29" s="63">
        <f>'MARA Prices'!H$21*$G29</f>
        <v>0</v>
      </c>
      <c r="AE29" s="63">
        <f>'MARA Prices'!I$21*$G29</f>
        <v>0</v>
      </c>
      <c r="AF29" s="63">
        <f>'MARA Prices'!J$21*$G29</f>
        <v>0</v>
      </c>
      <c r="AG29" s="63">
        <f>'MARA Prices'!K$21*$G29</f>
        <v>0</v>
      </c>
      <c r="AH29" s="63">
        <f>'MARA Prices'!L$21*$G29</f>
        <v>0</v>
      </c>
    </row>
    <row r="30" spans="2:34" x14ac:dyDescent="0.25">
      <c r="B30" s="60">
        <f t="shared" si="1"/>
        <v>43739</v>
      </c>
      <c r="D30" s="64">
        <f>D29*IF(AND(MONTH(B30)=1,YEAR(B30)&gt;=YEAR(Prices!$L$15)),1+Prices!$L$14,1)</f>
        <v>1.0125</v>
      </c>
      <c r="E30" s="64">
        <f>IF(B30=Inputs!$C$1,D30,E29)</f>
        <v>1.0125</v>
      </c>
      <c r="F30" s="64">
        <f>IF(AND(B30&gt;=Inputs!$C$1,B30&lt;EDATE(Inputs!$C$1,Inputs!$C$2)),E30,0)</f>
        <v>1.0125</v>
      </c>
      <c r="G30" s="64">
        <f>IF(AND(B30&gt;=Inputs!$C$1,B30&lt;EDATE(Inputs!$C$1,Inputs!$C$2)),(1+'MARA Prices'!$F$1)^IFERROR(DATEDIF('MARA Prices'!$F$2,B30,"Y")+1, 0),0)</f>
        <v>1</v>
      </c>
      <c r="I30" s="63">
        <f>IF($B30=Inputs!$C$1,SUM(Outputs_Internal!$D$4, Outputs_Internal!$D$5),0)*$D30</f>
        <v>0</v>
      </c>
      <c r="J30" s="63">
        <f>IF($B30=Inputs!$C$1,SUM(Outputs_Internal!K$4, Outputs_Internal!K$5),0)*$D30</f>
        <v>0</v>
      </c>
      <c r="K30" s="63">
        <f>IF($B30=Inputs!$C$1,SUM(Outputs_Internal!L$4, Outputs_Internal!L$5),0)*$D30</f>
        <v>0</v>
      </c>
      <c r="L30" s="63">
        <f>IF($B30=Inputs!$C$1,SUM(Outputs_Internal!M$4, Outputs_Internal!$M$5),0)*$D30</f>
        <v>0</v>
      </c>
      <c r="N30" s="63">
        <f t="shared" si="0"/>
        <v>0</v>
      </c>
      <c r="P30" s="63">
        <f>$F30*Outputs_Internal!$D$64/12+N30</f>
        <v>4617</v>
      </c>
      <c r="Q30" s="63">
        <f>$F30*Outputs_Internal!K$64/12+N30*'MARA Prices'!$F$5</f>
        <v>2580.5285651408453</v>
      </c>
      <c r="R30" s="63">
        <f>$F30*Outputs_Internal!L$64/12+N30*'MARA Prices'!$F$6</f>
        <v>2005.003125</v>
      </c>
      <c r="S30" s="63">
        <f>N30*'MARA Prices'!$F$4</f>
        <v>0</v>
      </c>
      <c r="T30" s="63">
        <f>$F30*Outputs_Internal!M$64/12</f>
        <v>0</v>
      </c>
      <c r="U30" s="63">
        <f>$F30*Outputs_Internal!N$64/12</f>
        <v>31.468309859154928</v>
      </c>
      <c r="W30" s="63">
        <f t="shared" si="2"/>
        <v>0</v>
      </c>
      <c r="X30" s="63">
        <f t="shared" si="3"/>
        <v>0</v>
      </c>
      <c r="Y30" s="63">
        <f t="shared" si="4"/>
        <v>0</v>
      </c>
      <c r="Z30" s="63">
        <f t="shared" si="5"/>
        <v>0</v>
      </c>
      <c r="AA30" s="63">
        <f t="shared" si="6"/>
        <v>0</v>
      </c>
      <c r="AD30" s="63">
        <f>'MARA Prices'!H$21*$G30</f>
        <v>0</v>
      </c>
      <c r="AE30" s="63">
        <f>'MARA Prices'!I$21*$G30</f>
        <v>0</v>
      </c>
      <c r="AF30" s="63">
        <f>'MARA Prices'!J$21*$G30</f>
        <v>0</v>
      </c>
      <c r="AG30" s="63">
        <f>'MARA Prices'!K$21*$G30</f>
        <v>0</v>
      </c>
      <c r="AH30" s="63">
        <f>'MARA Prices'!L$21*$G30</f>
        <v>0</v>
      </c>
    </row>
    <row r="31" spans="2:34" x14ac:dyDescent="0.25">
      <c r="B31" s="60">
        <f t="shared" si="1"/>
        <v>43770</v>
      </c>
      <c r="D31" s="64">
        <f>D30*IF(AND(MONTH(B31)=1,YEAR(B31)&gt;=YEAR(Prices!$L$15)),1+Prices!$L$14,1)</f>
        <v>1.0125</v>
      </c>
      <c r="E31" s="64">
        <f>IF(B31=Inputs!$C$1,D31,E30)</f>
        <v>1.0125</v>
      </c>
      <c r="F31" s="64">
        <f>IF(AND(B31&gt;=Inputs!$C$1,B31&lt;EDATE(Inputs!$C$1,Inputs!$C$2)),E31,0)</f>
        <v>1.0125</v>
      </c>
      <c r="G31" s="64">
        <f>IF(AND(B31&gt;=Inputs!$C$1,B31&lt;EDATE(Inputs!$C$1,Inputs!$C$2)),(1+'MARA Prices'!$F$1)^IFERROR(DATEDIF('MARA Prices'!$F$2,B31,"Y")+1, 0),0)</f>
        <v>1</v>
      </c>
      <c r="I31" s="63">
        <f>IF($B31=Inputs!$C$1,SUM(Outputs_Internal!$D$4, Outputs_Internal!$D$5),0)*$D31</f>
        <v>0</v>
      </c>
      <c r="J31" s="63">
        <f>IF($B31=Inputs!$C$1,SUM(Outputs_Internal!K$4, Outputs_Internal!K$5),0)*$D31</f>
        <v>0</v>
      </c>
      <c r="K31" s="63">
        <f>IF($B31=Inputs!$C$1,SUM(Outputs_Internal!L$4, Outputs_Internal!L$5),0)*$D31</f>
        <v>0</v>
      </c>
      <c r="L31" s="63">
        <f>IF($B31=Inputs!$C$1,SUM(Outputs_Internal!M$4, Outputs_Internal!$M$5),0)*$D31</f>
        <v>0</v>
      </c>
      <c r="N31" s="63">
        <f t="shared" si="0"/>
        <v>0</v>
      </c>
      <c r="P31" s="63">
        <f>$F31*Outputs_Internal!$D$64/12+N31</f>
        <v>4617</v>
      </c>
      <c r="Q31" s="63">
        <f>$F31*Outputs_Internal!K$64/12+N31*'MARA Prices'!$F$5</f>
        <v>2580.5285651408453</v>
      </c>
      <c r="R31" s="63">
        <f>$F31*Outputs_Internal!L$64/12+N31*'MARA Prices'!$F$6</f>
        <v>2005.003125</v>
      </c>
      <c r="S31" s="63">
        <f>N31*'MARA Prices'!$F$4</f>
        <v>0</v>
      </c>
      <c r="T31" s="63">
        <f>$F31*Outputs_Internal!M$64/12</f>
        <v>0</v>
      </c>
      <c r="U31" s="63">
        <f>$F31*Outputs_Internal!N$64/12</f>
        <v>31.468309859154928</v>
      </c>
      <c r="W31" s="63">
        <f t="shared" si="2"/>
        <v>0</v>
      </c>
      <c r="X31" s="63">
        <f t="shared" si="3"/>
        <v>0</v>
      </c>
      <c r="Y31" s="63">
        <f t="shared" si="4"/>
        <v>0</v>
      </c>
      <c r="Z31" s="63">
        <f t="shared" si="5"/>
        <v>0</v>
      </c>
      <c r="AA31" s="63">
        <f t="shared" si="6"/>
        <v>0</v>
      </c>
      <c r="AD31" s="63">
        <f>'MARA Prices'!H$21*$G31</f>
        <v>0</v>
      </c>
      <c r="AE31" s="63">
        <f>'MARA Prices'!I$21*$G31</f>
        <v>0</v>
      </c>
      <c r="AF31" s="63">
        <f>'MARA Prices'!J$21*$G31</f>
        <v>0</v>
      </c>
      <c r="AG31" s="63">
        <f>'MARA Prices'!K$21*$G31</f>
        <v>0</v>
      </c>
      <c r="AH31" s="63">
        <f>'MARA Prices'!L$21*$G31</f>
        <v>0</v>
      </c>
    </row>
    <row r="32" spans="2:34" x14ac:dyDescent="0.25">
      <c r="B32" s="60">
        <f t="shared" si="1"/>
        <v>43800</v>
      </c>
      <c r="D32" s="64">
        <f>D31*IF(AND(MONTH(B32)=1,YEAR(B32)&gt;=YEAR(Prices!$L$15)),1+Prices!$L$14,1)</f>
        <v>1.0125</v>
      </c>
      <c r="E32" s="64">
        <f>IF(B32=Inputs!$C$1,D32,E31)</f>
        <v>1.0125</v>
      </c>
      <c r="F32" s="64">
        <f>IF(AND(B32&gt;=Inputs!$C$1,B32&lt;EDATE(Inputs!$C$1,Inputs!$C$2)),E32,0)</f>
        <v>1.0125</v>
      </c>
      <c r="G32" s="64">
        <f>IF(AND(B32&gt;=Inputs!$C$1,B32&lt;EDATE(Inputs!$C$1,Inputs!$C$2)),(1+'MARA Prices'!$F$1)^IFERROR(DATEDIF('MARA Prices'!$F$2,B32,"Y")+1, 0),0)</f>
        <v>1</v>
      </c>
      <c r="I32" s="63">
        <f>IF($B32=Inputs!$C$1,SUM(Outputs_Internal!$D$4, Outputs_Internal!$D$5),0)*$D32</f>
        <v>0</v>
      </c>
      <c r="J32" s="63">
        <f>IF($B32=Inputs!$C$1,SUM(Outputs_Internal!K$4, Outputs_Internal!K$5),0)*$D32</f>
        <v>0</v>
      </c>
      <c r="K32" s="63">
        <f>IF($B32=Inputs!$C$1,SUM(Outputs_Internal!L$4, Outputs_Internal!L$5),0)*$D32</f>
        <v>0</v>
      </c>
      <c r="L32" s="63">
        <f>IF($B32=Inputs!$C$1,SUM(Outputs_Internal!M$4, Outputs_Internal!$M$5),0)*$D32</f>
        <v>0</v>
      </c>
      <c r="N32" s="63">
        <f t="shared" si="0"/>
        <v>0</v>
      </c>
      <c r="P32" s="63">
        <f>$F32*Outputs_Internal!$D$64/12+N32</f>
        <v>4617</v>
      </c>
      <c r="Q32" s="63">
        <f>$F32*Outputs_Internal!K$64/12+N32*'MARA Prices'!$F$5</f>
        <v>2580.5285651408453</v>
      </c>
      <c r="R32" s="63">
        <f>$F32*Outputs_Internal!L$64/12+N32*'MARA Prices'!$F$6</f>
        <v>2005.003125</v>
      </c>
      <c r="S32" s="63">
        <f>N32*'MARA Prices'!$F$4</f>
        <v>0</v>
      </c>
      <c r="T32" s="63">
        <f>$F32*Outputs_Internal!M$64/12</f>
        <v>0</v>
      </c>
      <c r="U32" s="63">
        <f>$F32*Outputs_Internal!N$64/12</f>
        <v>31.468309859154928</v>
      </c>
      <c r="W32" s="63">
        <f t="shared" si="2"/>
        <v>13851</v>
      </c>
      <c r="X32" s="63">
        <f t="shared" si="3"/>
        <v>7741.5856954225364</v>
      </c>
      <c r="Y32" s="63">
        <f t="shared" si="4"/>
        <v>6015.0093749999996</v>
      </c>
      <c r="Z32" s="63">
        <f t="shared" si="5"/>
        <v>0</v>
      </c>
      <c r="AA32" s="63">
        <f t="shared" si="6"/>
        <v>94.404929577464785</v>
      </c>
      <c r="AD32" s="63">
        <f>'MARA Prices'!H$21*$G32</f>
        <v>0</v>
      </c>
      <c r="AE32" s="63">
        <f>'MARA Prices'!I$21*$G32</f>
        <v>0</v>
      </c>
      <c r="AF32" s="63">
        <f>'MARA Prices'!J$21*$G32</f>
        <v>0</v>
      </c>
      <c r="AG32" s="63">
        <f>'MARA Prices'!K$21*$G32</f>
        <v>0</v>
      </c>
      <c r="AH32" s="63">
        <f>'MARA Prices'!L$21*$G32</f>
        <v>0</v>
      </c>
    </row>
    <row r="33" spans="2:34" x14ac:dyDescent="0.25">
      <c r="B33" s="60">
        <f t="shared" si="1"/>
        <v>43831</v>
      </c>
      <c r="D33" s="64">
        <f>D32*IF(AND(MONTH(B33)=1,YEAR(B33)&gt;=YEAR(Prices!$L$15)),1+Prices!$L$14,1)</f>
        <v>1.02515625</v>
      </c>
      <c r="E33" s="64">
        <f>IF(B33=Inputs!$C$1,D33,E32)</f>
        <v>1.0125</v>
      </c>
      <c r="F33" s="64">
        <f>IF(AND(B33&gt;=Inputs!$C$1,B33&lt;EDATE(Inputs!$C$1,Inputs!$C$2)),E33,0)</f>
        <v>1.0125</v>
      </c>
      <c r="G33" s="64">
        <f>IF(AND(B33&gt;=Inputs!$C$1,B33&lt;EDATE(Inputs!$C$1,Inputs!$C$2)),(1+'MARA Prices'!$F$1)^IFERROR(DATEDIF('MARA Prices'!$F$2,B33,"Y")+1, 0),0)</f>
        <v>1.05</v>
      </c>
      <c r="I33" s="63">
        <f>IF($B33=Inputs!$C$1,SUM(Outputs_Internal!$D$4, Outputs_Internal!$D$5),0)*$D33</f>
        <v>0</v>
      </c>
      <c r="J33" s="63">
        <f>IF($B33=Inputs!$C$1,SUM(Outputs_Internal!K$4, Outputs_Internal!K$5),0)*$D33</f>
        <v>0</v>
      </c>
      <c r="K33" s="63">
        <f>IF($B33=Inputs!$C$1,SUM(Outputs_Internal!L$4, Outputs_Internal!L$5),0)*$D33</f>
        <v>0</v>
      </c>
      <c r="L33" s="63">
        <f>IF($B33=Inputs!$C$1,SUM(Outputs_Internal!M$4, Outputs_Internal!$M$5),0)*$D33</f>
        <v>0</v>
      </c>
      <c r="N33" s="63">
        <f t="shared" si="0"/>
        <v>0</v>
      </c>
      <c r="P33" s="63">
        <f>$F33*Outputs_Internal!$D$64/12+N33</f>
        <v>4617</v>
      </c>
      <c r="Q33" s="63">
        <f>$F33*Outputs_Internal!K$64/12+N33*'MARA Prices'!$F$5</f>
        <v>2580.5285651408453</v>
      </c>
      <c r="R33" s="63">
        <f>$F33*Outputs_Internal!L$64/12+N33*'MARA Prices'!$F$6</f>
        <v>2005.003125</v>
      </c>
      <c r="S33" s="63">
        <f>N33*'MARA Prices'!$F$4</f>
        <v>0</v>
      </c>
      <c r="T33" s="63">
        <f>$F33*Outputs_Internal!M$64/12</f>
        <v>0</v>
      </c>
      <c r="U33" s="63">
        <f>$F33*Outputs_Internal!N$64/12</f>
        <v>31.468309859154928</v>
      </c>
      <c r="W33" s="63">
        <f t="shared" si="2"/>
        <v>0</v>
      </c>
      <c r="X33" s="63">
        <f t="shared" si="3"/>
        <v>0</v>
      </c>
      <c r="Y33" s="63">
        <f t="shared" si="4"/>
        <v>0</v>
      </c>
      <c r="Z33" s="63">
        <f t="shared" si="5"/>
        <v>0</v>
      </c>
      <c r="AA33" s="63">
        <f t="shared" si="6"/>
        <v>0</v>
      </c>
      <c r="AD33" s="63">
        <f>'MARA Prices'!H$21*$G33</f>
        <v>0</v>
      </c>
      <c r="AE33" s="63">
        <f>'MARA Prices'!I$21*$G33</f>
        <v>0</v>
      </c>
      <c r="AF33" s="63">
        <f>'MARA Prices'!J$21*$G33</f>
        <v>0</v>
      </c>
      <c r="AG33" s="63">
        <f>'MARA Prices'!K$21*$G33</f>
        <v>0</v>
      </c>
      <c r="AH33" s="63">
        <f>'MARA Prices'!L$21*$G33</f>
        <v>0</v>
      </c>
    </row>
    <row r="34" spans="2:34" x14ac:dyDescent="0.25">
      <c r="B34" s="60">
        <f t="shared" si="1"/>
        <v>43862</v>
      </c>
      <c r="D34" s="64">
        <f>D33*IF(AND(MONTH(B34)=1,YEAR(B34)&gt;=YEAR(Prices!$L$15)),1+Prices!$L$14,1)</f>
        <v>1.02515625</v>
      </c>
      <c r="E34" s="64">
        <f>IF(B34=Inputs!$C$1,D34,E33)</f>
        <v>1.0125</v>
      </c>
      <c r="F34" s="64">
        <f>IF(AND(B34&gt;=Inputs!$C$1,B34&lt;EDATE(Inputs!$C$1,Inputs!$C$2)),E34,0)</f>
        <v>1.0125</v>
      </c>
      <c r="G34" s="64">
        <f>IF(AND(B34&gt;=Inputs!$C$1,B34&lt;EDATE(Inputs!$C$1,Inputs!$C$2)),(1+'MARA Prices'!$F$1)^IFERROR(DATEDIF('MARA Prices'!$F$2,B34,"Y")+1, 0),0)</f>
        <v>1.05</v>
      </c>
      <c r="I34" s="63">
        <f>IF($B34=Inputs!$C$1,SUM(Outputs_Internal!$D$4, Outputs_Internal!$D$5),0)*$D34</f>
        <v>0</v>
      </c>
      <c r="J34" s="63">
        <f>IF($B34=Inputs!$C$1,SUM(Outputs_Internal!K$4, Outputs_Internal!K$5),0)*$D34</f>
        <v>0</v>
      </c>
      <c r="K34" s="63">
        <f>IF($B34=Inputs!$C$1,SUM(Outputs_Internal!L$4, Outputs_Internal!L$5),0)*$D34</f>
        <v>0</v>
      </c>
      <c r="L34" s="63">
        <f>IF($B34=Inputs!$C$1,SUM(Outputs_Internal!M$4, Outputs_Internal!$M$5),0)*$D34</f>
        <v>0</v>
      </c>
      <c r="N34" s="63">
        <f t="shared" si="0"/>
        <v>0</v>
      </c>
      <c r="P34" s="63">
        <f>$F34*Outputs_Internal!$D$64/12+N34</f>
        <v>4617</v>
      </c>
      <c r="Q34" s="63">
        <f>$F34*Outputs_Internal!K$64/12+N34*'MARA Prices'!$F$5</f>
        <v>2580.5285651408453</v>
      </c>
      <c r="R34" s="63">
        <f>$F34*Outputs_Internal!L$64/12+N34*'MARA Prices'!$F$6</f>
        <v>2005.003125</v>
      </c>
      <c r="S34" s="63">
        <f>N34*'MARA Prices'!$F$4</f>
        <v>0</v>
      </c>
      <c r="T34" s="63">
        <f>$F34*Outputs_Internal!M$64/12</f>
        <v>0</v>
      </c>
      <c r="U34" s="63">
        <f>$F34*Outputs_Internal!N$64/12</f>
        <v>31.468309859154928</v>
      </c>
      <c r="W34" s="63">
        <f t="shared" si="2"/>
        <v>0</v>
      </c>
      <c r="X34" s="63">
        <f t="shared" si="3"/>
        <v>0</v>
      </c>
      <c r="Y34" s="63">
        <f t="shared" si="4"/>
        <v>0</v>
      </c>
      <c r="Z34" s="63">
        <f t="shared" si="5"/>
        <v>0</v>
      </c>
      <c r="AA34" s="63">
        <f t="shared" si="6"/>
        <v>0</v>
      </c>
      <c r="AD34" s="63">
        <f>'MARA Prices'!H$21*$G34</f>
        <v>0</v>
      </c>
      <c r="AE34" s="63">
        <f>'MARA Prices'!I$21*$G34</f>
        <v>0</v>
      </c>
      <c r="AF34" s="63">
        <f>'MARA Prices'!J$21*$G34</f>
        <v>0</v>
      </c>
      <c r="AG34" s="63">
        <f>'MARA Prices'!K$21*$G34</f>
        <v>0</v>
      </c>
      <c r="AH34" s="63">
        <f>'MARA Prices'!L$21*$G34</f>
        <v>0</v>
      </c>
    </row>
    <row r="35" spans="2:34" x14ac:dyDescent="0.25">
      <c r="B35" s="60">
        <f t="shared" si="1"/>
        <v>43891</v>
      </c>
      <c r="D35" s="64">
        <f>D34*IF(AND(MONTH(B35)=1,YEAR(B35)&gt;=YEAR(Prices!$L$15)),1+Prices!$L$14,1)</f>
        <v>1.02515625</v>
      </c>
      <c r="E35" s="64">
        <f>IF(B35=Inputs!$C$1,D35,E34)</f>
        <v>1.0125</v>
      </c>
      <c r="F35" s="64">
        <f>IF(AND(B35&gt;=Inputs!$C$1,B35&lt;EDATE(Inputs!$C$1,Inputs!$C$2)),E35,0)</f>
        <v>1.0125</v>
      </c>
      <c r="G35" s="64">
        <f>IF(AND(B35&gt;=Inputs!$C$1,B35&lt;EDATE(Inputs!$C$1,Inputs!$C$2)),(1+'MARA Prices'!$F$1)^IFERROR(DATEDIF('MARA Prices'!$F$2,B35,"Y")+1, 0),0)</f>
        <v>1.05</v>
      </c>
      <c r="I35" s="63">
        <f>IF($B35=Inputs!$C$1,SUM(Outputs_Internal!$D$4, Outputs_Internal!$D$5),0)*$D35</f>
        <v>0</v>
      </c>
      <c r="J35" s="63">
        <f>IF($B35=Inputs!$C$1,SUM(Outputs_Internal!K$4, Outputs_Internal!K$5),0)*$D35</f>
        <v>0</v>
      </c>
      <c r="K35" s="63">
        <f>IF($B35=Inputs!$C$1,SUM(Outputs_Internal!L$4, Outputs_Internal!L$5),0)*$D35</f>
        <v>0</v>
      </c>
      <c r="L35" s="63">
        <f>IF($B35=Inputs!$C$1,SUM(Outputs_Internal!M$4, Outputs_Internal!$M$5),0)*$D35</f>
        <v>0</v>
      </c>
      <c r="N35" s="63">
        <f t="shared" si="0"/>
        <v>0</v>
      </c>
      <c r="P35" s="63">
        <f>$F35*Outputs_Internal!$D$64/12+N35</f>
        <v>4617</v>
      </c>
      <c r="Q35" s="63">
        <f>$F35*Outputs_Internal!K$64/12+N35*'MARA Prices'!$F$5</f>
        <v>2580.5285651408453</v>
      </c>
      <c r="R35" s="63">
        <f>$F35*Outputs_Internal!L$64/12+N35*'MARA Prices'!$F$6</f>
        <v>2005.003125</v>
      </c>
      <c r="S35" s="63">
        <f>N35*'MARA Prices'!$F$4</f>
        <v>0</v>
      </c>
      <c r="T35" s="63">
        <f>$F35*Outputs_Internal!M$64/12</f>
        <v>0</v>
      </c>
      <c r="U35" s="63">
        <f>$F35*Outputs_Internal!N$64/12</f>
        <v>31.468309859154928</v>
      </c>
      <c r="W35" s="63">
        <f t="shared" si="2"/>
        <v>13851</v>
      </c>
      <c r="X35" s="63">
        <f t="shared" si="3"/>
        <v>7741.5856954225364</v>
      </c>
      <c r="Y35" s="63">
        <f t="shared" si="4"/>
        <v>6015.0093749999996</v>
      </c>
      <c r="Z35" s="63">
        <f t="shared" si="5"/>
        <v>0</v>
      </c>
      <c r="AA35" s="63">
        <f t="shared" si="6"/>
        <v>94.404929577464785</v>
      </c>
      <c r="AD35" s="63">
        <f>'MARA Prices'!H$21*$G35</f>
        <v>0</v>
      </c>
      <c r="AE35" s="63">
        <f>'MARA Prices'!I$21*$G35</f>
        <v>0</v>
      </c>
      <c r="AF35" s="63">
        <f>'MARA Prices'!J$21*$G35</f>
        <v>0</v>
      </c>
      <c r="AG35" s="63">
        <f>'MARA Prices'!K$21*$G35</f>
        <v>0</v>
      </c>
      <c r="AH35" s="63">
        <f>'MARA Prices'!L$21*$G35</f>
        <v>0</v>
      </c>
    </row>
    <row r="36" spans="2:34" x14ac:dyDescent="0.25">
      <c r="B36" s="60">
        <f t="shared" si="1"/>
        <v>43922</v>
      </c>
      <c r="D36" s="64">
        <f>D35*IF(AND(MONTH(B36)=1,YEAR(B36)&gt;=YEAR(Prices!$L$15)),1+Prices!$L$14,1)</f>
        <v>1.02515625</v>
      </c>
      <c r="E36" s="64">
        <f>IF(B36=Inputs!$C$1,D36,E35)</f>
        <v>1.0125</v>
      </c>
      <c r="F36" s="64">
        <f>IF(AND(B36&gt;=Inputs!$C$1,B36&lt;EDATE(Inputs!$C$1,Inputs!$C$2)),E36,0)</f>
        <v>1.0125</v>
      </c>
      <c r="G36" s="64">
        <f>IF(AND(B36&gt;=Inputs!$C$1,B36&lt;EDATE(Inputs!$C$1,Inputs!$C$2)),(1+'MARA Prices'!$F$1)^IFERROR(DATEDIF('MARA Prices'!$F$2,B36,"Y")+1, 0),0)</f>
        <v>1.05</v>
      </c>
      <c r="I36" s="63">
        <f>IF($B36=Inputs!$C$1,SUM(Outputs_Internal!$D$4, Outputs_Internal!$D$5),0)*$D36</f>
        <v>0</v>
      </c>
      <c r="J36" s="63">
        <f>IF($B36=Inputs!$C$1,SUM(Outputs_Internal!K$4, Outputs_Internal!K$5),0)*$D36</f>
        <v>0</v>
      </c>
      <c r="K36" s="63">
        <f>IF($B36=Inputs!$C$1,SUM(Outputs_Internal!L$4, Outputs_Internal!L$5),0)*$D36</f>
        <v>0</v>
      </c>
      <c r="L36" s="63">
        <f>IF($B36=Inputs!$C$1,SUM(Outputs_Internal!M$4, Outputs_Internal!$M$5),0)*$D36</f>
        <v>0</v>
      </c>
      <c r="N36" s="63">
        <f t="shared" si="0"/>
        <v>0</v>
      </c>
      <c r="P36" s="63">
        <f>$F36*Outputs_Internal!$D$64/12+N36</f>
        <v>4617</v>
      </c>
      <c r="Q36" s="63">
        <f>$F36*Outputs_Internal!K$64/12+N36*'MARA Prices'!$F$5</f>
        <v>2580.5285651408453</v>
      </c>
      <c r="R36" s="63">
        <f>$F36*Outputs_Internal!L$64/12+N36*'MARA Prices'!$F$6</f>
        <v>2005.003125</v>
      </c>
      <c r="S36" s="63">
        <f>N36*'MARA Prices'!$F$4</f>
        <v>0</v>
      </c>
      <c r="T36" s="63">
        <f>$F36*Outputs_Internal!M$64/12</f>
        <v>0</v>
      </c>
      <c r="U36" s="63">
        <f>$F36*Outputs_Internal!N$64/12</f>
        <v>31.468309859154928</v>
      </c>
      <c r="W36" s="63">
        <f t="shared" si="2"/>
        <v>0</v>
      </c>
      <c r="X36" s="63">
        <f t="shared" si="3"/>
        <v>0</v>
      </c>
      <c r="Y36" s="63">
        <f t="shared" si="4"/>
        <v>0</v>
      </c>
      <c r="Z36" s="63">
        <f t="shared" si="5"/>
        <v>0</v>
      </c>
      <c r="AA36" s="63">
        <f t="shared" si="6"/>
        <v>0</v>
      </c>
      <c r="AD36" s="63">
        <f>'MARA Prices'!H$21*$G36</f>
        <v>0</v>
      </c>
      <c r="AE36" s="63">
        <f>'MARA Prices'!I$21*$G36</f>
        <v>0</v>
      </c>
      <c r="AF36" s="63">
        <f>'MARA Prices'!J$21*$G36</f>
        <v>0</v>
      </c>
      <c r="AG36" s="63">
        <f>'MARA Prices'!K$21*$G36</f>
        <v>0</v>
      </c>
      <c r="AH36" s="63">
        <f>'MARA Prices'!L$21*$G36</f>
        <v>0</v>
      </c>
    </row>
    <row r="37" spans="2:34" x14ac:dyDescent="0.25">
      <c r="B37" s="60">
        <f t="shared" si="1"/>
        <v>43952</v>
      </c>
      <c r="D37" s="64">
        <f>D36*IF(AND(MONTH(B37)=1,YEAR(B37)&gt;=YEAR(Prices!$L$15)),1+Prices!$L$14,1)</f>
        <v>1.02515625</v>
      </c>
      <c r="E37" s="64">
        <f>IF(B37=Inputs!$C$1,D37,E36)</f>
        <v>1.0125</v>
      </c>
      <c r="F37" s="64">
        <f>IF(AND(B37&gt;=Inputs!$C$1,B37&lt;EDATE(Inputs!$C$1,Inputs!$C$2)),E37,0)</f>
        <v>1.0125</v>
      </c>
      <c r="G37" s="64">
        <f>IF(AND(B37&gt;=Inputs!$C$1,B37&lt;EDATE(Inputs!$C$1,Inputs!$C$2)),(1+'MARA Prices'!$F$1)^IFERROR(DATEDIF('MARA Prices'!$F$2,B37,"Y")+1, 0),0)</f>
        <v>1.05</v>
      </c>
      <c r="I37" s="63">
        <f>IF($B37=Inputs!$C$1,SUM(Outputs_Internal!$D$4, Outputs_Internal!$D$5),0)*$D37</f>
        <v>0</v>
      </c>
      <c r="J37" s="63">
        <f>IF($B37=Inputs!$C$1,SUM(Outputs_Internal!K$4, Outputs_Internal!K$5),0)*$D37</f>
        <v>0</v>
      </c>
      <c r="K37" s="63">
        <f>IF($B37=Inputs!$C$1,SUM(Outputs_Internal!L$4, Outputs_Internal!L$5),0)*$D37</f>
        <v>0</v>
      </c>
      <c r="L37" s="63">
        <f>IF($B37=Inputs!$C$1,SUM(Outputs_Internal!M$4, Outputs_Internal!$M$5),0)*$D37</f>
        <v>0</v>
      </c>
      <c r="N37" s="63">
        <f t="shared" si="0"/>
        <v>0</v>
      </c>
      <c r="P37" s="63">
        <f>$F37*Outputs_Internal!$D$64/12+N37</f>
        <v>4617</v>
      </c>
      <c r="Q37" s="63">
        <f>$F37*Outputs_Internal!K$64/12+N37*'MARA Prices'!$F$5</f>
        <v>2580.5285651408453</v>
      </c>
      <c r="R37" s="63">
        <f>$F37*Outputs_Internal!L$64/12+N37*'MARA Prices'!$F$6</f>
        <v>2005.003125</v>
      </c>
      <c r="S37" s="63">
        <f>N37*'MARA Prices'!$F$4</f>
        <v>0</v>
      </c>
      <c r="T37" s="63">
        <f>$F37*Outputs_Internal!M$64/12</f>
        <v>0</v>
      </c>
      <c r="U37" s="63">
        <f>$F37*Outputs_Internal!N$64/12</f>
        <v>31.468309859154928</v>
      </c>
      <c r="W37" s="63">
        <f t="shared" ref="W37:W68" si="7">IF(MOD(MONTH($B37),3)=0,SUM(I35:I37,P35:P37),0)</f>
        <v>0</v>
      </c>
      <c r="X37" s="63">
        <f t="shared" ref="X37:X68" si="8">IF(MOD(MONTH($B37),3)=0,SUM(J35:J37,Q35:Q37),0)</f>
        <v>0</v>
      </c>
      <c r="Y37" s="63">
        <f t="shared" ref="Y37:Y68" si="9">IF(MOD(MONTH($B37),3)=0,SUM(K35:K37,R35:R37),0)</f>
        <v>0</v>
      </c>
      <c r="Z37" s="63">
        <f t="shared" ref="Z37:Z68" si="10">IF(MOD(MONTH($B37),3)=0,SUM(L35:L37,T35:T37),0)</f>
        <v>0</v>
      </c>
      <c r="AA37" s="63">
        <f t="shared" ref="AA37:AA68" si="11">IF(MOD(MONTH($B37),3)=0,SUM(U35:U37,S35:S37),0)</f>
        <v>0</v>
      </c>
      <c r="AD37" s="63">
        <f>'MARA Prices'!H$21*$G37</f>
        <v>0</v>
      </c>
      <c r="AE37" s="63">
        <f>'MARA Prices'!I$21*$G37</f>
        <v>0</v>
      </c>
      <c r="AF37" s="63">
        <f>'MARA Prices'!J$21*$G37</f>
        <v>0</v>
      </c>
      <c r="AG37" s="63">
        <f>'MARA Prices'!K$21*$G37</f>
        <v>0</v>
      </c>
      <c r="AH37" s="63">
        <f>'MARA Prices'!L$21*$G37</f>
        <v>0</v>
      </c>
    </row>
    <row r="38" spans="2:34" x14ac:dyDescent="0.25">
      <c r="B38" s="60">
        <f t="shared" si="1"/>
        <v>43983</v>
      </c>
      <c r="D38" s="64">
        <f>D37*IF(AND(MONTH(B38)=1,YEAR(B38)&gt;=YEAR(Prices!$L$15)),1+Prices!$L$14,1)</f>
        <v>1.02515625</v>
      </c>
      <c r="E38" s="64">
        <f>IF(B38=Inputs!$C$1,D38,E37)</f>
        <v>1.0125</v>
      </c>
      <c r="F38" s="64">
        <f>IF(AND(B38&gt;=Inputs!$C$1,B38&lt;EDATE(Inputs!$C$1,Inputs!$C$2)),E38,0)</f>
        <v>1.0125</v>
      </c>
      <c r="G38" s="64">
        <f>IF(AND(B38&gt;=Inputs!$C$1,B38&lt;EDATE(Inputs!$C$1,Inputs!$C$2)),(1+'MARA Prices'!$F$1)^IFERROR(DATEDIF('MARA Prices'!$F$2,B38,"Y")+1, 0),0)</f>
        <v>1.05</v>
      </c>
      <c r="I38" s="63">
        <f>IF($B38=Inputs!$C$1,SUM(Outputs_Internal!$D$4, Outputs_Internal!$D$5),0)*$D38</f>
        <v>0</v>
      </c>
      <c r="J38" s="63">
        <f>IF($B38=Inputs!$C$1,SUM(Outputs_Internal!K$4, Outputs_Internal!K$5),0)*$D38</f>
        <v>0</v>
      </c>
      <c r="K38" s="63">
        <f>IF($B38=Inputs!$C$1,SUM(Outputs_Internal!L$4, Outputs_Internal!L$5),0)*$D38</f>
        <v>0</v>
      </c>
      <c r="L38" s="63">
        <f>IF($B38=Inputs!$C$1,SUM(Outputs_Internal!M$4, Outputs_Internal!$M$5),0)*$D38</f>
        <v>0</v>
      </c>
      <c r="N38" s="63">
        <f t="shared" si="0"/>
        <v>0</v>
      </c>
      <c r="P38" s="63">
        <f>$F38*Outputs_Internal!$D$64/12+N38</f>
        <v>4617</v>
      </c>
      <c r="Q38" s="63">
        <f>$F38*Outputs_Internal!K$64/12+N38*'MARA Prices'!$F$5</f>
        <v>2580.5285651408453</v>
      </c>
      <c r="R38" s="63">
        <f>$F38*Outputs_Internal!L$64/12+N38*'MARA Prices'!$F$6</f>
        <v>2005.003125</v>
      </c>
      <c r="S38" s="63">
        <f>N38*'MARA Prices'!$F$4</f>
        <v>0</v>
      </c>
      <c r="T38" s="63">
        <f>$F38*Outputs_Internal!M$64/12</f>
        <v>0</v>
      </c>
      <c r="U38" s="63">
        <f>$F38*Outputs_Internal!N$64/12</f>
        <v>31.468309859154928</v>
      </c>
      <c r="W38" s="63">
        <f t="shared" si="7"/>
        <v>13851</v>
      </c>
      <c r="X38" s="63">
        <f t="shared" si="8"/>
        <v>7741.5856954225364</v>
      </c>
      <c r="Y38" s="63">
        <f t="shared" si="9"/>
        <v>6015.0093749999996</v>
      </c>
      <c r="Z38" s="63">
        <f t="shared" si="10"/>
        <v>0</v>
      </c>
      <c r="AA38" s="63">
        <f t="shared" si="11"/>
        <v>94.404929577464785</v>
      </c>
      <c r="AD38" s="63">
        <f>'MARA Prices'!H$21*$G38</f>
        <v>0</v>
      </c>
      <c r="AE38" s="63">
        <f>'MARA Prices'!I$21*$G38</f>
        <v>0</v>
      </c>
      <c r="AF38" s="63">
        <f>'MARA Prices'!J$21*$G38</f>
        <v>0</v>
      </c>
      <c r="AG38" s="63">
        <f>'MARA Prices'!K$21*$G38</f>
        <v>0</v>
      </c>
      <c r="AH38" s="63">
        <f>'MARA Prices'!L$21*$G38</f>
        <v>0</v>
      </c>
    </row>
    <row r="39" spans="2:34" x14ac:dyDescent="0.25">
      <c r="B39" s="60">
        <f t="shared" si="1"/>
        <v>44013</v>
      </c>
      <c r="D39" s="64">
        <f>D38*IF(AND(MONTH(B39)=1,YEAR(B39)&gt;=YEAR(Prices!$L$15)),1+Prices!$L$14,1)</f>
        <v>1.02515625</v>
      </c>
      <c r="E39" s="64">
        <f>IF(B39=Inputs!$C$1,D39,E38)</f>
        <v>1.0125</v>
      </c>
      <c r="F39" s="64">
        <f>IF(AND(B39&gt;=Inputs!$C$1,B39&lt;EDATE(Inputs!$C$1,Inputs!$C$2)),E39,0)</f>
        <v>1.0125</v>
      </c>
      <c r="G39" s="64">
        <f>IF(AND(B39&gt;=Inputs!$C$1,B39&lt;EDATE(Inputs!$C$1,Inputs!$C$2)),(1+'MARA Prices'!$F$1)^IFERROR(DATEDIF('MARA Prices'!$F$2,B39,"Y")+1, 0),0)</f>
        <v>1.05</v>
      </c>
      <c r="I39" s="63">
        <f>IF($B39=Inputs!$C$1,SUM(Outputs_Internal!$D$4, Outputs_Internal!$D$5),0)*$D39</f>
        <v>0</v>
      </c>
      <c r="J39" s="63">
        <f>IF($B39=Inputs!$C$1,SUM(Outputs_Internal!K$4, Outputs_Internal!K$5),0)*$D39</f>
        <v>0</v>
      </c>
      <c r="K39" s="63">
        <f>IF($B39=Inputs!$C$1,SUM(Outputs_Internal!L$4, Outputs_Internal!L$5),0)*$D39</f>
        <v>0</v>
      </c>
      <c r="L39" s="63">
        <f>IF($B39=Inputs!$C$1,SUM(Outputs_Internal!M$4, Outputs_Internal!$M$5),0)*$D39</f>
        <v>0</v>
      </c>
      <c r="N39" s="63">
        <f t="shared" si="0"/>
        <v>0</v>
      </c>
      <c r="P39" s="63">
        <f>$F39*Outputs_Internal!$D$64/12+N39</f>
        <v>4617</v>
      </c>
      <c r="Q39" s="63">
        <f>$F39*Outputs_Internal!K$64/12+N39*'MARA Prices'!$F$5</f>
        <v>2580.5285651408453</v>
      </c>
      <c r="R39" s="63">
        <f>$F39*Outputs_Internal!L$64/12+N39*'MARA Prices'!$F$6</f>
        <v>2005.003125</v>
      </c>
      <c r="S39" s="63">
        <f>N39*'MARA Prices'!$F$4</f>
        <v>0</v>
      </c>
      <c r="T39" s="63">
        <f>$F39*Outputs_Internal!M$64/12</f>
        <v>0</v>
      </c>
      <c r="U39" s="63">
        <f>$F39*Outputs_Internal!N$64/12</f>
        <v>31.468309859154928</v>
      </c>
      <c r="W39" s="63">
        <f t="shared" si="7"/>
        <v>0</v>
      </c>
      <c r="X39" s="63">
        <f t="shared" si="8"/>
        <v>0</v>
      </c>
      <c r="Y39" s="63">
        <f t="shared" si="9"/>
        <v>0</v>
      </c>
      <c r="Z39" s="63">
        <f t="shared" si="10"/>
        <v>0</v>
      </c>
      <c r="AA39" s="63">
        <f t="shared" si="11"/>
        <v>0</v>
      </c>
      <c r="AD39" s="63">
        <f>'MARA Prices'!H$21*$G39</f>
        <v>0</v>
      </c>
      <c r="AE39" s="63">
        <f>'MARA Prices'!I$21*$G39</f>
        <v>0</v>
      </c>
      <c r="AF39" s="63">
        <f>'MARA Prices'!J$21*$G39</f>
        <v>0</v>
      </c>
      <c r="AG39" s="63">
        <f>'MARA Prices'!K$21*$G39</f>
        <v>0</v>
      </c>
      <c r="AH39" s="63">
        <f>'MARA Prices'!L$21*$G39</f>
        <v>0</v>
      </c>
    </row>
    <row r="40" spans="2:34" x14ac:dyDescent="0.25">
      <c r="B40" s="60">
        <f t="shared" si="1"/>
        <v>44044</v>
      </c>
      <c r="D40" s="64">
        <f>D39*IF(AND(MONTH(B40)=1,YEAR(B40)&gt;=YEAR(Prices!$L$15)),1+Prices!$L$14,1)</f>
        <v>1.02515625</v>
      </c>
      <c r="E40" s="64">
        <f>IF(B40=Inputs!$C$1,D40,E39)</f>
        <v>1.0125</v>
      </c>
      <c r="F40" s="64">
        <f>IF(AND(B40&gt;=Inputs!$C$1,B40&lt;EDATE(Inputs!$C$1,Inputs!$C$2)),E40,0)</f>
        <v>1.0125</v>
      </c>
      <c r="G40" s="64">
        <f>IF(AND(B40&gt;=Inputs!$C$1,B40&lt;EDATE(Inputs!$C$1,Inputs!$C$2)),(1+'MARA Prices'!$F$1)^IFERROR(DATEDIF('MARA Prices'!$F$2,B40,"Y")+1, 0),0)</f>
        <v>1.05</v>
      </c>
      <c r="I40" s="63">
        <f>IF($B40=Inputs!$C$1,SUM(Outputs_Internal!$D$4, Outputs_Internal!$D$5),0)*$D40</f>
        <v>0</v>
      </c>
      <c r="J40" s="63">
        <f>IF($B40=Inputs!$C$1,SUM(Outputs_Internal!K$4, Outputs_Internal!K$5),0)*$D40</f>
        <v>0</v>
      </c>
      <c r="K40" s="63">
        <f>IF($B40=Inputs!$C$1,SUM(Outputs_Internal!L$4, Outputs_Internal!L$5),0)*$D40</f>
        <v>0</v>
      </c>
      <c r="L40" s="63">
        <f>IF($B40=Inputs!$C$1,SUM(Outputs_Internal!M$4, Outputs_Internal!$M$5),0)*$D40</f>
        <v>0</v>
      </c>
      <c r="N40" s="63">
        <f t="shared" si="0"/>
        <v>0</v>
      </c>
      <c r="P40" s="63">
        <f>$F40*Outputs_Internal!$D$64/12+N40</f>
        <v>4617</v>
      </c>
      <c r="Q40" s="63">
        <f>$F40*Outputs_Internal!K$64/12+N40*'MARA Prices'!$F$5</f>
        <v>2580.5285651408453</v>
      </c>
      <c r="R40" s="63">
        <f>$F40*Outputs_Internal!L$64/12+N40*'MARA Prices'!$F$6</f>
        <v>2005.003125</v>
      </c>
      <c r="S40" s="63">
        <f>N40*'MARA Prices'!$F$4</f>
        <v>0</v>
      </c>
      <c r="T40" s="63">
        <f>$F40*Outputs_Internal!M$64/12</f>
        <v>0</v>
      </c>
      <c r="U40" s="63">
        <f>$F40*Outputs_Internal!N$64/12</f>
        <v>31.468309859154928</v>
      </c>
      <c r="W40" s="63">
        <f t="shared" si="7"/>
        <v>0</v>
      </c>
      <c r="X40" s="63">
        <f t="shared" si="8"/>
        <v>0</v>
      </c>
      <c r="Y40" s="63">
        <f t="shared" si="9"/>
        <v>0</v>
      </c>
      <c r="Z40" s="63">
        <f t="shared" si="10"/>
        <v>0</v>
      </c>
      <c r="AA40" s="63">
        <f t="shared" si="11"/>
        <v>0</v>
      </c>
      <c r="AD40" s="63">
        <f>'MARA Prices'!H$21*$G40</f>
        <v>0</v>
      </c>
      <c r="AE40" s="63">
        <f>'MARA Prices'!I$21*$G40</f>
        <v>0</v>
      </c>
      <c r="AF40" s="63">
        <f>'MARA Prices'!J$21*$G40</f>
        <v>0</v>
      </c>
      <c r="AG40" s="63">
        <f>'MARA Prices'!K$21*$G40</f>
        <v>0</v>
      </c>
      <c r="AH40" s="63">
        <f>'MARA Prices'!L$21*$G40</f>
        <v>0</v>
      </c>
    </row>
    <row r="41" spans="2:34" x14ac:dyDescent="0.25">
      <c r="B41" s="60">
        <f t="shared" si="1"/>
        <v>44075</v>
      </c>
      <c r="D41" s="64">
        <f>D40*IF(AND(MONTH(B41)=1,YEAR(B41)&gt;=YEAR(Prices!$L$15)),1+Prices!$L$14,1)</f>
        <v>1.02515625</v>
      </c>
      <c r="E41" s="64">
        <f>IF(B41=Inputs!$C$1,D41,E40)</f>
        <v>1.0125</v>
      </c>
      <c r="F41" s="64">
        <f>IF(AND(B41&gt;=Inputs!$C$1,B41&lt;EDATE(Inputs!$C$1,Inputs!$C$2)),E41,0)</f>
        <v>1.0125</v>
      </c>
      <c r="G41" s="64">
        <f>IF(AND(B41&gt;=Inputs!$C$1,B41&lt;EDATE(Inputs!$C$1,Inputs!$C$2)),(1+'MARA Prices'!$F$1)^IFERROR(DATEDIF('MARA Prices'!$F$2,B41,"Y")+1, 0),0)</f>
        <v>1.05</v>
      </c>
      <c r="I41" s="63">
        <f>IF($B41=Inputs!$C$1,SUM(Outputs_Internal!$D$4, Outputs_Internal!$D$5),0)*$D41</f>
        <v>0</v>
      </c>
      <c r="J41" s="63">
        <f>IF($B41=Inputs!$C$1,SUM(Outputs_Internal!K$4, Outputs_Internal!K$5),0)*$D41</f>
        <v>0</v>
      </c>
      <c r="K41" s="63">
        <f>IF($B41=Inputs!$C$1,SUM(Outputs_Internal!L$4, Outputs_Internal!L$5),0)*$D41</f>
        <v>0</v>
      </c>
      <c r="L41" s="63">
        <f>IF($B41=Inputs!$C$1,SUM(Outputs_Internal!M$4, Outputs_Internal!$M$5),0)*$D41</f>
        <v>0</v>
      </c>
      <c r="N41" s="63">
        <f t="shared" si="0"/>
        <v>0</v>
      </c>
      <c r="P41" s="63">
        <f>$F41*Outputs_Internal!$D$64/12+N41</f>
        <v>4617</v>
      </c>
      <c r="Q41" s="63">
        <f>$F41*Outputs_Internal!K$64/12+N41*'MARA Prices'!$F$5</f>
        <v>2580.5285651408453</v>
      </c>
      <c r="R41" s="63">
        <f>$F41*Outputs_Internal!L$64/12+N41*'MARA Prices'!$F$6</f>
        <v>2005.003125</v>
      </c>
      <c r="S41" s="63">
        <f>N41*'MARA Prices'!$F$4</f>
        <v>0</v>
      </c>
      <c r="T41" s="63">
        <f>$F41*Outputs_Internal!M$64/12</f>
        <v>0</v>
      </c>
      <c r="U41" s="63">
        <f>$F41*Outputs_Internal!N$64/12</f>
        <v>31.468309859154928</v>
      </c>
      <c r="W41" s="63">
        <f t="shared" si="7"/>
        <v>13851</v>
      </c>
      <c r="X41" s="63">
        <f t="shared" si="8"/>
        <v>7741.5856954225364</v>
      </c>
      <c r="Y41" s="63">
        <f t="shared" si="9"/>
        <v>6015.0093749999996</v>
      </c>
      <c r="Z41" s="63">
        <f t="shared" si="10"/>
        <v>0</v>
      </c>
      <c r="AA41" s="63">
        <f t="shared" si="11"/>
        <v>94.404929577464785</v>
      </c>
      <c r="AD41" s="63">
        <f>'MARA Prices'!H$21*$G41</f>
        <v>0</v>
      </c>
      <c r="AE41" s="63">
        <f>'MARA Prices'!I$21*$G41</f>
        <v>0</v>
      </c>
      <c r="AF41" s="63">
        <f>'MARA Prices'!J$21*$G41</f>
        <v>0</v>
      </c>
      <c r="AG41" s="63">
        <f>'MARA Prices'!K$21*$G41</f>
        <v>0</v>
      </c>
      <c r="AH41" s="63">
        <f>'MARA Prices'!L$21*$G41</f>
        <v>0</v>
      </c>
    </row>
    <row r="42" spans="2:34" x14ac:dyDescent="0.25">
      <c r="B42" s="60">
        <f t="shared" si="1"/>
        <v>44105</v>
      </c>
      <c r="D42" s="64">
        <f>D41*IF(AND(MONTH(B42)=1,YEAR(B42)&gt;=YEAR(Prices!$L$15)),1+Prices!$L$14,1)</f>
        <v>1.02515625</v>
      </c>
      <c r="E42" s="64">
        <f>IF(B42=Inputs!$C$1,D42,E41)</f>
        <v>1.0125</v>
      </c>
      <c r="F42" s="64">
        <f>IF(AND(B42&gt;=Inputs!$C$1,B42&lt;EDATE(Inputs!$C$1,Inputs!$C$2)),E42,0)</f>
        <v>1.0125</v>
      </c>
      <c r="G42" s="64">
        <f>IF(AND(B42&gt;=Inputs!$C$1,B42&lt;EDATE(Inputs!$C$1,Inputs!$C$2)),(1+'MARA Prices'!$F$1)^IFERROR(DATEDIF('MARA Prices'!$F$2,B42,"Y")+1, 0),0)</f>
        <v>1.05</v>
      </c>
      <c r="I42" s="63">
        <f>IF($B42=Inputs!$C$1,SUM(Outputs_Internal!$D$4, Outputs_Internal!$D$5),0)*$D42</f>
        <v>0</v>
      </c>
      <c r="J42" s="63">
        <f>IF($B42=Inputs!$C$1,SUM(Outputs_Internal!K$4, Outputs_Internal!K$5),0)*$D42</f>
        <v>0</v>
      </c>
      <c r="K42" s="63">
        <f>IF($B42=Inputs!$C$1,SUM(Outputs_Internal!L$4, Outputs_Internal!L$5),0)*$D42</f>
        <v>0</v>
      </c>
      <c r="L42" s="63">
        <f>IF($B42=Inputs!$C$1,SUM(Outputs_Internal!M$4, Outputs_Internal!$M$5),0)*$D42</f>
        <v>0</v>
      </c>
      <c r="N42" s="63">
        <f t="shared" si="0"/>
        <v>0</v>
      </c>
      <c r="P42" s="63">
        <f>$F42*Outputs_Internal!$D$64/12+N42</f>
        <v>4617</v>
      </c>
      <c r="Q42" s="63">
        <f>$F42*Outputs_Internal!K$64/12+N42*'MARA Prices'!$F$5</f>
        <v>2580.5285651408453</v>
      </c>
      <c r="R42" s="63">
        <f>$F42*Outputs_Internal!L$64/12+N42*'MARA Prices'!$F$6</f>
        <v>2005.003125</v>
      </c>
      <c r="S42" s="63">
        <f>N42*'MARA Prices'!$F$4</f>
        <v>0</v>
      </c>
      <c r="T42" s="63">
        <f>$F42*Outputs_Internal!M$64/12</f>
        <v>0</v>
      </c>
      <c r="U42" s="63">
        <f>$F42*Outputs_Internal!N$64/12</f>
        <v>31.468309859154928</v>
      </c>
      <c r="W42" s="63">
        <f t="shared" si="7"/>
        <v>0</v>
      </c>
      <c r="X42" s="63">
        <f t="shared" si="8"/>
        <v>0</v>
      </c>
      <c r="Y42" s="63">
        <f t="shared" si="9"/>
        <v>0</v>
      </c>
      <c r="Z42" s="63">
        <f t="shared" si="10"/>
        <v>0</v>
      </c>
      <c r="AA42" s="63">
        <f t="shared" si="11"/>
        <v>0</v>
      </c>
      <c r="AD42" s="63">
        <f>'MARA Prices'!H$21*$G42</f>
        <v>0</v>
      </c>
      <c r="AE42" s="63">
        <f>'MARA Prices'!I$21*$G42</f>
        <v>0</v>
      </c>
      <c r="AF42" s="63">
        <f>'MARA Prices'!J$21*$G42</f>
        <v>0</v>
      </c>
      <c r="AG42" s="63">
        <f>'MARA Prices'!K$21*$G42</f>
        <v>0</v>
      </c>
      <c r="AH42" s="63">
        <f>'MARA Prices'!L$21*$G42</f>
        <v>0</v>
      </c>
    </row>
    <row r="43" spans="2:34" x14ac:dyDescent="0.25">
      <c r="B43" s="60">
        <f t="shared" si="1"/>
        <v>44136</v>
      </c>
      <c r="D43" s="64">
        <f>D42*IF(AND(MONTH(B43)=1,YEAR(B43)&gt;=YEAR(Prices!$L$15)),1+Prices!$L$14,1)</f>
        <v>1.02515625</v>
      </c>
      <c r="E43" s="64">
        <f>IF(B43=Inputs!$C$1,D43,E42)</f>
        <v>1.0125</v>
      </c>
      <c r="F43" s="64">
        <f>IF(AND(B43&gt;=Inputs!$C$1,B43&lt;EDATE(Inputs!$C$1,Inputs!$C$2)),E43,0)</f>
        <v>1.0125</v>
      </c>
      <c r="G43" s="64">
        <f>IF(AND(B43&gt;=Inputs!$C$1,B43&lt;EDATE(Inputs!$C$1,Inputs!$C$2)),(1+'MARA Prices'!$F$1)^IFERROR(DATEDIF('MARA Prices'!$F$2,B43,"Y")+1, 0),0)</f>
        <v>1.05</v>
      </c>
      <c r="I43" s="63">
        <f>IF($B43=Inputs!$C$1,SUM(Outputs_Internal!$D$4, Outputs_Internal!$D$5),0)*$D43</f>
        <v>0</v>
      </c>
      <c r="J43" s="63">
        <f>IF($B43=Inputs!$C$1,SUM(Outputs_Internal!K$4, Outputs_Internal!K$5),0)*$D43</f>
        <v>0</v>
      </c>
      <c r="K43" s="63">
        <f>IF($B43=Inputs!$C$1,SUM(Outputs_Internal!L$4, Outputs_Internal!L$5),0)*$D43</f>
        <v>0</v>
      </c>
      <c r="L43" s="63">
        <f>IF($B43=Inputs!$C$1,SUM(Outputs_Internal!M$4, Outputs_Internal!$M$5),0)*$D43</f>
        <v>0</v>
      </c>
      <c r="N43" s="63">
        <f t="shared" si="0"/>
        <v>0</v>
      </c>
      <c r="P43" s="63">
        <f>$F43*Outputs_Internal!$D$64/12+N43</f>
        <v>4617</v>
      </c>
      <c r="Q43" s="63">
        <f>$F43*Outputs_Internal!K$64/12+N43*'MARA Prices'!$F$5</f>
        <v>2580.5285651408453</v>
      </c>
      <c r="R43" s="63">
        <f>$F43*Outputs_Internal!L$64/12+N43*'MARA Prices'!$F$6</f>
        <v>2005.003125</v>
      </c>
      <c r="S43" s="63">
        <f>N43*'MARA Prices'!$F$4</f>
        <v>0</v>
      </c>
      <c r="T43" s="63">
        <f>$F43*Outputs_Internal!M$64/12</f>
        <v>0</v>
      </c>
      <c r="U43" s="63">
        <f>$F43*Outputs_Internal!N$64/12</f>
        <v>31.468309859154928</v>
      </c>
      <c r="W43" s="63">
        <f t="shared" si="7"/>
        <v>0</v>
      </c>
      <c r="X43" s="63">
        <f t="shared" si="8"/>
        <v>0</v>
      </c>
      <c r="Y43" s="63">
        <f t="shared" si="9"/>
        <v>0</v>
      </c>
      <c r="Z43" s="63">
        <f t="shared" si="10"/>
        <v>0</v>
      </c>
      <c r="AA43" s="63">
        <f t="shared" si="11"/>
        <v>0</v>
      </c>
      <c r="AD43" s="63">
        <f>'MARA Prices'!H$21*$G43</f>
        <v>0</v>
      </c>
      <c r="AE43" s="63">
        <f>'MARA Prices'!I$21*$G43</f>
        <v>0</v>
      </c>
      <c r="AF43" s="63">
        <f>'MARA Prices'!J$21*$G43</f>
        <v>0</v>
      </c>
      <c r="AG43" s="63">
        <f>'MARA Prices'!K$21*$G43</f>
        <v>0</v>
      </c>
      <c r="AH43" s="63">
        <f>'MARA Prices'!L$21*$G43</f>
        <v>0</v>
      </c>
    </row>
    <row r="44" spans="2:34" x14ac:dyDescent="0.25">
      <c r="B44" s="60">
        <f t="shared" si="1"/>
        <v>44166</v>
      </c>
      <c r="D44" s="64">
        <f>D43*IF(AND(MONTH(B44)=1,YEAR(B44)&gt;=YEAR(Prices!$L$15)),1+Prices!$L$14,1)</f>
        <v>1.02515625</v>
      </c>
      <c r="E44" s="64">
        <f>IF(B44=Inputs!$C$1,D44,E43)</f>
        <v>1.0125</v>
      </c>
      <c r="F44" s="64">
        <f>IF(AND(B44&gt;=Inputs!$C$1,B44&lt;EDATE(Inputs!$C$1,Inputs!$C$2)),E44,0)</f>
        <v>1.0125</v>
      </c>
      <c r="G44" s="64">
        <f>IF(AND(B44&gt;=Inputs!$C$1,B44&lt;EDATE(Inputs!$C$1,Inputs!$C$2)),(1+'MARA Prices'!$F$1)^IFERROR(DATEDIF('MARA Prices'!$F$2,B44,"Y")+1, 0),0)</f>
        <v>1.05</v>
      </c>
      <c r="I44" s="63">
        <f>IF($B44=Inputs!$C$1,SUM(Outputs_Internal!$D$4, Outputs_Internal!$D$5),0)*$D44</f>
        <v>0</v>
      </c>
      <c r="J44" s="63">
        <f>IF($B44=Inputs!$C$1,SUM(Outputs_Internal!K$4, Outputs_Internal!K$5),0)*$D44</f>
        <v>0</v>
      </c>
      <c r="K44" s="63">
        <f>IF($B44=Inputs!$C$1,SUM(Outputs_Internal!L$4, Outputs_Internal!L$5),0)*$D44</f>
        <v>0</v>
      </c>
      <c r="L44" s="63">
        <f>IF($B44=Inputs!$C$1,SUM(Outputs_Internal!M$4, Outputs_Internal!$M$5),0)*$D44</f>
        <v>0</v>
      </c>
      <c r="N44" s="63">
        <f t="shared" si="0"/>
        <v>0</v>
      </c>
      <c r="P44" s="63">
        <f>$F44*Outputs_Internal!$D$64/12+N44</f>
        <v>4617</v>
      </c>
      <c r="Q44" s="63">
        <f>$F44*Outputs_Internal!K$64/12+N44*'MARA Prices'!$F$5</f>
        <v>2580.5285651408453</v>
      </c>
      <c r="R44" s="63">
        <f>$F44*Outputs_Internal!L$64/12+N44*'MARA Prices'!$F$6</f>
        <v>2005.003125</v>
      </c>
      <c r="S44" s="63">
        <f>N44*'MARA Prices'!$F$4</f>
        <v>0</v>
      </c>
      <c r="T44" s="63">
        <f>$F44*Outputs_Internal!M$64/12</f>
        <v>0</v>
      </c>
      <c r="U44" s="63">
        <f>$F44*Outputs_Internal!N$64/12</f>
        <v>31.468309859154928</v>
      </c>
      <c r="W44" s="63">
        <f t="shared" si="7"/>
        <v>13851</v>
      </c>
      <c r="X44" s="63">
        <f t="shared" si="8"/>
        <v>7741.5856954225364</v>
      </c>
      <c r="Y44" s="63">
        <f t="shared" si="9"/>
        <v>6015.0093749999996</v>
      </c>
      <c r="Z44" s="63">
        <f t="shared" si="10"/>
        <v>0</v>
      </c>
      <c r="AA44" s="63">
        <f t="shared" si="11"/>
        <v>94.404929577464785</v>
      </c>
      <c r="AD44" s="63">
        <f>'MARA Prices'!H$21*$G44</f>
        <v>0</v>
      </c>
      <c r="AE44" s="63">
        <f>'MARA Prices'!I$21*$G44</f>
        <v>0</v>
      </c>
      <c r="AF44" s="63">
        <f>'MARA Prices'!J$21*$G44</f>
        <v>0</v>
      </c>
      <c r="AG44" s="63">
        <f>'MARA Prices'!K$21*$G44</f>
        <v>0</v>
      </c>
      <c r="AH44" s="63">
        <f>'MARA Prices'!L$21*$G44</f>
        <v>0</v>
      </c>
    </row>
    <row r="45" spans="2:34" x14ac:dyDescent="0.25">
      <c r="B45" s="60">
        <f t="shared" si="1"/>
        <v>44197</v>
      </c>
      <c r="D45" s="64">
        <f>D44*IF(AND(MONTH(B45)=1,YEAR(B45)&gt;=YEAR(Prices!$L$15)),1+Prices!$L$14,1)</f>
        <v>1.0379707031249998</v>
      </c>
      <c r="E45" s="64">
        <f>IF(B45=Inputs!$C$1,D45,E44)</f>
        <v>1.0125</v>
      </c>
      <c r="F45" s="64">
        <f>IF(AND(B45&gt;=Inputs!$C$1,B45&lt;EDATE(Inputs!$C$1,Inputs!$C$2)),E45,0)</f>
        <v>1.0125</v>
      </c>
      <c r="G45" s="64">
        <f>IF(AND(B45&gt;=Inputs!$C$1,B45&lt;EDATE(Inputs!$C$1,Inputs!$C$2)),(1+'MARA Prices'!$F$1)^IFERROR(DATEDIF('MARA Prices'!$F$2,B45,"Y")+1, 0),0)</f>
        <v>1.1025</v>
      </c>
      <c r="I45" s="63">
        <f>IF($B45=Inputs!$C$1,SUM(Outputs_Internal!$D$4, Outputs_Internal!$D$5),0)*$D45</f>
        <v>0</v>
      </c>
      <c r="J45" s="63">
        <f>IF($B45=Inputs!$C$1,SUM(Outputs_Internal!K$4, Outputs_Internal!K$5),0)*$D45</f>
        <v>0</v>
      </c>
      <c r="K45" s="63">
        <f>IF($B45=Inputs!$C$1,SUM(Outputs_Internal!L$4, Outputs_Internal!L$5),0)*$D45</f>
        <v>0</v>
      </c>
      <c r="L45" s="63">
        <f>IF($B45=Inputs!$C$1,SUM(Outputs_Internal!M$4, Outputs_Internal!$M$5),0)*$D45</f>
        <v>0</v>
      </c>
      <c r="N45" s="63">
        <f t="shared" si="0"/>
        <v>0</v>
      </c>
      <c r="P45" s="63">
        <f>$F45*Outputs_Internal!$D$64/12+N45</f>
        <v>4617</v>
      </c>
      <c r="Q45" s="63">
        <f>$F45*Outputs_Internal!K$64/12+N45*'MARA Prices'!$F$5</f>
        <v>2580.5285651408453</v>
      </c>
      <c r="R45" s="63">
        <f>$F45*Outputs_Internal!L$64/12+N45*'MARA Prices'!$F$6</f>
        <v>2005.003125</v>
      </c>
      <c r="S45" s="63">
        <f>N45*'MARA Prices'!$F$4</f>
        <v>0</v>
      </c>
      <c r="T45" s="63">
        <f>$F45*Outputs_Internal!M$64/12</f>
        <v>0</v>
      </c>
      <c r="U45" s="63">
        <f>$F45*Outputs_Internal!N$64/12</f>
        <v>31.468309859154928</v>
      </c>
      <c r="W45" s="63">
        <f t="shared" si="7"/>
        <v>0</v>
      </c>
      <c r="X45" s="63">
        <f t="shared" si="8"/>
        <v>0</v>
      </c>
      <c r="Y45" s="63">
        <f t="shared" si="9"/>
        <v>0</v>
      </c>
      <c r="Z45" s="63">
        <f t="shared" si="10"/>
        <v>0</v>
      </c>
      <c r="AA45" s="63">
        <f t="shared" si="11"/>
        <v>0</v>
      </c>
      <c r="AD45" s="63">
        <f>'MARA Prices'!H$21*$G45</f>
        <v>0</v>
      </c>
      <c r="AE45" s="63">
        <f>'MARA Prices'!I$21*$G45</f>
        <v>0</v>
      </c>
      <c r="AF45" s="63">
        <f>'MARA Prices'!J$21*$G45</f>
        <v>0</v>
      </c>
      <c r="AG45" s="63">
        <f>'MARA Prices'!K$21*$G45</f>
        <v>0</v>
      </c>
      <c r="AH45" s="63">
        <f>'MARA Prices'!L$21*$G45</f>
        <v>0</v>
      </c>
    </row>
    <row r="46" spans="2:34" x14ac:dyDescent="0.25">
      <c r="B46" s="60">
        <f t="shared" si="1"/>
        <v>44228</v>
      </c>
      <c r="D46" s="64">
        <f>D45*IF(AND(MONTH(B46)=1,YEAR(B46)&gt;=YEAR(Prices!$L$15)),1+Prices!$L$14,1)</f>
        <v>1.0379707031249998</v>
      </c>
      <c r="E46" s="64">
        <f>IF(B46=Inputs!$C$1,D46,E45)</f>
        <v>1.0125</v>
      </c>
      <c r="F46" s="64">
        <f>IF(AND(B46&gt;=Inputs!$C$1,B46&lt;EDATE(Inputs!$C$1,Inputs!$C$2)),E46,0)</f>
        <v>1.0125</v>
      </c>
      <c r="G46" s="64">
        <f>IF(AND(B46&gt;=Inputs!$C$1,B46&lt;EDATE(Inputs!$C$1,Inputs!$C$2)),(1+'MARA Prices'!$F$1)^IFERROR(DATEDIF('MARA Prices'!$F$2,B46,"Y")+1, 0),0)</f>
        <v>1.1025</v>
      </c>
      <c r="I46" s="63">
        <f>IF($B46=Inputs!$C$1,SUM(Outputs_Internal!$D$4, Outputs_Internal!$D$5),0)*$D46</f>
        <v>0</v>
      </c>
      <c r="J46" s="63">
        <f>IF($B46=Inputs!$C$1,SUM(Outputs_Internal!K$4, Outputs_Internal!K$5),0)*$D46</f>
        <v>0</v>
      </c>
      <c r="K46" s="63">
        <f>IF($B46=Inputs!$C$1,SUM(Outputs_Internal!L$4, Outputs_Internal!L$5),0)*$D46</f>
        <v>0</v>
      </c>
      <c r="L46" s="63">
        <f>IF($B46=Inputs!$C$1,SUM(Outputs_Internal!M$4, Outputs_Internal!$M$5),0)*$D46</f>
        <v>0</v>
      </c>
      <c r="N46" s="63">
        <f t="shared" si="0"/>
        <v>0</v>
      </c>
      <c r="P46" s="63">
        <f>$F46*Outputs_Internal!$D$64/12+N46</f>
        <v>4617</v>
      </c>
      <c r="Q46" s="63">
        <f>$F46*Outputs_Internal!K$64/12+N46*'MARA Prices'!$F$5</f>
        <v>2580.5285651408453</v>
      </c>
      <c r="R46" s="63">
        <f>$F46*Outputs_Internal!L$64/12+N46*'MARA Prices'!$F$6</f>
        <v>2005.003125</v>
      </c>
      <c r="S46" s="63">
        <f>N46*'MARA Prices'!$F$4</f>
        <v>0</v>
      </c>
      <c r="T46" s="63">
        <f>$F46*Outputs_Internal!M$64/12</f>
        <v>0</v>
      </c>
      <c r="U46" s="63">
        <f>$F46*Outputs_Internal!N$64/12</f>
        <v>31.468309859154928</v>
      </c>
      <c r="W46" s="63">
        <f t="shared" si="7"/>
        <v>0</v>
      </c>
      <c r="X46" s="63">
        <f t="shared" si="8"/>
        <v>0</v>
      </c>
      <c r="Y46" s="63">
        <f t="shared" si="9"/>
        <v>0</v>
      </c>
      <c r="Z46" s="63">
        <f t="shared" si="10"/>
        <v>0</v>
      </c>
      <c r="AA46" s="63">
        <f t="shared" si="11"/>
        <v>0</v>
      </c>
      <c r="AD46" s="63">
        <f>'MARA Prices'!H$21*$G46</f>
        <v>0</v>
      </c>
      <c r="AE46" s="63">
        <f>'MARA Prices'!I$21*$G46</f>
        <v>0</v>
      </c>
      <c r="AF46" s="63">
        <f>'MARA Prices'!J$21*$G46</f>
        <v>0</v>
      </c>
      <c r="AG46" s="63">
        <f>'MARA Prices'!K$21*$G46</f>
        <v>0</v>
      </c>
      <c r="AH46" s="63">
        <f>'MARA Prices'!L$21*$G46</f>
        <v>0</v>
      </c>
    </row>
    <row r="47" spans="2:34" x14ac:dyDescent="0.25">
      <c r="B47" s="60">
        <f t="shared" si="1"/>
        <v>44256</v>
      </c>
      <c r="D47" s="64">
        <f>D46*IF(AND(MONTH(B47)=1,YEAR(B47)&gt;=YEAR(Prices!$L$15)),1+Prices!$L$14,1)</f>
        <v>1.0379707031249998</v>
      </c>
      <c r="E47" s="64">
        <f>IF(B47=Inputs!$C$1,D47,E46)</f>
        <v>1.0125</v>
      </c>
      <c r="F47" s="64">
        <f>IF(AND(B47&gt;=Inputs!$C$1,B47&lt;EDATE(Inputs!$C$1,Inputs!$C$2)),E47,0)</f>
        <v>1.0125</v>
      </c>
      <c r="G47" s="64">
        <f>IF(AND(B47&gt;=Inputs!$C$1,B47&lt;EDATE(Inputs!$C$1,Inputs!$C$2)),(1+'MARA Prices'!$F$1)^IFERROR(DATEDIF('MARA Prices'!$F$2,B47,"Y")+1, 0),0)</f>
        <v>1.1025</v>
      </c>
      <c r="I47" s="63">
        <f>IF($B47=Inputs!$C$1,SUM(Outputs_Internal!$D$4, Outputs_Internal!$D$5),0)*$D47</f>
        <v>0</v>
      </c>
      <c r="J47" s="63">
        <f>IF($B47=Inputs!$C$1,SUM(Outputs_Internal!K$4, Outputs_Internal!K$5),0)*$D47</f>
        <v>0</v>
      </c>
      <c r="K47" s="63">
        <f>IF($B47=Inputs!$C$1,SUM(Outputs_Internal!L$4, Outputs_Internal!L$5),0)*$D47</f>
        <v>0</v>
      </c>
      <c r="L47" s="63">
        <f>IF($B47=Inputs!$C$1,SUM(Outputs_Internal!M$4, Outputs_Internal!$M$5),0)*$D47</f>
        <v>0</v>
      </c>
      <c r="N47" s="63">
        <f t="shared" si="0"/>
        <v>0</v>
      </c>
      <c r="P47" s="63">
        <f>$F47*Outputs_Internal!$D$64/12+N47</f>
        <v>4617</v>
      </c>
      <c r="Q47" s="63">
        <f>$F47*Outputs_Internal!K$64/12+N47*'MARA Prices'!$F$5</f>
        <v>2580.5285651408453</v>
      </c>
      <c r="R47" s="63">
        <f>$F47*Outputs_Internal!L$64/12+N47*'MARA Prices'!$F$6</f>
        <v>2005.003125</v>
      </c>
      <c r="S47" s="63">
        <f>N47*'MARA Prices'!$F$4</f>
        <v>0</v>
      </c>
      <c r="T47" s="63">
        <f>$F47*Outputs_Internal!M$64/12</f>
        <v>0</v>
      </c>
      <c r="U47" s="63">
        <f>$F47*Outputs_Internal!N$64/12</f>
        <v>31.468309859154928</v>
      </c>
      <c r="W47" s="63">
        <f t="shared" si="7"/>
        <v>13851</v>
      </c>
      <c r="X47" s="63">
        <f t="shared" si="8"/>
        <v>7741.5856954225364</v>
      </c>
      <c r="Y47" s="63">
        <f t="shared" si="9"/>
        <v>6015.0093749999996</v>
      </c>
      <c r="Z47" s="63">
        <f t="shared" si="10"/>
        <v>0</v>
      </c>
      <c r="AA47" s="63">
        <f t="shared" si="11"/>
        <v>94.404929577464785</v>
      </c>
      <c r="AD47" s="63">
        <f>'MARA Prices'!H$21*$G47</f>
        <v>0</v>
      </c>
      <c r="AE47" s="63">
        <f>'MARA Prices'!I$21*$G47</f>
        <v>0</v>
      </c>
      <c r="AF47" s="63">
        <f>'MARA Prices'!J$21*$G47</f>
        <v>0</v>
      </c>
      <c r="AG47" s="63">
        <f>'MARA Prices'!K$21*$G47</f>
        <v>0</v>
      </c>
      <c r="AH47" s="63">
        <f>'MARA Prices'!L$21*$G47</f>
        <v>0</v>
      </c>
    </row>
    <row r="48" spans="2:34" x14ac:dyDescent="0.25">
      <c r="B48" s="60">
        <f t="shared" si="1"/>
        <v>44287</v>
      </c>
      <c r="D48" s="64">
        <f>D47*IF(AND(MONTH(B48)=1,YEAR(B48)&gt;=YEAR(Prices!$L$15)),1+Prices!$L$14,1)</f>
        <v>1.0379707031249998</v>
      </c>
      <c r="E48" s="64">
        <f>IF(B48=Inputs!$C$1,D48,E47)</f>
        <v>1.0125</v>
      </c>
      <c r="F48" s="64">
        <f>IF(AND(B48&gt;=Inputs!$C$1,B48&lt;EDATE(Inputs!$C$1,Inputs!$C$2)),E48,0)</f>
        <v>1.0125</v>
      </c>
      <c r="G48" s="64">
        <f>IF(AND(B48&gt;=Inputs!$C$1,B48&lt;EDATE(Inputs!$C$1,Inputs!$C$2)),(1+'MARA Prices'!$F$1)^IFERROR(DATEDIF('MARA Prices'!$F$2,B48,"Y")+1, 0),0)</f>
        <v>1.1025</v>
      </c>
      <c r="I48" s="63">
        <f>IF($B48=Inputs!$C$1,SUM(Outputs_Internal!$D$4, Outputs_Internal!$D$5),0)*$D48</f>
        <v>0</v>
      </c>
      <c r="J48" s="63">
        <f>IF($B48=Inputs!$C$1,SUM(Outputs_Internal!K$4, Outputs_Internal!K$5),0)*$D48</f>
        <v>0</v>
      </c>
      <c r="K48" s="63">
        <f>IF($B48=Inputs!$C$1,SUM(Outputs_Internal!L$4, Outputs_Internal!L$5),0)*$D48</f>
        <v>0</v>
      </c>
      <c r="L48" s="63">
        <f>IF($B48=Inputs!$C$1,SUM(Outputs_Internal!M$4, Outputs_Internal!$M$5),0)*$D48</f>
        <v>0</v>
      </c>
      <c r="N48" s="63">
        <f t="shared" si="0"/>
        <v>0</v>
      </c>
      <c r="P48" s="63">
        <f>$F48*Outputs_Internal!$D$64/12+N48</f>
        <v>4617</v>
      </c>
      <c r="Q48" s="63">
        <f>$F48*Outputs_Internal!K$64/12+N48*'MARA Prices'!$F$5</f>
        <v>2580.5285651408453</v>
      </c>
      <c r="R48" s="63">
        <f>$F48*Outputs_Internal!L$64/12+N48*'MARA Prices'!$F$6</f>
        <v>2005.003125</v>
      </c>
      <c r="S48" s="63">
        <f>N48*'MARA Prices'!$F$4</f>
        <v>0</v>
      </c>
      <c r="T48" s="63">
        <f>$F48*Outputs_Internal!M$64/12</f>
        <v>0</v>
      </c>
      <c r="U48" s="63">
        <f>$F48*Outputs_Internal!N$64/12</f>
        <v>31.468309859154928</v>
      </c>
      <c r="W48" s="63">
        <f t="shared" si="7"/>
        <v>0</v>
      </c>
      <c r="X48" s="63">
        <f t="shared" si="8"/>
        <v>0</v>
      </c>
      <c r="Y48" s="63">
        <f t="shared" si="9"/>
        <v>0</v>
      </c>
      <c r="Z48" s="63">
        <f t="shared" si="10"/>
        <v>0</v>
      </c>
      <c r="AA48" s="63">
        <f t="shared" si="11"/>
        <v>0</v>
      </c>
      <c r="AD48" s="63">
        <f>'MARA Prices'!H$21*$G48</f>
        <v>0</v>
      </c>
      <c r="AE48" s="63">
        <f>'MARA Prices'!I$21*$G48</f>
        <v>0</v>
      </c>
      <c r="AF48" s="63">
        <f>'MARA Prices'!J$21*$G48</f>
        <v>0</v>
      </c>
      <c r="AG48" s="63">
        <f>'MARA Prices'!K$21*$G48</f>
        <v>0</v>
      </c>
      <c r="AH48" s="63">
        <f>'MARA Prices'!L$21*$G48</f>
        <v>0</v>
      </c>
    </row>
    <row r="49" spans="2:34" x14ac:dyDescent="0.25">
      <c r="B49" s="60">
        <f t="shared" si="1"/>
        <v>44317</v>
      </c>
      <c r="D49" s="64">
        <f>D48*IF(AND(MONTH(B49)=1,YEAR(B49)&gt;=YEAR(Prices!$L$15)),1+Prices!$L$14,1)</f>
        <v>1.0379707031249998</v>
      </c>
      <c r="E49" s="64">
        <f>IF(B49=Inputs!$C$1,D49,E48)</f>
        <v>1.0125</v>
      </c>
      <c r="F49" s="64">
        <f>IF(AND(B49&gt;=Inputs!$C$1,B49&lt;EDATE(Inputs!$C$1,Inputs!$C$2)),E49,0)</f>
        <v>1.0125</v>
      </c>
      <c r="G49" s="64">
        <f>IF(AND(B49&gt;=Inputs!$C$1,B49&lt;EDATE(Inputs!$C$1,Inputs!$C$2)),(1+'MARA Prices'!$F$1)^IFERROR(DATEDIF('MARA Prices'!$F$2,B49,"Y")+1, 0),0)</f>
        <v>1.1025</v>
      </c>
      <c r="I49" s="63">
        <f>IF($B49=Inputs!$C$1,SUM(Outputs_Internal!$D$4, Outputs_Internal!$D$5),0)*$D49</f>
        <v>0</v>
      </c>
      <c r="J49" s="63">
        <f>IF($B49=Inputs!$C$1,SUM(Outputs_Internal!K$4, Outputs_Internal!K$5),0)*$D49</f>
        <v>0</v>
      </c>
      <c r="K49" s="63">
        <f>IF($B49=Inputs!$C$1,SUM(Outputs_Internal!L$4, Outputs_Internal!L$5),0)*$D49</f>
        <v>0</v>
      </c>
      <c r="L49" s="63">
        <f>IF($B49=Inputs!$C$1,SUM(Outputs_Internal!M$4, Outputs_Internal!$M$5),0)*$D49</f>
        <v>0</v>
      </c>
      <c r="N49" s="63">
        <f t="shared" si="0"/>
        <v>0</v>
      </c>
      <c r="P49" s="63">
        <f>$F49*Outputs_Internal!$D$64/12+N49</f>
        <v>4617</v>
      </c>
      <c r="Q49" s="63">
        <f>$F49*Outputs_Internal!K$64/12+N49*'MARA Prices'!$F$5</f>
        <v>2580.5285651408453</v>
      </c>
      <c r="R49" s="63">
        <f>$F49*Outputs_Internal!L$64/12+N49*'MARA Prices'!$F$6</f>
        <v>2005.003125</v>
      </c>
      <c r="S49" s="63">
        <f>N49*'MARA Prices'!$F$4</f>
        <v>0</v>
      </c>
      <c r="T49" s="63">
        <f>$F49*Outputs_Internal!M$64/12</f>
        <v>0</v>
      </c>
      <c r="U49" s="63">
        <f>$F49*Outputs_Internal!N$64/12</f>
        <v>31.468309859154928</v>
      </c>
      <c r="W49" s="63">
        <f t="shared" si="7"/>
        <v>0</v>
      </c>
      <c r="X49" s="63">
        <f t="shared" si="8"/>
        <v>0</v>
      </c>
      <c r="Y49" s="63">
        <f t="shared" si="9"/>
        <v>0</v>
      </c>
      <c r="Z49" s="63">
        <f t="shared" si="10"/>
        <v>0</v>
      </c>
      <c r="AA49" s="63">
        <f t="shared" si="11"/>
        <v>0</v>
      </c>
      <c r="AD49" s="63">
        <f>'MARA Prices'!H$21*$G49</f>
        <v>0</v>
      </c>
      <c r="AE49" s="63">
        <f>'MARA Prices'!I$21*$G49</f>
        <v>0</v>
      </c>
      <c r="AF49" s="63">
        <f>'MARA Prices'!J$21*$G49</f>
        <v>0</v>
      </c>
      <c r="AG49" s="63">
        <f>'MARA Prices'!K$21*$G49</f>
        <v>0</v>
      </c>
      <c r="AH49" s="63">
        <f>'MARA Prices'!L$21*$G49</f>
        <v>0</v>
      </c>
    </row>
    <row r="50" spans="2:34" x14ac:dyDescent="0.25">
      <c r="B50" s="60">
        <f t="shared" si="1"/>
        <v>44348</v>
      </c>
      <c r="D50" s="64">
        <f>D49*IF(AND(MONTH(B50)=1,YEAR(B50)&gt;=YEAR(Prices!$L$15)),1+Prices!$L$14,1)</f>
        <v>1.0379707031249998</v>
      </c>
      <c r="E50" s="64">
        <f>IF(B50=Inputs!$C$1,D50,E49)</f>
        <v>1.0125</v>
      </c>
      <c r="F50" s="64">
        <f>IF(AND(B50&gt;=Inputs!$C$1,B50&lt;EDATE(Inputs!$C$1,Inputs!$C$2)),E50,0)</f>
        <v>1.0125</v>
      </c>
      <c r="G50" s="64">
        <f>IF(AND(B50&gt;=Inputs!$C$1,B50&lt;EDATE(Inputs!$C$1,Inputs!$C$2)),(1+'MARA Prices'!$F$1)^IFERROR(DATEDIF('MARA Prices'!$F$2,B50,"Y")+1, 0),0)</f>
        <v>1.1025</v>
      </c>
      <c r="I50" s="63">
        <f>IF($B50=Inputs!$C$1,SUM(Outputs_Internal!$D$4, Outputs_Internal!$D$5),0)*$D50</f>
        <v>0</v>
      </c>
      <c r="J50" s="63">
        <f>IF($B50=Inputs!$C$1,SUM(Outputs_Internal!K$4, Outputs_Internal!K$5),0)*$D50</f>
        <v>0</v>
      </c>
      <c r="K50" s="63">
        <f>IF($B50=Inputs!$C$1,SUM(Outputs_Internal!L$4, Outputs_Internal!L$5),0)*$D50</f>
        <v>0</v>
      </c>
      <c r="L50" s="63">
        <f>IF($B50=Inputs!$C$1,SUM(Outputs_Internal!M$4, Outputs_Internal!$M$5),0)*$D50</f>
        <v>0</v>
      </c>
      <c r="N50" s="63">
        <f t="shared" si="0"/>
        <v>0</v>
      </c>
      <c r="P50" s="63">
        <f>$F50*Outputs_Internal!$D$64/12+N50</f>
        <v>4617</v>
      </c>
      <c r="Q50" s="63">
        <f>$F50*Outputs_Internal!K$64/12+N50*'MARA Prices'!$F$5</f>
        <v>2580.5285651408453</v>
      </c>
      <c r="R50" s="63">
        <f>$F50*Outputs_Internal!L$64/12+N50*'MARA Prices'!$F$6</f>
        <v>2005.003125</v>
      </c>
      <c r="S50" s="63">
        <f>N50*'MARA Prices'!$F$4</f>
        <v>0</v>
      </c>
      <c r="T50" s="63">
        <f>$F50*Outputs_Internal!M$64/12</f>
        <v>0</v>
      </c>
      <c r="U50" s="63">
        <f>$F50*Outputs_Internal!N$64/12</f>
        <v>31.468309859154928</v>
      </c>
      <c r="W50" s="63">
        <f t="shared" si="7"/>
        <v>13851</v>
      </c>
      <c r="X50" s="63">
        <f t="shared" si="8"/>
        <v>7741.5856954225364</v>
      </c>
      <c r="Y50" s="63">
        <f t="shared" si="9"/>
        <v>6015.0093749999996</v>
      </c>
      <c r="Z50" s="63">
        <f t="shared" si="10"/>
        <v>0</v>
      </c>
      <c r="AA50" s="63">
        <f t="shared" si="11"/>
        <v>94.404929577464785</v>
      </c>
      <c r="AD50" s="63">
        <f>'MARA Prices'!H$21*$G50</f>
        <v>0</v>
      </c>
      <c r="AE50" s="63">
        <f>'MARA Prices'!I$21*$G50</f>
        <v>0</v>
      </c>
      <c r="AF50" s="63">
        <f>'MARA Prices'!J$21*$G50</f>
        <v>0</v>
      </c>
      <c r="AG50" s="63">
        <f>'MARA Prices'!K$21*$G50</f>
        <v>0</v>
      </c>
      <c r="AH50" s="63">
        <f>'MARA Prices'!L$21*$G50</f>
        <v>0</v>
      </c>
    </row>
    <row r="51" spans="2:34" x14ac:dyDescent="0.25">
      <c r="B51" s="60">
        <f t="shared" si="1"/>
        <v>44378</v>
      </c>
      <c r="D51" s="64">
        <f>D50*IF(AND(MONTH(B51)=1,YEAR(B51)&gt;=YEAR(Prices!$L$15)),1+Prices!$L$14,1)</f>
        <v>1.0379707031249998</v>
      </c>
      <c r="E51" s="64">
        <f>IF(B51=Inputs!$C$1,D51,E50)</f>
        <v>1.0125</v>
      </c>
      <c r="F51" s="64">
        <f>IF(AND(B51&gt;=Inputs!$C$1,B51&lt;EDATE(Inputs!$C$1,Inputs!$C$2)),E51,0)</f>
        <v>1.0125</v>
      </c>
      <c r="G51" s="64">
        <f>IF(AND(B51&gt;=Inputs!$C$1,B51&lt;EDATE(Inputs!$C$1,Inputs!$C$2)),(1+'MARA Prices'!$F$1)^IFERROR(DATEDIF('MARA Prices'!$F$2,B51,"Y")+1, 0),0)</f>
        <v>1.1025</v>
      </c>
      <c r="I51" s="63">
        <f>IF($B51=Inputs!$C$1,SUM(Outputs_Internal!$D$4, Outputs_Internal!$D$5),0)*$D51</f>
        <v>0</v>
      </c>
      <c r="J51" s="63">
        <f>IF($B51=Inputs!$C$1,SUM(Outputs_Internal!K$4, Outputs_Internal!K$5),0)*$D51</f>
        <v>0</v>
      </c>
      <c r="K51" s="63">
        <f>IF($B51=Inputs!$C$1,SUM(Outputs_Internal!L$4, Outputs_Internal!L$5),0)*$D51</f>
        <v>0</v>
      </c>
      <c r="L51" s="63">
        <f>IF($B51=Inputs!$C$1,SUM(Outputs_Internal!M$4, Outputs_Internal!$M$5),0)*$D51</f>
        <v>0</v>
      </c>
      <c r="N51" s="63">
        <f t="shared" si="0"/>
        <v>0</v>
      </c>
      <c r="P51" s="63">
        <f>$F51*Outputs_Internal!$D$64/12+N51</f>
        <v>4617</v>
      </c>
      <c r="Q51" s="63">
        <f>$F51*Outputs_Internal!K$64/12+N51*'MARA Prices'!$F$5</f>
        <v>2580.5285651408453</v>
      </c>
      <c r="R51" s="63">
        <f>$F51*Outputs_Internal!L$64/12+N51*'MARA Prices'!$F$6</f>
        <v>2005.003125</v>
      </c>
      <c r="S51" s="63">
        <f>N51*'MARA Prices'!$F$4</f>
        <v>0</v>
      </c>
      <c r="T51" s="63">
        <f>$F51*Outputs_Internal!M$64/12</f>
        <v>0</v>
      </c>
      <c r="U51" s="63">
        <f>$F51*Outputs_Internal!N$64/12</f>
        <v>31.468309859154928</v>
      </c>
      <c r="W51" s="63">
        <f t="shared" si="7"/>
        <v>0</v>
      </c>
      <c r="X51" s="63">
        <f t="shared" si="8"/>
        <v>0</v>
      </c>
      <c r="Y51" s="63">
        <f t="shared" si="9"/>
        <v>0</v>
      </c>
      <c r="Z51" s="63">
        <f t="shared" si="10"/>
        <v>0</v>
      </c>
      <c r="AA51" s="63">
        <f t="shared" si="11"/>
        <v>0</v>
      </c>
      <c r="AD51" s="63">
        <f>'MARA Prices'!H$21*$G51</f>
        <v>0</v>
      </c>
      <c r="AE51" s="63">
        <f>'MARA Prices'!I$21*$G51</f>
        <v>0</v>
      </c>
      <c r="AF51" s="63">
        <f>'MARA Prices'!J$21*$G51</f>
        <v>0</v>
      </c>
      <c r="AG51" s="63">
        <f>'MARA Prices'!K$21*$G51</f>
        <v>0</v>
      </c>
      <c r="AH51" s="63">
        <f>'MARA Prices'!L$21*$G51</f>
        <v>0</v>
      </c>
    </row>
    <row r="52" spans="2:34" x14ac:dyDescent="0.25">
      <c r="B52" s="60">
        <f t="shared" si="1"/>
        <v>44409</v>
      </c>
      <c r="D52" s="64">
        <f>D51*IF(AND(MONTH(B52)=1,YEAR(B52)&gt;=YEAR(Prices!$L$15)),1+Prices!$L$14,1)</f>
        <v>1.0379707031249998</v>
      </c>
      <c r="E52" s="64">
        <f>IF(B52=Inputs!$C$1,D52,E51)</f>
        <v>1.0125</v>
      </c>
      <c r="F52" s="64">
        <f>IF(AND(B52&gt;=Inputs!$C$1,B52&lt;EDATE(Inputs!$C$1,Inputs!$C$2)),E52,0)</f>
        <v>1.0125</v>
      </c>
      <c r="G52" s="64">
        <f>IF(AND(B52&gt;=Inputs!$C$1,B52&lt;EDATE(Inputs!$C$1,Inputs!$C$2)),(1+'MARA Prices'!$F$1)^IFERROR(DATEDIF('MARA Prices'!$F$2,B52,"Y")+1, 0),0)</f>
        <v>1.1025</v>
      </c>
      <c r="I52" s="63">
        <f>IF($B52=Inputs!$C$1,SUM(Outputs_Internal!$D$4, Outputs_Internal!$D$5),0)*$D52</f>
        <v>0</v>
      </c>
      <c r="J52" s="63">
        <f>IF($B52=Inputs!$C$1,SUM(Outputs_Internal!K$4, Outputs_Internal!K$5),0)*$D52</f>
        <v>0</v>
      </c>
      <c r="K52" s="63">
        <f>IF($B52=Inputs!$C$1,SUM(Outputs_Internal!L$4, Outputs_Internal!L$5),0)*$D52</f>
        <v>0</v>
      </c>
      <c r="L52" s="63">
        <f>IF($B52=Inputs!$C$1,SUM(Outputs_Internal!M$4, Outputs_Internal!$M$5),0)*$D52</f>
        <v>0</v>
      </c>
      <c r="N52" s="63">
        <f t="shared" si="0"/>
        <v>0</v>
      </c>
      <c r="P52" s="63">
        <f>$F52*Outputs_Internal!$D$64/12+N52</f>
        <v>4617</v>
      </c>
      <c r="Q52" s="63">
        <f>$F52*Outputs_Internal!K$64/12+N52*'MARA Prices'!$F$5</f>
        <v>2580.5285651408453</v>
      </c>
      <c r="R52" s="63">
        <f>$F52*Outputs_Internal!L$64/12+N52*'MARA Prices'!$F$6</f>
        <v>2005.003125</v>
      </c>
      <c r="S52" s="63">
        <f>N52*'MARA Prices'!$F$4</f>
        <v>0</v>
      </c>
      <c r="T52" s="63">
        <f>$F52*Outputs_Internal!M$64/12</f>
        <v>0</v>
      </c>
      <c r="U52" s="63">
        <f>$F52*Outputs_Internal!N$64/12</f>
        <v>31.468309859154928</v>
      </c>
      <c r="W52" s="63">
        <f t="shared" si="7"/>
        <v>0</v>
      </c>
      <c r="X52" s="63">
        <f t="shared" si="8"/>
        <v>0</v>
      </c>
      <c r="Y52" s="63">
        <f t="shared" si="9"/>
        <v>0</v>
      </c>
      <c r="Z52" s="63">
        <f t="shared" si="10"/>
        <v>0</v>
      </c>
      <c r="AA52" s="63">
        <f t="shared" si="11"/>
        <v>0</v>
      </c>
      <c r="AD52" s="63">
        <f>'MARA Prices'!H$21*$G52</f>
        <v>0</v>
      </c>
      <c r="AE52" s="63">
        <f>'MARA Prices'!I$21*$G52</f>
        <v>0</v>
      </c>
      <c r="AF52" s="63">
        <f>'MARA Prices'!J$21*$G52</f>
        <v>0</v>
      </c>
      <c r="AG52" s="63">
        <f>'MARA Prices'!K$21*$G52</f>
        <v>0</v>
      </c>
      <c r="AH52" s="63">
        <f>'MARA Prices'!L$21*$G52</f>
        <v>0</v>
      </c>
    </row>
    <row r="53" spans="2:34" x14ac:dyDescent="0.25">
      <c r="B53" s="60">
        <f t="shared" si="1"/>
        <v>44440</v>
      </c>
      <c r="D53" s="64">
        <f>D52*IF(AND(MONTH(B53)=1,YEAR(B53)&gt;=YEAR(Prices!$L$15)),1+Prices!$L$14,1)</f>
        <v>1.0379707031249998</v>
      </c>
      <c r="E53" s="64">
        <f>IF(B53=Inputs!$C$1,D53,E52)</f>
        <v>1.0125</v>
      </c>
      <c r="F53" s="64">
        <f>IF(AND(B53&gt;=Inputs!$C$1,B53&lt;EDATE(Inputs!$C$1,Inputs!$C$2)),E53,0)</f>
        <v>1.0125</v>
      </c>
      <c r="G53" s="64">
        <f>IF(AND(B53&gt;=Inputs!$C$1,B53&lt;EDATE(Inputs!$C$1,Inputs!$C$2)),(1+'MARA Prices'!$F$1)^IFERROR(DATEDIF('MARA Prices'!$F$2,B53,"Y")+1, 0),0)</f>
        <v>1.1025</v>
      </c>
      <c r="I53" s="63">
        <f>IF($B53=Inputs!$C$1,SUM(Outputs_Internal!$D$4, Outputs_Internal!$D$5),0)*$D53</f>
        <v>0</v>
      </c>
      <c r="J53" s="63">
        <f>IF($B53=Inputs!$C$1,SUM(Outputs_Internal!K$4, Outputs_Internal!K$5),0)*$D53</f>
        <v>0</v>
      </c>
      <c r="K53" s="63">
        <f>IF($B53=Inputs!$C$1,SUM(Outputs_Internal!L$4, Outputs_Internal!L$5),0)*$D53</f>
        <v>0</v>
      </c>
      <c r="L53" s="63">
        <f>IF($B53=Inputs!$C$1,SUM(Outputs_Internal!M$4, Outputs_Internal!$M$5),0)*$D53</f>
        <v>0</v>
      </c>
      <c r="N53" s="63">
        <f t="shared" si="0"/>
        <v>0</v>
      </c>
      <c r="P53" s="63">
        <f>$F53*Outputs_Internal!$D$64/12+N53</f>
        <v>4617</v>
      </c>
      <c r="Q53" s="63">
        <f>$F53*Outputs_Internal!K$64/12+N53*'MARA Prices'!$F$5</f>
        <v>2580.5285651408453</v>
      </c>
      <c r="R53" s="63">
        <f>$F53*Outputs_Internal!L$64/12+N53*'MARA Prices'!$F$6</f>
        <v>2005.003125</v>
      </c>
      <c r="S53" s="63">
        <f>N53*'MARA Prices'!$F$4</f>
        <v>0</v>
      </c>
      <c r="T53" s="63">
        <f>$F53*Outputs_Internal!M$64/12</f>
        <v>0</v>
      </c>
      <c r="U53" s="63">
        <f>$F53*Outputs_Internal!N$64/12</f>
        <v>31.468309859154928</v>
      </c>
      <c r="W53" s="63">
        <f t="shared" si="7"/>
        <v>13851</v>
      </c>
      <c r="X53" s="63">
        <f t="shared" si="8"/>
        <v>7741.5856954225364</v>
      </c>
      <c r="Y53" s="63">
        <f t="shared" si="9"/>
        <v>6015.0093749999996</v>
      </c>
      <c r="Z53" s="63">
        <f t="shared" si="10"/>
        <v>0</v>
      </c>
      <c r="AA53" s="63">
        <f t="shared" si="11"/>
        <v>94.404929577464785</v>
      </c>
      <c r="AD53" s="63">
        <f>'MARA Prices'!H$21*$G53</f>
        <v>0</v>
      </c>
      <c r="AE53" s="63">
        <f>'MARA Prices'!I$21*$G53</f>
        <v>0</v>
      </c>
      <c r="AF53" s="63">
        <f>'MARA Prices'!J$21*$G53</f>
        <v>0</v>
      </c>
      <c r="AG53" s="63">
        <f>'MARA Prices'!K$21*$G53</f>
        <v>0</v>
      </c>
      <c r="AH53" s="63">
        <f>'MARA Prices'!L$21*$G53</f>
        <v>0</v>
      </c>
    </row>
    <row r="54" spans="2:34" x14ac:dyDescent="0.25">
      <c r="B54" s="60">
        <f t="shared" si="1"/>
        <v>44470</v>
      </c>
      <c r="D54" s="64">
        <f>D53*IF(AND(MONTH(B54)=1,YEAR(B54)&gt;=YEAR(Prices!$L$15)),1+Prices!$L$14,1)</f>
        <v>1.0379707031249998</v>
      </c>
      <c r="E54" s="64">
        <f>IF(B54=Inputs!$C$1,D54,E53)</f>
        <v>1.0125</v>
      </c>
      <c r="F54" s="64">
        <f>IF(AND(B54&gt;=Inputs!$C$1,B54&lt;EDATE(Inputs!$C$1,Inputs!$C$2)),E54,0)</f>
        <v>1.0125</v>
      </c>
      <c r="G54" s="64">
        <f>IF(AND(B54&gt;=Inputs!$C$1,B54&lt;EDATE(Inputs!$C$1,Inputs!$C$2)),(1+'MARA Prices'!$F$1)^IFERROR(DATEDIF('MARA Prices'!$F$2,B54,"Y")+1, 0),0)</f>
        <v>1.1025</v>
      </c>
      <c r="I54" s="63">
        <f>IF($B54=Inputs!$C$1,SUM(Outputs_Internal!$D$4, Outputs_Internal!$D$5),0)*$D54</f>
        <v>0</v>
      </c>
      <c r="J54" s="63">
        <f>IF($B54=Inputs!$C$1,SUM(Outputs_Internal!K$4, Outputs_Internal!K$5),0)*$D54</f>
        <v>0</v>
      </c>
      <c r="K54" s="63">
        <f>IF($B54=Inputs!$C$1,SUM(Outputs_Internal!L$4, Outputs_Internal!L$5),0)*$D54</f>
        <v>0</v>
      </c>
      <c r="L54" s="63">
        <f>IF($B54=Inputs!$C$1,SUM(Outputs_Internal!M$4, Outputs_Internal!$M$5),0)*$D54</f>
        <v>0</v>
      </c>
      <c r="N54" s="63">
        <f t="shared" si="0"/>
        <v>0</v>
      </c>
      <c r="P54" s="63">
        <f>$F54*Outputs_Internal!$D$64/12+N54</f>
        <v>4617</v>
      </c>
      <c r="Q54" s="63">
        <f>$F54*Outputs_Internal!K$64/12+N54*'MARA Prices'!$F$5</f>
        <v>2580.5285651408453</v>
      </c>
      <c r="R54" s="63">
        <f>$F54*Outputs_Internal!L$64/12+N54*'MARA Prices'!$F$6</f>
        <v>2005.003125</v>
      </c>
      <c r="S54" s="63">
        <f>N54*'MARA Prices'!$F$4</f>
        <v>0</v>
      </c>
      <c r="T54" s="63">
        <f>$F54*Outputs_Internal!M$64/12</f>
        <v>0</v>
      </c>
      <c r="U54" s="63">
        <f>$F54*Outputs_Internal!N$64/12</f>
        <v>31.468309859154928</v>
      </c>
      <c r="W54" s="63">
        <f t="shared" si="7"/>
        <v>0</v>
      </c>
      <c r="X54" s="63">
        <f t="shared" si="8"/>
        <v>0</v>
      </c>
      <c r="Y54" s="63">
        <f t="shared" si="9"/>
        <v>0</v>
      </c>
      <c r="Z54" s="63">
        <f t="shared" si="10"/>
        <v>0</v>
      </c>
      <c r="AA54" s="63">
        <f t="shared" si="11"/>
        <v>0</v>
      </c>
      <c r="AD54" s="63">
        <f>'MARA Prices'!H$21*$G54</f>
        <v>0</v>
      </c>
      <c r="AE54" s="63">
        <f>'MARA Prices'!I$21*$G54</f>
        <v>0</v>
      </c>
      <c r="AF54" s="63">
        <f>'MARA Prices'!J$21*$G54</f>
        <v>0</v>
      </c>
      <c r="AG54" s="63">
        <f>'MARA Prices'!K$21*$G54</f>
        <v>0</v>
      </c>
      <c r="AH54" s="63">
        <f>'MARA Prices'!L$21*$G54</f>
        <v>0</v>
      </c>
    </row>
    <row r="55" spans="2:34" x14ac:dyDescent="0.25">
      <c r="B55" s="60">
        <f t="shared" si="1"/>
        <v>44501</v>
      </c>
      <c r="D55" s="64">
        <f>D54*IF(AND(MONTH(B55)=1,YEAR(B55)&gt;=YEAR(Prices!$L$15)),1+Prices!$L$14,1)</f>
        <v>1.0379707031249998</v>
      </c>
      <c r="E55" s="64">
        <f>IF(B55=Inputs!$C$1,D55,E54)</f>
        <v>1.0125</v>
      </c>
      <c r="F55" s="64">
        <f>IF(AND(B55&gt;=Inputs!$C$1,B55&lt;EDATE(Inputs!$C$1,Inputs!$C$2)),E55,0)</f>
        <v>1.0125</v>
      </c>
      <c r="G55" s="64">
        <f>IF(AND(B55&gt;=Inputs!$C$1,B55&lt;EDATE(Inputs!$C$1,Inputs!$C$2)),(1+'MARA Prices'!$F$1)^IFERROR(DATEDIF('MARA Prices'!$F$2,B55,"Y")+1, 0),0)</f>
        <v>1.1025</v>
      </c>
      <c r="I55" s="63">
        <f>IF($B55=Inputs!$C$1,SUM(Outputs_Internal!$D$4, Outputs_Internal!$D$5),0)*$D55</f>
        <v>0</v>
      </c>
      <c r="J55" s="63">
        <f>IF($B55=Inputs!$C$1,SUM(Outputs_Internal!K$4, Outputs_Internal!K$5),0)*$D55</f>
        <v>0</v>
      </c>
      <c r="K55" s="63">
        <f>IF($B55=Inputs!$C$1,SUM(Outputs_Internal!L$4, Outputs_Internal!L$5),0)*$D55</f>
        <v>0</v>
      </c>
      <c r="L55" s="63">
        <f>IF($B55=Inputs!$C$1,SUM(Outputs_Internal!M$4, Outputs_Internal!$M$5),0)*$D55</f>
        <v>0</v>
      </c>
      <c r="N55" s="63">
        <f t="shared" si="0"/>
        <v>0</v>
      </c>
      <c r="P55" s="63">
        <f>$F55*Outputs_Internal!$D$64/12+N55</f>
        <v>4617</v>
      </c>
      <c r="Q55" s="63">
        <f>$F55*Outputs_Internal!K$64/12+N55*'MARA Prices'!$F$5</f>
        <v>2580.5285651408453</v>
      </c>
      <c r="R55" s="63">
        <f>$F55*Outputs_Internal!L$64/12+N55*'MARA Prices'!$F$6</f>
        <v>2005.003125</v>
      </c>
      <c r="S55" s="63">
        <f>N55*'MARA Prices'!$F$4</f>
        <v>0</v>
      </c>
      <c r="T55" s="63">
        <f>$F55*Outputs_Internal!M$64/12</f>
        <v>0</v>
      </c>
      <c r="U55" s="63">
        <f>$F55*Outputs_Internal!N$64/12</f>
        <v>31.468309859154928</v>
      </c>
      <c r="W55" s="63">
        <f t="shared" si="7"/>
        <v>0</v>
      </c>
      <c r="X55" s="63">
        <f t="shared" si="8"/>
        <v>0</v>
      </c>
      <c r="Y55" s="63">
        <f t="shared" si="9"/>
        <v>0</v>
      </c>
      <c r="Z55" s="63">
        <f t="shared" si="10"/>
        <v>0</v>
      </c>
      <c r="AA55" s="63">
        <f t="shared" si="11"/>
        <v>0</v>
      </c>
      <c r="AD55" s="63">
        <f>'MARA Prices'!H$21*$G55</f>
        <v>0</v>
      </c>
      <c r="AE55" s="63">
        <f>'MARA Prices'!I$21*$G55</f>
        <v>0</v>
      </c>
      <c r="AF55" s="63">
        <f>'MARA Prices'!J$21*$G55</f>
        <v>0</v>
      </c>
      <c r="AG55" s="63">
        <f>'MARA Prices'!K$21*$G55</f>
        <v>0</v>
      </c>
      <c r="AH55" s="63">
        <f>'MARA Prices'!L$21*$G55</f>
        <v>0</v>
      </c>
    </row>
    <row r="56" spans="2:34" x14ac:dyDescent="0.25">
      <c r="B56" s="60">
        <f t="shared" si="1"/>
        <v>44531</v>
      </c>
      <c r="D56" s="64">
        <f>D55*IF(AND(MONTH(B56)=1,YEAR(B56)&gt;=YEAR(Prices!$L$15)),1+Prices!$L$14,1)</f>
        <v>1.0379707031249998</v>
      </c>
      <c r="E56" s="64">
        <f>IF(B56=Inputs!$C$1,D56,E55)</f>
        <v>1.0125</v>
      </c>
      <c r="F56" s="64">
        <f>IF(AND(B56&gt;=Inputs!$C$1,B56&lt;EDATE(Inputs!$C$1,Inputs!$C$2)),E56,0)</f>
        <v>1.0125</v>
      </c>
      <c r="G56" s="64">
        <f>IF(AND(B56&gt;=Inputs!$C$1,B56&lt;EDATE(Inputs!$C$1,Inputs!$C$2)),(1+'MARA Prices'!$F$1)^IFERROR(DATEDIF('MARA Prices'!$F$2,B56,"Y")+1, 0),0)</f>
        <v>1.1025</v>
      </c>
      <c r="I56" s="63">
        <f>IF($B56=Inputs!$C$1,SUM(Outputs_Internal!$D$4, Outputs_Internal!$D$5),0)*$D56</f>
        <v>0</v>
      </c>
      <c r="J56" s="63">
        <f>IF($B56=Inputs!$C$1,SUM(Outputs_Internal!K$4, Outputs_Internal!K$5),0)*$D56</f>
        <v>0</v>
      </c>
      <c r="K56" s="63">
        <f>IF($B56=Inputs!$C$1,SUM(Outputs_Internal!L$4, Outputs_Internal!L$5),0)*$D56</f>
        <v>0</v>
      </c>
      <c r="L56" s="63">
        <f>IF($B56=Inputs!$C$1,SUM(Outputs_Internal!M$4, Outputs_Internal!$M$5),0)*$D56</f>
        <v>0</v>
      </c>
      <c r="N56" s="63">
        <f t="shared" si="0"/>
        <v>0</v>
      </c>
      <c r="P56" s="63">
        <f>$F56*Outputs_Internal!$D$64/12+N56</f>
        <v>4617</v>
      </c>
      <c r="Q56" s="63">
        <f>$F56*Outputs_Internal!K$64/12+N56*'MARA Prices'!$F$5</f>
        <v>2580.5285651408453</v>
      </c>
      <c r="R56" s="63">
        <f>$F56*Outputs_Internal!L$64/12+N56*'MARA Prices'!$F$6</f>
        <v>2005.003125</v>
      </c>
      <c r="S56" s="63">
        <f>N56*'MARA Prices'!$F$4</f>
        <v>0</v>
      </c>
      <c r="T56" s="63">
        <f>$F56*Outputs_Internal!M$64/12</f>
        <v>0</v>
      </c>
      <c r="U56" s="63">
        <f>$F56*Outputs_Internal!N$64/12</f>
        <v>31.468309859154928</v>
      </c>
      <c r="W56" s="63">
        <f t="shared" si="7"/>
        <v>13851</v>
      </c>
      <c r="X56" s="63">
        <f t="shared" si="8"/>
        <v>7741.5856954225364</v>
      </c>
      <c r="Y56" s="63">
        <f t="shared" si="9"/>
        <v>6015.0093749999996</v>
      </c>
      <c r="Z56" s="63">
        <f t="shared" si="10"/>
        <v>0</v>
      </c>
      <c r="AA56" s="63">
        <f t="shared" si="11"/>
        <v>94.404929577464785</v>
      </c>
      <c r="AD56" s="63">
        <f>'MARA Prices'!H$21*$G56</f>
        <v>0</v>
      </c>
      <c r="AE56" s="63">
        <f>'MARA Prices'!I$21*$G56</f>
        <v>0</v>
      </c>
      <c r="AF56" s="63">
        <f>'MARA Prices'!J$21*$G56</f>
        <v>0</v>
      </c>
      <c r="AG56" s="63">
        <f>'MARA Prices'!K$21*$G56</f>
        <v>0</v>
      </c>
      <c r="AH56" s="63">
        <f>'MARA Prices'!L$21*$G56</f>
        <v>0</v>
      </c>
    </row>
    <row r="57" spans="2:34" x14ac:dyDescent="0.25">
      <c r="B57" s="60">
        <f t="shared" si="1"/>
        <v>44562</v>
      </c>
      <c r="D57" s="64">
        <f>D56*IF(AND(MONTH(B57)=1,YEAR(B57)&gt;=YEAR(Prices!$L$15)),1+Prices!$L$14,1)</f>
        <v>1.0509453369140622</v>
      </c>
      <c r="E57" s="64">
        <f>IF(B57=Inputs!$C$1,D57,E56)</f>
        <v>1.0125</v>
      </c>
      <c r="F57" s="64">
        <f>IF(AND(B57&gt;=Inputs!$C$1,B57&lt;EDATE(Inputs!$C$1,Inputs!$C$2)),E57,0)</f>
        <v>1.0125</v>
      </c>
      <c r="G57" s="64">
        <f>IF(AND(B57&gt;=Inputs!$C$1,B57&lt;EDATE(Inputs!$C$1,Inputs!$C$2)),(1+'MARA Prices'!$F$1)^IFERROR(DATEDIF('MARA Prices'!$F$2,B57,"Y")+1, 0),0)</f>
        <v>1.1576250000000001</v>
      </c>
      <c r="I57" s="63">
        <f>IF($B57=Inputs!$C$1,SUM(Outputs_Internal!$D$4, Outputs_Internal!$D$5),0)*$D57</f>
        <v>0</v>
      </c>
      <c r="J57" s="63">
        <f>IF($B57=Inputs!$C$1,SUM(Outputs_Internal!K$4, Outputs_Internal!K$5),0)*$D57</f>
        <v>0</v>
      </c>
      <c r="K57" s="63">
        <f>IF($B57=Inputs!$C$1,SUM(Outputs_Internal!L$4, Outputs_Internal!L$5),0)*$D57</f>
        <v>0</v>
      </c>
      <c r="L57" s="63">
        <f>IF($B57=Inputs!$C$1,SUM(Outputs_Internal!M$4, Outputs_Internal!$M$5),0)*$D57</f>
        <v>0</v>
      </c>
      <c r="N57" s="63">
        <f t="shared" si="0"/>
        <v>0</v>
      </c>
      <c r="P57" s="63">
        <f>$F57*Outputs_Internal!$D$64/12+N57</f>
        <v>4617</v>
      </c>
      <c r="Q57" s="63">
        <f>$F57*Outputs_Internal!K$64/12+N57*'MARA Prices'!$F$5</f>
        <v>2580.5285651408453</v>
      </c>
      <c r="R57" s="63">
        <f>$F57*Outputs_Internal!L$64/12+N57*'MARA Prices'!$F$6</f>
        <v>2005.003125</v>
      </c>
      <c r="S57" s="63">
        <f>N57*'MARA Prices'!$F$4</f>
        <v>0</v>
      </c>
      <c r="T57" s="63">
        <f>$F57*Outputs_Internal!M$64/12</f>
        <v>0</v>
      </c>
      <c r="U57" s="63">
        <f>$F57*Outputs_Internal!N$64/12</f>
        <v>31.468309859154928</v>
      </c>
      <c r="W57" s="63">
        <f t="shared" si="7"/>
        <v>0</v>
      </c>
      <c r="X57" s="63">
        <f t="shared" si="8"/>
        <v>0</v>
      </c>
      <c r="Y57" s="63">
        <f t="shared" si="9"/>
        <v>0</v>
      </c>
      <c r="Z57" s="63">
        <f t="shared" si="10"/>
        <v>0</v>
      </c>
      <c r="AA57" s="63">
        <f t="shared" si="11"/>
        <v>0</v>
      </c>
      <c r="AD57" s="63">
        <f>'MARA Prices'!H$21*$G57</f>
        <v>0</v>
      </c>
      <c r="AE57" s="63">
        <f>'MARA Prices'!I$21*$G57</f>
        <v>0</v>
      </c>
      <c r="AF57" s="63">
        <f>'MARA Prices'!J$21*$G57</f>
        <v>0</v>
      </c>
      <c r="AG57" s="63">
        <f>'MARA Prices'!K$21*$G57</f>
        <v>0</v>
      </c>
      <c r="AH57" s="63">
        <f>'MARA Prices'!L$21*$G57</f>
        <v>0</v>
      </c>
    </row>
    <row r="58" spans="2:34" x14ac:dyDescent="0.25">
      <c r="B58" s="60">
        <f t="shared" si="1"/>
        <v>44593</v>
      </c>
      <c r="D58" s="64">
        <f>D57*IF(AND(MONTH(B58)=1,YEAR(B58)&gt;=YEAR(Prices!$L$15)),1+Prices!$L$14,1)</f>
        <v>1.0509453369140622</v>
      </c>
      <c r="E58" s="64">
        <f>IF(B58=Inputs!$C$1,D58,E57)</f>
        <v>1.0125</v>
      </c>
      <c r="F58" s="64">
        <f>IF(AND(B58&gt;=Inputs!$C$1,B58&lt;EDATE(Inputs!$C$1,Inputs!$C$2)),E58,0)</f>
        <v>1.0125</v>
      </c>
      <c r="G58" s="64">
        <f>IF(AND(B58&gt;=Inputs!$C$1,B58&lt;EDATE(Inputs!$C$1,Inputs!$C$2)),(1+'MARA Prices'!$F$1)^IFERROR(DATEDIF('MARA Prices'!$F$2,B58,"Y")+1, 0),0)</f>
        <v>1.1576250000000001</v>
      </c>
      <c r="I58" s="63">
        <f>IF($B58=Inputs!$C$1,SUM(Outputs_Internal!$D$4, Outputs_Internal!$D$5),0)*$D58</f>
        <v>0</v>
      </c>
      <c r="J58" s="63">
        <f>IF($B58=Inputs!$C$1,SUM(Outputs_Internal!K$4, Outputs_Internal!K$5),0)*$D58</f>
        <v>0</v>
      </c>
      <c r="K58" s="63">
        <f>IF($B58=Inputs!$C$1,SUM(Outputs_Internal!L$4, Outputs_Internal!L$5),0)*$D58</f>
        <v>0</v>
      </c>
      <c r="L58" s="63">
        <f>IF($B58=Inputs!$C$1,SUM(Outputs_Internal!M$4, Outputs_Internal!$M$5),0)*$D58</f>
        <v>0</v>
      </c>
      <c r="N58" s="63">
        <f t="shared" si="0"/>
        <v>0</v>
      </c>
      <c r="P58" s="63">
        <f>$F58*Outputs_Internal!$D$64/12+N58</f>
        <v>4617</v>
      </c>
      <c r="Q58" s="63">
        <f>$F58*Outputs_Internal!K$64/12+N58*'MARA Prices'!$F$5</f>
        <v>2580.5285651408453</v>
      </c>
      <c r="R58" s="63">
        <f>$F58*Outputs_Internal!L$64/12+N58*'MARA Prices'!$F$6</f>
        <v>2005.003125</v>
      </c>
      <c r="S58" s="63">
        <f>N58*'MARA Prices'!$F$4</f>
        <v>0</v>
      </c>
      <c r="T58" s="63">
        <f>$F58*Outputs_Internal!M$64/12</f>
        <v>0</v>
      </c>
      <c r="U58" s="63">
        <f>$F58*Outputs_Internal!N$64/12</f>
        <v>31.468309859154928</v>
      </c>
      <c r="W58" s="63">
        <f t="shared" si="7"/>
        <v>0</v>
      </c>
      <c r="X58" s="63">
        <f t="shared" si="8"/>
        <v>0</v>
      </c>
      <c r="Y58" s="63">
        <f t="shared" si="9"/>
        <v>0</v>
      </c>
      <c r="Z58" s="63">
        <f t="shared" si="10"/>
        <v>0</v>
      </c>
      <c r="AA58" s="63">
        <f t="shared" si="11"/>
        <v>0</v>
      </c>
      <c r="AD58" s="63">
        <f>'MARA Prices'!H$21*$G58</f>
        <v>0</v>
      </c>
      <c r="AE58" s="63">
        <f>'MARA Prices'!I$21*$G58</f>
        <v>0</v>
      </c>
      <c r="AF58" s="63">
        <f>'MARA Prices'!J$21*$G58</f>
        <v>0</v>
      </c>
      <c r="AG58" s="63">
        <f>'MARA Prices'!K$21*$G58</f>
        <v>0</v>
      </c>
      <c r="AH58" s="63">
        <f>'MARA Prices'!L$21*$G58</f>
        <v>0</v>
      </c>
    </row>
    <row r="59" spans="2:34" x14ac:dyDescent="0.25">
      <c r="B59" s="60">
        <f t="shared" si="1"/>
        <v>44621</v>
      </c>
      <c r="D59" s="64">
        <f>D58*IF(AND(MONTH(B59)=1,YEAR(B59)&gt;=YEAR(Prices!$L$15)),1+Prices!$L$14,1)</f>
        <v>1.0509453369140622</v>
      </c>
      <c r="E59" s="64">
        <f>IF(B59=Inputs!$C$1,D59,E58)</f>
        <v>1.0125</v>
      </c>
      <c r="F59" s="64">
        <f>IF(AND(B59&gt;=Inputs!$C$1,B59&lt;EDATE(Inputs!$C$1,Inputs!$C$2)),E59,0)</f>
        <v>1.0125</v>
      </c>
      <c r="G59" s="64">
        <f>IF(AND(B59&gt;=Inputs!$C$1,B59&lt;EDATE(Inputs!$C$1,Inputs!$C$2)),(1+'MARA Prices'!$F$1)^IFERROR(DATEDIF('MARA Prices'!$F$2,B59,"Y")+1, 0),0)</f>
        <v>1.1576250000000001</v>
      </c>
      <c r="I59" s="63">
        <f>IF($B59=Inputs!$C$1,SUM(Outputs_Internal!$D$4, Outputs_Internal!$D$5),0)*$D59</f>
        <v>0</v>
      </c>
      <c r="J59" s="63">
        <f>IF($B59=Inputs!$C$1,SUM(Outputs_Internal!K$4, Outputs_Internal!K$5),0)*$D59</f>
        <v>0</v>
      </c>
      <c r="K59" s="63">
        <f>IF($B59=Inputs!$C$1,SUM(Outputs_Internal!L$4, Outputs_Internal!L$5),0)*$D59</f>
        <v>0</v>
      </c>
      <c r="L59" s="63">
        <f>IF($B59=Inputs!$C$1,SUM(Outputs_Internal!M$4, Outputs_Internal!$M$5),0)*$D59</f>
        <v>0</v>
      </c>
      <c r="N59" s="63">
        <f t="shared" si="0"/>
        <v>0</v>
      </c>
      <c r="P59" s="63">
        <f>$F59*Outputs_Internal!$D$64/12+N59</f>
        <v>4617</v>
      </c>
      <c r="Q59" s="63">
        <f>$F59*Outputs_Internal!K$64/12+N59*'MARA Prices'!$F$5</f>
        <v>2580.5285651408453</v>
      </c>
      <c r="R59" s="63">
        <f>$F59*Outputs_Internal!L$64/12+N59*'MARA Prices'!$F$6</f>
        <v>2005.003125</v>
      </c>
      <c r="S59" s="63">
        <f>N59*'MARA Prices'!$F$4</f>
        <v>0</v>
      </c>
      <c r="T59" s="63">
        <f>$F59*Outputs_Internal!M$64/12</f>
        <v>0</v>
      </c>
      <c r="U59" s="63">
        <f>$F59*Outputs_Internal!N$64/12</f>
        <v>31.468309859154928</v>
      </c>
      <c r="W59" s="63">
        <f t="shared" si="7"/>
        <v>13851</v>
      </c>
      <c r="X59" s="63">
        <f t="shared" si="8"/>
        <v>7741.5856954225364</v>
      </c>
      <c r="Y59" s="63">
        <f t="shared" si="9"/>
        <v>6015.0093749999996</v>
      </c>
      <c r="Z59" s="63">
        <f t="shared" si="10"/>
        <v>0</v>
      </c>
      <c r="AA59" s="63">
        <f t="shared" si="11"/>
        <v>94.404929577464785</v>
      </c>
      <c r="AD59" s="63">
        <f>'MARA Prices'!H$21*$G59</f>
        <v>0</v>
      </c>
      <c r="AE59" s="63">
        <f>'MARA Prices'!I$21*$G59</f>
        <v>0</v>
      </c>
      <c r="AF59" s="63">
        <f>'MARA Prices'!J$21*$G59</f>
        <v>0</v>
      </c>
      <c r="AG59" s="63">
        <f>'MARA Prices'!K$21*$G59</f>
        <v>0</v>
      </c>
      <c r="AH59" s="63">
        <f>'MARA Prices'!L$21*$G59</f>
        <v>0</v>
      </c>
    </row>
    <row r="60" spans="2:34" x14ac:dyDescent="0.25">
      <c r="B60" s="60">
        <f t="shared" si="1"/>
        <v>44652</v>
      </c>
      <c r="D60" s="64">
        <f>D59*IF(AND(MONTH(B60)=1,YEAR(B60)&gt;=YEAR(Prices!$L$15)),1+Prices!$L$14,1)</f>
        <v>1.0509453369140622</v>
      </c>
      <c r="E60" s="64">
        <f>IF(B60=Inputs!$C$1,D60,E59)</f>
        <v>1.0125</v>
      </c>
      <c r="F60" s="64">
        <f>IF(AND(B60&gt;=Inputs!$C$1,B60&lt;EDATE(Inputs!$C$1,Inputs!$C$2)),E60,0)</f>
        <v>1.0125</v>
      </c>
      <c r="G60" s="64">
        <f>IF(AND(B60&gt;=Inputs!$C$1,B60&lt;EDATE(Inputs!$C$1,Inputs!$C$2)),(1+'MARA Prices'!$F$1)^IFERROR(DATEDIF('MARA Prices'!$F$2,B60,"Y")+1, 0),0)</f>
        <v>1.1576250000000001</v>
      </c>
      <c r="I60" s="63">
        <f>IF($B60=Inputs!$C$1,SUM(Outputs_Internal!$D$4, Outputs_Internal!$D$5),0)*$D60</f>
        <v>0</v>
      </c>
      <c r="J60" s="63">
        <f>IF($B60=Inputs!$C$1,SUM(Outputs_Internal!K$4, Outputs_Internal!K$5),0)*$D60</f>
        <v>0</v>
      </c>
      <c r="K60" s="63">
        <f>IF($B60=Inputs!$C$1,SUM(Outputs_Internal!L$4, Outputs_Internal!L$5),0)*$D60</f>
        <v>0</v>
      </c>
      <c r="L60" s="63">
        <f>IF($B60=Inputs!$C$1,SUM(Outputs_Internal!M$4, Outputs_Internal!$M$5),0)*$D60</f>
        <v>0</v>
      </c>
      <c r="N60" s="63">
        <f t="shared" si="0"/>
        <v>0</v>
      </c>
      <c r="P60" s="63">
        <f>$F60*Outputs_Internal!$D$64/12+N60</f>
        <v>4617</v>
      </c>
      <c r="Q60" s="63">
        <f>$F60*Outputs_Internal!K$64/12+N60*'MARA Prices'!$F$5</f>
        <v>2580.5285651408453</v>
      </c>
      <c r="R60" s="63">
        <f>$F60*Outputs_Internal!L$64/12+N60*'MARA Prices'!$F$6</f>
        <v>2005.003125</v>
      </c>
      <c r="S60" s="63">
        <f>N60*'MARA Prices'!$F$4</f>
        <v>0</v>
      </c>
      <c r="T60" s="63">
        <f>$F60*Outputs_Internal!M$64/12</f>
        <v>0</v>
      </c>
      <c r="U60" s="63">
        <f>$F60*Outputs_Internal!N$64/12</f>
        <v>31.468309859154928</v>
      </c>
      <c r="W60" s="63">
        <f t="shared" si="7"/>
        <v>0</v>
      </c>
      <c r="X60" s="63">
        <f t="shared" si="8"/>
        <v>0</v>
      </c>
      <c r="Y60" s="63">
        <f t="shared" si="9"/>
        <v>0</v>
      </c>
      <c r="Z60" s="63">
        <f t="shared" si="10"/>
        <v>0</v>
      </c>
      <c r="AA60" s="63">
        <f t="shared" si="11"/>
        <v>0</v>
      </c>
      <c r="AD60" s="63">
        <f>'MARA Prices'!H$21*$G60</f>
        <v>0</v>
      </c>
      <c r="AE60" s="63">
        <f>'MARA Prices'!I$21*$G60</f>
        <v>0</v>
      </c>
      <c r="AF60" s="63">
        <f>'MARA Prices'!J$21*$G60</f>
        <v>0</v>
      </c>
      <c r="AG60" s="63">
        <f>'MARA Prices'!K$21*$G60</f>
        <v>0</v>
      </c>
      <c r="AH60" s="63">
        <f>'MARA Prices'!L$21*$G60</f>
        <v>0</v>
      </c>
    </row>
    <row r="61" spans="2:34" x14ac:dyDescent="0.25">
      <c r="B61" s="60">
        <f t="shared" si="1"/>
        <v>44682</v>
      </c>
      <c r="D61" s="64">
        <f>D60*IF(AND(MONTH(B61)=1,YEAR(B61)&gt;=YEAR(Prices!$L$15)),1+Prices!$L$14,1)</f>
        <v>1.0509453369140622</v>
      </c>
      <c r="E61" s="64">
        <f>IF(B61=Inputs!$C$1,D61,E60)</f>
        <v>1.0125</v>
      </c>
      <c r="F61" s="64">
        <f>IF(AND(B61&gt;=Inputs!$C$1,B61&lt;EDATE(Inputs!$C$1,Inputs!$C$2)),E61,0)</f>
        <v>1.0125</v>
      </c>
      <c r="G61" s="64">
        <f>IF(AND(B61&gt;=Inputs!$C$1,B61&lt;EDATE(Inputs!$C$1,Inputs!$C$2)),(1+'MARA Prices'!$F$1)^IFERROR(DATEDIF('MARA Prices'!$F$2,B61,"Y")+1, 0),0)</f>
        <v>1.1576250000000001</v>
      </c>
      <c r="I61" s="63">
        <f>IF($B61=Inputs!$C$1,SUM(Outputs_Internal!$D$4, Outputs_Internal!$D$5),0)*$D61</f>
        <v>0</v>
      </c>
      <c r="J61" s="63">
        <f>IF($B61=Inputs!$C$1,SUM(Outputs_Internal!K$4, Outputs_Internal!K$5),0)*$D61</f>
        <v>0</v>
      </c>
      <c r="K61" s="63">
        <f>IF($B61=Inputs!$C$1,SUM(Outputs_Internal!L$4, Outputs_Internal!L$5),0)*$D61</f>
        <v>0</v>
      </c>
      <c r="L61" s="63">
        <f>IF($B61=Inputs!$C$1,SUM(Outputs_Internal!M$4, Outputs_Internal!$M$5),0)*$D61</f>
        <v>0</v>
      </c>
      <c r="N61" s="63">
        <f t="shared" si="0"/>
        <v>0</v>
      </c>
      <c r="P61" s="63">
        <f>$F61*Outputs_Internal!$D$64/12+N61</f>
        <v>4617</v>
      </c>
      <c r="Q61" s="63">
        <f>$F61*Outputs_Internal!K$64/12+N61*'MARA Prices'!$F$5</f>
        <v>2580.5285651408453</v>
      </c>
      <c r="R61" s="63">
        <f>$F61*Outputs_Internal!L$64/12+N61*'MARA Prices'!$F$6</f>
        <v>2005.003125</v>
      </c>
      <c r="S61" s="63">
        <f>N61*'MARA Prices'!$F$4</f>
        <v>0</v>
      </c>
      <c r="T61" s="63">
        <f>$F61*Outputs_Internal!M$64/12</f>
        <v>0</v>
      </c>
      <c r="U61" s="63">
        <f>$F61*Outputs_Internal!N$64/12</f>
        <v>31.468309859154928</v>
      </c>
      <c r="W61" s="63">
        <f t="shared" si="7"/>
        <v>0</v>
      </c>
      <c r="X61" s="63">
        <f t="shared" si="8"/>
        <v>0</v>
      </c>
      <c r="Y61" s="63">
        <f t="shared" si="9"/>
        <v>0</v>
      </c>
      <c r="Z61" s="63">
        <f t="shared" si="10"/>
        <v>0</v>
      </c>
      <c r="AA61" s="63">
        <f t="shared" si="11"/>
        <v>0</v>
      </c>
      <c r="AD61" s="63">
        <f>'MARA Prices'!H$21*$G61</f>
        <v>0</v>
      </c>
      <c r="AE61" s="63">
        <f>'MARA Prices'!I$21*$G61</f>
        <v>0</v>
      </c>
      <c r="AF61" s="63">
        <f>'MARA Prices'!J$21*$G61</f>
        <v>0</v>
      </c>
      <c r="AG61" s="63">
        <f>'MARA Prices'!K$21*$G61</f>
        <v>0</v>
      </c>
      <c r="AH61" s="63">
        <f>'MARA Prices'!L$21*$G61</f>
        <v>0</v>
      </c>
    </row>
    <row r="62" spans="2:34" x14ac:dyDescent="0.25">
      <c r="B62" s="60">
        <f t="shared" si="1"/>
        <v>44713</v>
      </c>
      <c r="D62" s="64">
        <f>D61*IF(AND(MONTH(B62)=1,YEAR(B62)&gt;=YEAR(Prices!$L$15)),1+Prices!$L$14,1)</f>
        <v>1.0509453369140622</v>
      </c>
      <c r="E62" s="64">
        <f>IF(B62=Inputs!$C$1,D62,E61)</f>
        <v>1.0125</v>
      </c>
      <c r="F62" s="64">
        <f>IF(AND(B62&gt;=Inputs!$C$1,B62&lt;EDATE(Inputs!$C$1,Inputs!$C$2)),E62,0)</f>
        <v>1.0125</v>
      </c>
      <c r="G62" s="64">
        <f>IF(AND(B62&gt;=Inputs!$C$1,B62&lt;EDATE(Inputs!$C$1,Inputs!$C$2)),(1+'MARA Prices'!$F$1)^IFERROR(DATEDIF('MARA Prices'!$F$2,B62,"Y")+1, 0),0)</f>
        <v>1.1576250000000001</v>
      </c>
      <c r="I62" s="63">
        <f>IF($B62=Inputs!$C$1,SUM(Outputs_Internal!$D$4, Outputs_Internal!$D$5),0)*$D62</f>
        <v>0</v>
      </c>
      <c r="J62" s="63">
        <f>IF($B62=Inputs!$C$1,SUM(Outputs_Internal!K$4, Outputs_Internal!K$5),0)*$D62</f>
        <v>0</v>
      </c>
      <c r="K62" s="63">
        <f>IF($B62=Inputs!$C$1,SUM(Outputs_Internal!L$4, Outputs_Internal!L$5),0)*$D62</f>
        <v>0</v>
      </c>
      <c r="L62" s="63">
        <f>IF($B62=Inputs!$C$1,SUM(Outputs_Internal!M$4, Outputs_Internal!$M$5),0)*$D62</f>
        <v>0</v>
      </c>
      <c r="N62" s="63">
        <f t="shared" si="0"/>
        <v>0</v>
      </c>
      <c r="P62" s="63">
        <f>$F62*Outputs_Internal!$D$64/12+N62</f>
        <v>4617</v>
      </c>
      <c r="Q62" s="63">
        <f>$F62*Outputs_Internal!K$64/12+N62*'MARA Prices'!$F$5</f>
        <v>2580.5285651408453</v>
      </c>
      <c r="R62" s="63">
        <f>$F62*Outputs_Internal!L$64/12+N62*'MARA Prices'!$F$6</f>
        <v>2005.003125</v>
      </c>
      <c r="S62" s="63">
        <f>N62*'MARA Prices'!$F$4</f>
        <v>0</v>
      </c>
      <c r="T62" s="63">
        <f>$F62*Outputs_Internal!M$64/12</f>
        <v>0</v>
      </c>
      <c r="U62" s="63">
        <f>$F62*Outputs_Internal!N$64/12</f>
        <v>31.468309859154928</v>
      </c>
      <c r="W62" s="63">
        <f t="shared" si="7"/>
        <v>13851</v>
      </c>
      <c r="X62" s="63">
        <f t="shared" si="8"/>
        <v>7741.5856954225364</v>
      </c>
      <c r="Y62" s="63">
        <f t="shared" si="9"/>
        <v>6015.0093749999996</v>
      </c>
      <c r="Z62" s="63">
        <f t="shared" si="10"/>
        <v>0</v>
      </c>
      <c r="AA62" s="63">
        <f t="shared" si="11"/>
        <v>94.404929577464785</v>
      </c>
      <c r="AD62" s="63">
        <f>'MARA Prices'!H$21*$G62</f>
        <v>0</v>
      </c>
      <c r="AE62" s="63">
        <f>'MARA Prices'!I$21*$G62</f>
        <v>0</v>
      </c>
      <c r="AF62" s="63">
        <f>'MARA Prices'!J$21*$G62</f>
        <v>0</v>
      </c>
      <c r="AG62" s="63">
        <f>'MARA Prices'!K$21*$G62</f>
        <v>0</v>
      </c>
      <c r="AH62" s="63">
        <f>'MARA Prices'!L$21*$G62</f>
        <v>0</v>
      </c>
    </row>
    <row r="63" spans="2:34" x14ac:dyDescent="0.25">
      <c r="B63" s="60">
        <f t="shared" si="1"/>
        <v>44743</v>
      </c>
      <c r="D63" s="64">
        <f>D62*IF(AND(MONTH(B63)=1,YEAR(B63)&gt;=YEAR(Prices!$L$15)),1+Prices!$L$14,1)</f>
        <v>1.0509453369140622</v>
      </c>
      <c r="E63" s="64">
        <f>IF(B63=Inputs!$C$1,D63,E62)</f>
        <v>1.0125</v>
      </c>
      <c r="F63" s="64">
        <f>IF(AND(B63&gt;=Inputs!$C$1,B63&lt;EDATE(Inputs!$C$1,Inputs!$C$2)),E63,0)</f>
        <v>0</v>
      </c>
      <c r="G63" s="64">
        <f>IF(AND(B63&gt;=Inputs!$C$1,B63&lt;EDATE(Inputs!$C$1,Inputs!$C$2)),(1+'MARA Prices'!$F$1)^IFERROR(DATEDIF('MARA Prices'!$F$2,B63,"Y")+1, 0),0)</f>
        <v>0</v>
      </c>
      <c r="I63" s="63">
        <f>IF($B63=Inputs!$C$1,SUM(Outputs_Internal!$D$4, Outputs_Internal!$D$5),0)*$D63</f>
        <v>0</v>
      </c>
      <c r="J63" s="63">
        <f>IF($B63=Inputs!$C$1,SUM(Outputs_Internal!K$4, Outputs_Internal!K$5),0)*$D63</f>
        <v>0</v>
      </c>
      <c r="K63" s="63">
        <f>IF($B63=Inputs!$C$1,SUM(Outputs_Internal!L$4, Outputs_Internal!L$5),0)*$D63</f>
        <v>0</v>
      </c>
      <c r="L63" s="63">
        <f>IF($B63=Inputs!$C$1,SUM(Outputs_Internal!M$4, Outputs_Internal!$M$5),0)*$D63</f>
        <v>0</v>
      </c>
      <c r="N63" s="63">
        <f t="shared" si="0"/>
        <v>0</v>
      </c>
      <c r="P63" s="63">
        <f>$F63*Outputs_Internal!$D$64/12+N63</f>
        <v>0</v>
      </c>
      <c r="Q63" s="63">
        <f>$F63*Outputs_Internal!K$64/12+N63*'MARA Prices'!$F$5</f>
        <v>0</v>
      </c>
      <c r="R63" s="63">
        <f>$F63*Outputs_Internal!L$64/12+N63*'MARA Prices'!$F$6</f>
        <v>0</v>
      </c>
      <c r="S63" s="63">
        <f>N63*'MARA Prices'!$F$4</f>
        <v>0</v>
      </c>
      <c r="T63" s="63">
        <f>$F63*Outputs_Internal!M$64/12</f>
        <v>0</v>
      </c>
      <c r="U63" s="63">
        <f>$F63*Outputs_Internal!N$64/12</f>
        <v>0</v>
      </c>
      <c r="W63" s="63">
        <f t="shared" si="7"/>
        <v>0</v>
      </c>
      <c r="X63" s="63">
        <f t="shared" si="8"/>
        <v>0</v>
      </c>
      <c r="Y63" s="63">
        <f t="shared" si="9"/>
        <v>0</v>
      </c>
      <c r="Z63" s="63">
        <f t="shared" si="10"/>
        <v>0</v>
      </c>
      <c r="AA63" s="63">
        <f t="shared" si="11"/>
        <v>0</v>
      </c>
      <c r="AD63" s="63">
        <f>'MARA Prices'!H$21*$G63</f>
        <v>0</v>
      </c>
      <c r="AE63" s="63">
        <f>'MARA Prices'!I$21*$G63</f>
        <v>0</v>
      </c>
      <c r="AF63" s="63">
        <f>'MARA Prices'!J$21*$G63</f>
        <v>0</v>
      </c>
      <c r="AG63" s="63">
        <f>'MARA Prices'!K$21*$G63</f>
        <v>0</v>
      </c>
      <c r="AH63" s="63">
        <f>'MARA Prices'!L$21*$G63</f>
        <v>0</v>
      </c>
    </row>
    <row r="64" spans="2:34" x14ac:dyDescent="0.25">
      <c r="B64" s="60">
        <f t="shared" si="1"/>
        <v>44774</v>
      </c>
      <c r="D64" s="64">
        <f>D63*IF(AND(MONTH(B64)=1,YEAR(B64)&gt;=YEAR(Prices!$L$15)),1+Prices!$L$14,1)</f>
        <v>1.0509453369140622</v>
      </c>
      <c r="E64" s="64">
        <f>IF(B64=Inputs!$C$1,D64,E63)</f>
        <v>1.0125</v>
      </c>
      <c r="F64" s="64">
        <f>IF(AND(B64&gt;=Inputs!$C$1,B64&lt;EDATE(Inputs!$C$1,Inputs!$C$2)),E64,0)</f>
        <v>0</v>
      </c>
      <c r="G64" s="64">
        <f>IF(AND(B64&gt;=Inputs!$C$1,B64&lt;EDATE(Inputs!$C$1,Inputs!$C$2)),(1+'MARA Prices'!$F$1)^IFERROR(DATEDIF('MARA Prices'!$F$2,B64,"Y")+1, 0),0)</f>
        <v>0</v>
      </c>
      <c r="I64" s="63">
        <f>IF($B64=Inputs!$C$1,SUM(Outputs_Internal!$D$4, Outputs_Internal!$D$5),0)*$D64</f>
        <v>0</v>
      </c>
      <c r="J64" s="63">
        <f>IF($B64=Inputs!$C$1,SUM(Outputs_Internal!K$4, Outputs_Internal!K$5),0)*$D64</f>
        <v>0</v>
      </c>
      <c r="K64" s="63">
        <f>IF($B64=Inputs!$C$1,SUM(Outputs_Internal!L$4, Outputs_Internal!L$5),0)*$D64</f>
        <v>0</v>
      </c>
      <c r="L64" s="63">
        <f>IF($B64=Inputs!$C$1,SUM(Outputs_Internal!M$4, Outputs_Internal!$M$5),0)*$D64</f>
        <v>0</v>
      </c>
      <c r="N64" s="63">
        <f t="shared" si="0"/>
        <v>0</v>
      </c>
      <c r="P64" s="63">
        <f>$F64*Outputs_Internal!$D$64/12+N64</f>
        <v>0</v>
      </c>
      <c r="Q64" s="63">
        <f>$F64*Outputs_Internal!K$64/12+N64*'MARA Prices'!$F$5</f>
        <v>0</v>
      </c>
      <c r="R64" s="63">
        <f>$F64*Outputs_Internal!L$64/12+N64*'MARA Prices'!$F$6</f>
        <v>0</v>
      </c>
      <c r="S64" s="63">
        <f>N64*'MARA Prices'!$F$4</f>
        <v>0</v>
      </c>
      <c r="T64" s="63">
        <f>$F64*Outputs_Internal!M$64/12</f>
        <v>0</v>
      </c>
      <c r="U64" s="63">
        <f>$F64*Outputs_Internal!N$64/12</f>
        <v>0</v>
      </c>
      <c r="W64" s="63">
        <f t="shared" si="7"/>
        <v>0</v>
      </c>
      <c r="X64" s="63">
        <f t="shared" si="8"/>
        <v>0</v>
      </c>
      <c r="Y64" s="63">
        <f t="shared" si="9"/>
        <v>0</v>
      </c>
      <c r="Z64" s="63">
        <f t="shared" si="10"/>
        <v>0</v>
      </c>
      <c r="AA64" s="63">
        <f t="shared" si="11"/>
        <v>0</v>
      </c>
      <c r="AD64" s="63">
        <f>'MARA Prices'!H$21*$G64</f>
        <v>0</v>
      </c>
      <c r="AE64" s="63">
        <f>'MARA Prices'!I$21*$G64</f>
        <v>0</v>
      </c>
      <c r="AF64" s="63">
        <f>'MARA Prices'!J$21*$G64</f>
        <v>0</v>
      </c>
      <c r="AG64" s="63">
        <f>'MARA Prices'!K$21*$G64</f>
        <v>0</v>
      </c>
      <c r="AH64" s="63">
        <f>'MARA Prices'!L$21*$G64</f>
        <v>0</v>
      </c>
    </row>
    <row r="65" spans="2:34" x14ac:dyDescent="0.25">
      <c r="B65" s="60">
        <f t="shared" si="1"/>
        <v>44805</v>
      </c>
      <c r="D65" s="64">
        <f>D64*IF(AND(MONTH(B65)=1,YEAR(B65)&gt;=YEAR(Prices!$L$15)),1+Prices!$L$14,1)</f>
        <v>1.0509453369140622</v>
      </c>
      <c r="E65" s="64">
        <f>IF(B65=Inputs!$C$1,D65,E64)</f>
        <v>1.0125</v>
      </c>
      <c r="F65" s="64">
        <f>IF(AND(B65&gt;=Inputs!$C$1,B65&lt;EDATE(Inputs!$C$1,Inputs!$C$2)),E65,0)</f>
        <v>0</v>
      </c>
      <c r="G65" s="64">
        <f>IF(AND(B65&gt;=Inputs!$C$1,B65&lt;EDATE(Inputs!$C$1,Inputs!$C$2)),(1+'MARA Prices'!$F$1)^IFERROR(DATEDIF('MARA Prices'!$F$2,B65,"Y")+1, 0),0)</f>
        <v>0</v>
      </c>
      <c r="I65" s="63">
        <f>IF($B65=Inputs!$C$1,SUM(Outputs_Internal!$D$4, Outputs_Internal!$D$5),0)*$D65</f>
        <v>0</v>
      </c>
      <c r="J65" s="63">
        <f>IF($B65=Inputs!$C$1,SUM(Outputs_Internal!K$4, Outputs_Internal!K$5),0)*$D65</f>
        <v>0</v>
      </c>
      <c r="K65" s="63">
        <f>IF($B65=Inputs!$C$1,SUM(Outputs_Internal!L$4, Outputs_Internal!L$5),0)*$D65</f>
        <v>0</v>
      </c>
      <c r="L65" s="63">
        <f>IF($B65=Inputs!$C$1,SUM(Outputs_Internal!M$4, Outputs_Internal!$M$5),0)*$D65</f>
        <v>0</v>
      </c>
      <c r="N65" s="63">
        <f t="shared" si="0"/>
        <v>0</v>
      </c>
      <c r="P65" s="63">
        <f>$F65*Outputs_Internal!$D$64/12+N65</f>
        <v>0</v>
      </c>
      <c r="Q65" s="63">
        <f>$F65*Outputs_Internal!K$64/12+N65*'MARA Prices'!$F$5</f>
        <v>0</v>
      </c>
      <c r="R65" s="63">
        <f>$F65*Outputs_Internal!L$64/12+N65*'MARA Prices'!$F$6</f>
        <v>0</v>
      </c>
      <c r="S65" s="63">
        <f>N65*'MARA Prices'!$F$4</f>
        <v>0</v>
      </c>
      <c r="T65" s="63">
        <f>$F65*Outputs_Internal!M$64/12</f>
        <v>0</v>
      </c>
      <c r="U65" s="63">
        <f>$F65*Outputs_Internal!N$64/12</f>
        <v>0</v>
      </c>
      <c r="W65" s="63">
        <f t="shared" si="7"/>
        <v>0</v>
      </c>
      <c r="X65" s="63">
        <f t="shared" si="8"/>
        <v>0</v>
      </c>
      <c r="Y65" s="63">
        <f t="shared" si="9"/>
        <v>0</v>
      </c>
      <c r="Z65" s="63">
        <f t="shared" si="10"/>
        <v>0</v>
      </c>
      <c r="AA65" s="63">
        <f t="shared" si="11"/>
        <v>0</v>
      </c>
      <c r="AD65" s="63">
        <f>'MARA Prices'!H$21*$G65</f>
        <v>0</v>
      </c>
      <c r="AE65" s="63">
        <f>'MARA Prices'!I$21*$G65</f>
        <v>0</v>
      </c>
      <c r="AF65" s="63">
        <f>'MARA Prices'!J$21*$G65</f>
        <v>0</v>
      </c>
      <c r="AG65" s="63">
        <f>'MARA Prices'!K$21*$G65</f>
        <v>0</v>
      </c>
      <c r="AH65" s="63">
        <f>'MARA Prices'!L$21*$G65</f>
        <v>0</v>
      </c>
    </row>
    <row r="66" spans="2:34" x14ac:dyDescent="0.25">
      <c r="B66" s="60">
        <f t="shared" si="1"/>
        <v>44835</v>
      </c>
      <c r="D66" s="64">
        <f>D65*IF(AND(MONTH(B66)=1,YEAR(B66)&gt;=YEAR(Prices!$L$15)),1+Prices!$L$14,1)</f>
        <v>1.0509453369140622</v>
      </c>
      <c r="E66" s="64">
        <f>IF(B66=Inputs!$C$1,D66,E65)</f>
        <v>1.0125</v>
      </c>
      <c r="F66" s="64">
        <f>IF(AND(B66&gt;=Inputs!$C$1,B66&lt;EDATE(Inputs!$C$1,Inputs!$C$2)),E66,0)</f>
        <v>0</v>
      </c>
      <c r="G66" s="64">
        <f>IF(AND(B66&gt;=Inputs!$C$1,B66&lt;EDATE(Inputs!$C$1,Inputs!$C$2)),(1+'MARA Prices'!$F$1)^IFERROR(DATEDIF('MARA Prices'!$F$2,B66,"Y")+1, 0),0)</f>
        <v>0</v>
      </c>
      <c r="I66" s="63">
        <f>IF($B66=Inputs!$C$1,SUM(Outputs_Internal!$D$4, Outputs_Internal!$D$5),0)*$D66</f>
        <v>0</v>
      </c>
      <c r="J66" s="63">
        <f>IF($B66=Inputs!$C$1,SUM(Outputs_Internal!K$4, Outputs_Internal!K$5),0)*$D66</f>
        <v>0</v>
      </c>
      <c r="K66" s="63">
        <f>IF($B66=Inputs!$C$1,SUM(Outputs_Internal!L$4, Outputs_Internal!L$5),0)*$D66</f>
        <v>0</v>
      </c>
      <c r="L66" s="63">
        <f>IF($B66=Inputs!$C$1,SUM(Outputs_Internal!M$4, Outputs_Internal!$M$5),0)*$D66</f>
        <v>0</v>
      </c>
      <c r="N66" s="63">
        <f t="shared" si="0"/>
        <v>0</v>
      </c>
      <c r="P66" s="63">
        <f>$F66*Outputs_Internal!$D$64/12+N66</f>
        <v>0</v>
      </c>
      <c r="Q66" s="63">
        <f>$F66*Outputs_Internal!K$64/12+N66*'MARA Prices'!$F$5</f>
        <v>0</v>
      </c>
      <c r="R66" s="63">
        <f>$F66*Outputs_Internal!L$64/12+N66*'MARA Prices'!$F$6</f>
        <v>0</v>
      </c>
      <c r="S66" s="63">
        <f>N66*'MARA Prices'!$F$4</f>
        <v>0</v>
      </c>
      <c r="T66" s="63">
        <f>$F66*Outputs_Internal!M$64/12</f>
        <v>0</v>
      </c>
      <c r="U66" s="63">
        <f>$F66*Outputs_Internal!N$64/12</f>
        <v>0</v>
      </c>
      <c r="W66" s="63">
        <f t="shared" si="7"/>
        <v>0</v>
      </c>
      <c r="X66" s="63">
        <f t="shared" si="8"/>
        <v>0</v>
      </c>
      <c r="Y66" s="63">
        <f t="shared" si="9"/>
        <v>0</v>
      </c>
      <c r="Z66" s="63">
        <f t="shared" si="10"/>
        <v>0</v>
      </c>
      <c r="AA66" s="63">
        <f t="shared" si="11"/>
        <v>0</v>
      </c>
      <c r="AD66" s="63">
        <f>'MARA Prices'!H$21*$G66</f>
        <v>0</v>
      </c>
      <c r="AE66" s="63">
        <f>'MARA Prices'!I$21*$G66</f>
        <v>0</v>
      </c>
      <c r="AF66" s="63">
        <f>'MARA Prices'!J$21*$G66</f>
        <v>0</v>
      </c>
      <c r="AG66" s="63">
        <f>'MARA Prices'!K$21*$G66</f>
        <v>0</v>
      </c>
      <c r="AH66" s="63">
        <f>'MARA Prices'!L$21*$G66</f>
        <v>0</v>
      </c>
    </row>
    <row r="67" spans="2:34" x14ac:dyDescent="0.25">
      <c r="B67" s="60">
        <f t="shared" si="1"/>
        <v>44866</v>
      </c>
      <c r="D67" s="64">
        <f>D66*IF(AND(MONTH(B67)=1,YEAR(B67)&gt;=YEAR(Prices!$L$15)),1+Prices!$L$14,1)</f>
        <v>1.0509453369140622</v>
      </c>
      <c r="E67" s="64">
        <f>IF(B67=Inputs!$C$1,D67,E66)</f>
        <v>1.0125</v>
      </c>
      <c r="F67" s="64">
        <f>IF(AND(B67&gt;=Inputs!$C$1,B67&lt;EDATE(Inputs!$C$1,Inputs!$C$2)),E67,0)</f>
        <v>0</v>
      </c>
      <c r="G67" s="64">
        <f>IF(AND(B67&gt;=Inputs!$C$1,B67&lt;EDATE(Inputs!$C$1,Inputs!$C$2)),(1+'MARA Prices'!$F$1)^IFERROR(DATEDIF('MARA Prices'!$F$2,B67,"Y")+1, 0),0)</f>
        <v>0</v>
      </c>
      <c r="I67" s="63">
        <f>IF($B67=Inputs!$C$1,SUM(Outputs_Internal!$D$4, Outputs_Internal!$D$5),0)*$D67</f>
        <v>0</v>
      </c>
      <c r="J67" s="63">
        <f>IF($B67=Inputs!$C$1,SUM(Outputs_Internal!K$4, Outputs_Internal!K$5),0)*$D67</f>
        <v>0</v>
      </c>
      <c r="K67" s="63">
        <f>IF($B67=Inputs!$C$1,SUM(Outputs_Internal!L$4, Outputs_Internal!L$5),0)*$D67</f>
        <v>0</v>
      </c>
      <c r="L67" s="63">
        <f>IF($B67=Inputs!$C$1,SUM(Outputs_Internal!M$4, Outputs_Internal!$M$5),0)*$D67</f>
        <v>0</v>
      </c>
      <c r="N67" s="63">
        <f t="shared" si="0"/>
        <v>0</v>
      </c>
      <c r="P67" s="63">
        <f>$F67*Outputs_Internal!$D$64/12+N67</f>
        <v>0</v>
      </c>
      <c r="Q67" s="63">
        <f>$F67*Outputs_Internal!K$64/12+N67*'MARA Prices'!$F$5</f>
        <v>0</v>
      </c>
      <c r="R67" s="63">
        <f>$F67*Outputs_Internal!L$64/12+N67*'MARA Prices'!$F$6</f>
        <v>0</v>
      </c>
      <c r="S67" s="63">
        <f>N67*'MARA Prices'!$F$4</f>
        <v>0</v>
      </c>
      <c r="T67" s="63">
        <f>$F67*Outputs_Internal!M$64/12</f>
        <v>0</v>
      </c>
      <c r="U67" s="63">
        <f>$F67*Outputs_Internal!N$64/12</f>
        <v>0</v>
      </c>
      <c r="W67" s="63">
        <f t="shared" si="7"/>
        <v>0</v>
      </c>
      <c r="X67" s="63">
        <f t="shared" si="8"/>
        <v>0</v>
      </c>
      <c r="Y67" s="63">
        <f t="shared" si="9"/>
        <v>0</v>
      </c>
      <c r="Z67" s="63">
        <f t="shared" si="10"/>
        <v>0</v>
      </c>
      <c r="AA67" s="63">
        <f t="shared" si="11"/>
        <v>0</v>
      </c>
      <c r="AD67" s="63">
        <f>'MARA Prices'!H$21*$G67</f>
        <v>0</v>
      </c>
      <c r="AE67" s="63">
        <f>'MARA Prices'!I$21*$G67</f>
        <v>0</v>
      </c>
      <c r="AF67" s="63">
        <f>'MARA Prices'!J$21*$G67</f>
        <v>0</v>
      </c>
      <c r="AG67" s="63">
        <f>'MARA Prices'!K$21*$G67</f>
        <v>0</v>
      </c>
      <c r="AH67" s="63">
        <f>'MARA Prices'!L$21*$G67</f>
        <v>0</v>
      </c>
    </row>
    <row r="68" spans="2:34" x14ac:dyDescent="0.25">
      <c r="B68" s="60">
        <f t="shared" si="1"/>
        <v>44896</v>
      </c>
      <c r="D68" s="64">
        <f>D67*IF(AND(MONTH(B68)=1,YEAR(B68)&gt;=YEAR(Prices!$L$15)),1+Prices!$L$14,1)</f>
        <v>1.0509453369140622</v>
      </c>
      <c r="E68" s="64">
        <f>IF(B68=Inputs!$C$1,D68,E67)</f>
        <v>1.0125</v>
      </c>
      <c r="F68" s="64">
        <f>IF(AND(B68&gt;=Inputs!$C$1,B68&lt;EDATE(Inputs!$C$1,Inputs!$C$2)),E68,0)</f>
        <v>0</v>
      </c>
      <c r="G68" s="64">
        <f>IF(AND(B68&gt;=Inputs!$C$1,B68&lt;EDATE(Inputs!$C$1,Inputs!$C$2)),(1+'MARA Prices'!$F$1)^IFERROR(DATEDIF('MARA Prices'!$F$2,B68,"Y")+1, 0),0)</f>
        <v>0</v>
      </c>
      <c r="I68" s="63">
        <f>IF($B68=Inputs!$C$1,SUM(Outputs_Internal!$D$4, Outputs_Internal!$D$5),0)*$D68</f>
        <v>0</v>
      </c>
      <c r="J68" s="63">
        <f>IF($B68=Inputs!$C$1,SUM(Outputs_Internal!K$4, Outputs_Internal!K$5),0)*$D68</f>
        <v>0</v>
      </c>
      <c r="K68" s="63">
        <f>IF($B68=Inputs!$C$1,SUM(Outputs_Internal!L$4, Outputs_Internal!L$5),0)*$D68</f>
        <v>0</v>
      </c>
      <c r="L68" s="63">
        <f>IF($B68=Inputs!$C$1,SUM(Outputs_Internal!M$4, Outputs_Internal!$M$5),0)*$D68</f>
        <v>0</v>
      </c>
      <c r="N68" s="63">
        <f t="shared" ref="N68:N94" si="12">SUM(AD68:AH68)</f>
        <v>0</v>
      </c>
      <c r="P68" s="63">
        <f>$F68*Outputs_Internal!$D$64/12+N68</f>
        <v>0</v>
      </c>
      <c r="Q68" s="63">
        <f>$F68*Outputs_Internal!K$64/12+N68*'MARA Prices'!$F$5</f>
        <v>0</v>
      </c>
      <c r="R68" s="63">
        <f>$F68*Outputs_Internal!L$64/12+N68*'MARA Prices'!$F$6</f>
        <v>0</v>
      </c>
      <c r="S68" s="63">
        <f>N68*'MARA Prices'!$F$4</f>
        <v>0</v>
      </c>
      <c r="T68" s="63">
        <f>$F68*Outputs_Internal!M$64/12</f>
        <v>0</v>
      </c>
      <c r="U68" s="63">
        <f>$F68*Outputs_Internal!N$64/12</f>
        <v>0</v>
      </c>
      <c r="W68" s="63">
        <f t="shared" si="7"/>
        <v>0</v>
      </c>
      <c r="X68" s="63">
        <f t="shared" si="8"/>
        <v>0</v>
      </c>
      <c r="Y68" s="63">
        <f t="shared" si="9"/>
        <v>0</v>
      </c>
      <c r="Z68" s="63">
        <f t="shared" si="10"/>
        <v>0</v>
      </c>
      <c r="AA68" s="63">
        <f t="shared" si="11"/>
        <v>0</v>
      </c>
      <c r="AD68" s="63">
        <f>'MARA Prices'!H$21*$G68</f>
        <v>0</v>
      </c>
      <c r="AE68" s="63">
        <f>'MARA Prices'!I$21*$G68</f>
        <v>0</v>
      </c>
      <c r="AF68" s="63">
        <f>'MARA Prices'!J$21*$G68</f>
        <v>0</v>
      </c>
      <c r="AG68" s="63">
        <f>'MARA Prices'!K$21*$G68</f>
        <v>0</v>
      </c>
      <c r="AH68" s="63">
        <f>'MARA Prices'!L$21*$G68</f>
        <v>0</v>
      </c>
    </row>
    <row r="69" spans="2:34" x14ac:dyDescent="0.25">
      <c r="B69" s="60">
        <f t="shared" ref="B69:B94" si="13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1.0125</v>
      </c>
      <c r="F69" s="64">
        <f>IF(AND(B69&gt;=Inputs!$C$1,B69&lt;EDATE(Inputs!$C$1,Inputs!$C$2)),E69,0)</f>
        <v>0</v>
      </c>
      <c r="G69" s="64">
        <f>IF(AND(B69&gt;=Inputs!$C$1,B69&lt;EDATE(Inputs!$C$1,Inputs!$C$2)),(1+'MARA Prices'!$F$1)^IFERROR(DATEDIF('MARA Prices'!$F$2,B69,"Y")+1, 0),0)</f>
        <v>0</v>
      </c>
      <c r="I69" s="63">
        <f>IF($B69=Inputs!$C$1,SUM(Outputs_Internal!$D$4, Outputs_Internal!$D$5),0)*$D69</f>
        <v>0</v>
      </c>
      <c r="J69" s="63">
        <f>IF($B69=Inputs!$C$1,SUM(Outputs_Internal!K$4, Outputs_Internal!K$5),0)*$D69</f>
        <v>0</v>
      </c>
      <c r="K69" s="63">
        <f>IF($B69=Inputs!$C$1,SUM(Outputs_Internal!L$4, Outputs_Internal!L$5),0)*$D69</f>
        <v>0</v>
      </c>
      <c r="L69" s="63">
        <f>IF($B69=Inputs!$C$1,SUM(Outputs_Internal!M$4, Outputs_Internal!$M$5),0)*$D69</f>
        <v>0</v>
      </c>
      <c r="N69" s="63">
        <f t="shared" si="12"/>
        <v>0</v>
      </c>
      <c r="P69" s="63">
        <f>$F69*Outputs_Internal!$D$64/12+N69</f>
        <v>0</v>
      </c>
      <c r="Q69" s="63">
        <f>$F69*Outputs_Internal!K$64/12+N69*'MARA Prices'!$F$5</f>
        <v>0</v>
      </c>
      <c r="R69" s="63">
        <f>$F69*Outputs_Internal!L$64/12+N69*'MARA Prices'!$F$6</f>
        <v>0</v>
      </c>
      <c r="S69" s="63">
        <f>N69*'MARA Prices'!$F$4</f>
        <v>0</v>
      </c>
      <c r="T69" s="63">
        <f>$F69*Outputs_Internal!M$64/12</f>
        <v>0</v>
      </c>
      <c r="U69" s="63">
        <f>$F69*Outputs_Internal!N$64/12</f>
        <v>0</v>
      </c>
      <c r="W69" s="63">
        <f t="shared" ref="W69:W94" si="14">IF(MOD(MONTH($B69),3)=0,SUM(I67:I69,P67:P69),0)</f>
        <v>0</v>
      </c>
      <c r="X69" s="63">
        <f t="shared" ref="X69:X94" si="15">IF(MOD(MONTH($B69),3)=0,SUM(J67:J69,Q67:Q69),0)</f>
        <v>0</v>
      </c>
      <c r="Y69" s="63">
        <f t="shared" ref="Y69:Y94" si="16">IF(MOD(MONTH($B69),3)=0,SUM(K67:K69,R67:R69),0)</f>
        <v>0</v>
      </c>
      <c r="Z69" s="63">
        <f t="shared" ref="Z69:Z94" si="17">IF(MOD(MONTH($B69),3)=0,SUM(L67:L69,T67:T69),0)</f>
        <v>0</v>
      </c>
      <c r="AA69" s="63">
        <f t="shared" ref="AA69" si="18">IF(MOD(MONTH($B69),3)=0,SUM(U67:U69,S67:S69),0)</f>
        <v>0</v>
      </c>
      <c r="AD69" s="63">
        <f>'MARA Prices'!H$21*$G69</f>
        <v>0</v>
      </c>
      <c r="AE69" s="63">
        <f>'MARA Prices'!I$21*$G69</f>
        <v>0</v>
      </c>
      <c r="AF69" s="63">
        <f>'MARA Prices'!J$21*$G69</f>
        <v>0</v>
      </c>
      <c r="AG69" s="63">
        <f>'MARA Prices'!K$21*$G69</f>
        <v>0</v>
      </c>
      <c r="AH69" s="63">
        <f>'MARA Prices'!L$21*$G69</f>
        <v>0</v>
      </c>
    </row>
    <row r="70" spans="2:34" x14ac:dyDescent="0.25">
      <c r="B70" s="60">
        <f t="shared" si="13"/>
        <v>44958</v>
      </c>
      <c r="D70" s="64">
        <f>D69*IF(AND(MONTH(B70)=1,YEAR(B70)&gt;=YEAR(Prices!$L$15)),1+Prices!$L$14,1)</f>
        <v>1.0640821536254879</v>
      </c>
      <c r="E70" s="64">
        <f>IF(B70=Inputs!$C$1,D70,E69)</f>
        <v>1.0125</v>
      </c>
      <c r="F70" s="64">
        <f>IF(AND(B70&gt;=Inputs!$C$1,B70&lt;EDATE(Inputs!$C$1,Inputs!$C$2)),E70,0)</f>
        <v>0</v>
      </c>
      <c r="G70" s="64">
        <f>IF(AND(B70&gt;=Inputs!$C$1,B70&lt;EDATE(Inputs!$C$1,Inputs!$C$2)),(1+'MARA Prices'!$F$1)^IFERROR(DATEDIF('MARA Prices'!$F$2,B70,"Y")+1, 0),0)</f>
        <v>0</v>
      </c>
      <c r="I70" s="63">
        <f>IF($B70=Inputs!$C$1,SUM(Outputs_Internal!$D$4, Outputs_Internal!$D$5),0)*$D70</f>
        <v>0</v>
      </c>
      <c r="J70" s="63">
        <f>IF($B70=Inputs!$C$1,SUM(Outputs_Internal!K$4, Outputs_Internal!K$5),0)*$D70</f>
        <v>0</v>
      </c>
      <c r="K70" s="63">
        <f>IF($B70=Inputs!$C$1,SUM(Outputs_Internal!L$4, Outputs_Internal!L$5),0)*$D70</f>
        <v>0</v>
      </c>
      <c r="L70" s="63">
        <f>IF($B70=Inputs!$C$1,SUM(Outputs_Internal!M$4, Outputs_Internal!$M$5),0)*$D70</f>
        <v>0</v>
      </c>
      <c r="N70" s="63">
        <f t="shared" si="12"/>
        <v>0</v>
      </c>
      <c r="P70" s="63">
        <f>$F70*Outputs_Internal!$D$64/12+N70</f>
        <v>0</v>
      </c>
      <c r="Q70" s="63">
        <f>$F70*Outputs_Internal!K$64/12+N70*'MARA Prices'!$F$5</f>
        <v>0</v>
      </c>
      <c r="R70" s="63">
        <f>$F70*Outputs_Internal!L$64/12+N70*'MARA Prices'!$F$6</f>
        <v>0</v>
      </c>
      <c r="S70" s="63">
        <f>N70*'MARA Prices'!$F$4</f>
        <v>0</v>
      </c>
      <c r="T70" s="63">
        <f>$F70*Outputs_Internal!M$64/12</f>
        <v>0</v>
      </c>
      <c r="U70" s="63">
        <f>$F70*Outputs_Internal!N$64/12</f>
        <v>0</v>
      </c>
      <c r="W70" s="63">
        <f t="shared" si="14"/>
        <v>0</v>
      </c>
      <c r="X70" s="63">
        <f t="shared" si="15"/>
        <v>0</v>
      </c>
      <c r="Y70" s="63">
        <f t="shared" si="16"/>
        <v>0</v>
      </c>
      <c r="Z70" s="63">
        <f t="shared" si="17"/>
        <v>0</v>
      </c>
      <c r="AA70" s="63">
        <f t="shared" ref="AA70:AA94" si="19">IF(MOD(MONTH($B70),3)=0,SUM(U68:U70,S68:S70),0)</f>
        <v>0</v>
      </c>
      <c r="AD70" s="63">
        <f>'MARA Prices'!H$21*$G70</f>
        <v>0</v>
      </c>
      <c r="AE70" s="63">
        <f>'MARA Prices'!I$21*$G70</f>
        <v>0</v>
      </c>
      <c r="AF70" s="63">
        <f>'MARA Prices'!J$21*$G70</f>
        <v>0</v>
      </c>
      <c r="AG70" s="63">
        <f>'MARA Prices'!K$21*$G70</f>
        <v>0</v>
      </c>
      <c r="AH70" s="63">
        <f>'MARA Prices'!L$21*$G70</f>
        <v>0</v>
      </c>
    </row>
    <row r="71" spans="2:34" x14ac:dyDescent="0.25">
      <c r="B71" s="60">
        <f t="shared" si="13"/>
        <v>44986</v>
      </c>
      <c r="D71" s="64">
        <f>D70*IF(AND(MONTH(B71)=1,YEAR(B71)&gt;=YEAR(Prices!$L$15)),1+Prices!$L$14,1)</f>
        <v>1.0640821536254879</v>
      </c>
      <c r="E71" s="64">
        <f>IF(B71=Inputs!$C$1,D71,E70)</f>
        <v>1.0125</v>
      </c>
      <c r="F71" s="64">
        <f>IF(AND(B71&gt;=Inputs!$C$1,B71&lt;EDATE(Inputs!$C$1,Inputs!$C$2)),E71,0)</f>
        <v>0</v>
      </c>
      <c r="G71" s="64">
        <f>IF(AND(B71&gt;=Inputs!$C$1,B71&lt;EDATE(Inputs!$C$1,Inputs!$C$2)),(1+'MARA Prices'!$F$1)^IFERROR(DATEDIF('MARA Prices'!$F$2,B71,"Y")+1, 0),0)</f>
        <v>0</v>
      </c>
      <c r="I71" s="63">
        <f>IF($B71=Inputs!$C$1,SUM(Outputs_Internal!$D$4, Outputs_Internal!$D$5),0)*$D71</f>
        <v>0</v>
      </c>
      <c r="J71" s="63">
        <f>IF($B71=Inputs!$C$1,SUM(Outputs_Internal!K$4, Outputs_Internal!K$5),0)*$D71</f>
        <v>0</v>
      </c>
      <c r="K71" s="63">
        <f>IF($B71=Inputs!$C$1,SUM(Outputs_Internal!L$4, Outputs_Internal!L$5),0)*$D71</f>
        <v>0</v>
      </c>
      <c r="L71" s="63">
        <f>IF($B71=Inputs!$C$1,SUM(Outputs_Internal!M$4, Outputs_Internal!$M$5),0)*$D71</f>
        <v>0</v>
      </c>
      <c r="N71" s="63">
        <f t="shared" si="12"/>
        <v>0</v>
      </c>
      <c r="P71" s="63">
        <f>$F71*Outputs_Internal!$D$64/12+N71</f>
        <v>0</v>
      </c>
      <c r="Q71" s="63">
        <f>$F71*Outputs_Internal!K$64/12+N71*'MARA Prices'!$F$5</f>
        <v>0</v>
      </c>
      <c r="R71" s="63">
        <f>$F71*Outputs_Internal!L$64/12+N71*'MARA Prices'!$F$6</f>
        <v>0</v>
      </c>
      <c r="S71" s="63">
        <f>N71*'MARA Prices'!$F$4</f>
        <v>0</v>
      </c>
      <c r="T71" s="63">
        <f>$F71*Outputs_Internal!M$64/12</f>
        <v>0</v>
      </c>
      <c r="U71" s="63">
        <f>$F71*Outputs_Internal!N$64/12</f>
        <v>0</v>
      </c>
      <c r="W71" s="63">
        <f t="shared" si="14"/>
        <v>0</v>
      </c>
      <c r="X71" s="63">
        <f t="shared" si="15"/>
        <v>0</v>
      </c>
      <c r="Y71" s="63">
        <f t="shared" si="16"/>
        <v>0</v>
      </c>
      <c r="Z71" s="63">
        <f t="shared" si="17"/>
        <v>0</v>
      </c>
      <c r="AA71" s="63">
        <f t="shared" si="19"/>
        <v>0</v>
      </c>
      <c r="AD71" s="63">
        <f>'MARA Prices'!H$21*$G71</f>
        <v>0</v>
      </c>
      <c r="AE71" s="63">
        <f>'MARA Prices'!I$21*$G71</f>
        <v>0</v>
      </c>
      <c r="AF71" s="63">
        <f>'MARA Prices'!J$21*$G71</f>
        <v>0</v>
      </c>
      <c r="AG71" s="63">
        <f>'MARA Prices'!K$21*$G71</f>
        <v>0</v>
      </c>
      <c r="AH71" s="63">
        <f>'MARA Prices'!L$21*$G71</f>
        <v>0</v>
      </c>
    </row>
    <row r="72" spans="2:34" x14ac:dyDescent="0.25">
      <c r="B72" s="60">
        <f t="shared" si="13"/>
        <v>45017</v>
      </c>
      <c r="D72" s="64">
        <f>D71*IF(AND(MONTH(B72)=1,YEAR(B72)&gt;=YEAR(Prices!$L$15)),1+Prices!$L$14,1)</f>
        <v>1.0640821536254879</v>
      </c>
      <c r="E72" s="64">
        <f>IF(B72=Inputs!$C$1,D72,E71)</f>
        <v>1.0125</v>
      </c>
      <c r="F72" s="64">
        <f>IF(AND(B72&gt;=Inputs!$C$1,B72&lt;EDATE(Inputs!$C$1,Inputs!$C$2)),E72,0)</f>
        <v>0</v>
      </c>
      <c r="G72" s="64">
        <f>IF(AND(B72&gt;=Inputs!$C$1,B72&lt;EDATE(Inputs!$C$1,Inputs!$C$2)),(1+'MARA Prices'!$F$1)^IFERROR(DATEDIF('MARA Prices'!$F$2,B72,"Y")+1, 0),0)</f>
        <v>0</v>
      </c>
      <c r="I72" s="63">
        <f>IF($B72=Inputs!$C$1,SUM(Outputs_Internal!$D$4, Outputs_Internal!$D$5),0)*$D72</f>
        <v>0</v>
      </c>
      <c r="J72" s="63">
        <f>IF($B72=Inputs!$C$1,SUM(Outputs_Internal!K$4, Outputs_Internal!K$5),0)*$D72</f>
        <v>0</v>
      </c>
      <c r="K72" s="63">
        <f>IF($B72=Inputs!$C$1,SUM(Outputs_Internal!L$4, Outputs_Internal!L$5),0)*$D72</f>
        <v>0</v>
      </c>
      <c r="L72" s="63">
        <f>IF($B72=Inputs!$C$1,SUM(Outputs_Internal!M$4, Outputs_Internal!$M$5),0)*$D72</f>
        <v>0</v>
      </c>
      <c r="N72" s="63">
        <f t="shared" si="12"/>
        <v>0</v>
      </c>
      <c r="P72" s="63">
        <f>$F72*Outputs_Internal!$D$64/12+N72</f>
        <v>0</v>
      </c>
      <c r="Q72" s="63">
        <f>$F72*Outputs_Internal!K$64/12+N72*'MARA Prices'!$F$5</f>
        <v>0</v>
      </c>
      <c r="R72" s="63">
        <f>$F72*Outputs_Internal!L$64/12+N72*'MARA Prices'!$F$6</f>
        <v>0</v>
      </c>
      <c r="S72" s="63">
        <f>N72*'MARA Prices'!$F$4</f>
        <v>0</v>
      </c>
      <c r="T72" s="63">
        <f>$F72*Outputs_Internal!M$64/12</f>
        <v>0</v>
      </c>
      <c r="U72" s="63">
        <f>$F72*Outputs_Internal!N$64/12</f>
        <v>0</v>
      </c>
      <c r="W72" s="63">
        <f t="shared" si="14"/>
        <v>0</v>
      </c>
      <c r="X72" s="63">
        <f t="shared" si="15"/>
        <v>0</v>
      </c>
      <c r="Y72" s="63">
        <f t="shared" si="16"/>
        <v>0</v>
      </c>
      <c r="Z72" s="63">
        <f t="shared" si="17"/>
        <v>0</v>
      </c>
      <c r="AA72" s="63">
        <f t="shared" si="19"/>
        <v>0</v>
      </c>
      <c r="AD72" s="63">
        <f>'MARA Prices'!H$21*$G72</f>
        <v>0</v>
      </c>
      <c r="AE72" s="63">
        <f>'MARA Prices'!I$21*$G72</f>
        <v>0</v>
      </c>
      <c r="AF72" s="63">
        <f>'MARA Prices'!J$21*$G72</f>
        <v>0</v>
      </c>
      <c r="AG72" s="63">
        <f>'MARA Prices'!K$21*$G72</f>
        <v>0</v>
      </c>
      <c r="AH72" s="63">
        <f>'MARA Prices'!L$21*$G72</f>
        <v>0</v>
      </c>
    </row>
    <row r="73" spans="2:34" x14ac:dyDescent="0.25">
      <c r="B73" s="60">
        <f t="shared" si="13"/>
        <v>45047</v>
      </c>
      <c r="D73" s="64">
        <f>D72*IF(AND(MONTH(B73)=1,YEAR(B73)&gt;=YEAR(Prices!$L$15)),1+Prices!$L$14,1)</f>
        <v>1.0640821536254879</v>
      </c>
      <c r="E73" s="64">
        <f>IF(B73=Inputs!$C$1,D73,E72)</f>
        <v>1.0125</v>
      </c>
      <c r="F73" s="64">
        <f>IF(AND(B73&gt;=Inputs!$C$1,B73&lt;EDATE(Inputs!$C$1,Inputs!$C$2)),E73,0)</f>
        <v>0</v>
      </c>
      <c r="G73" s="64">
        <f>IF(AND(B73&gt;=Inputs!$C$1,B73&lt;EDATE(Inputs!$C$1,Inputs!$C$2)),(1+'MARA Prices'!$F$1)^IFERROR(DATEDIF('MARA Prices'!$F$2,B73,"Y")+1, 0),0)</f>
        <v>0</v>
      </c>
      <c r="I73" s="63">
        <f>IF($B73=Inputs!$C$1,SUM(Outputs_Internal!$D$4, Outputs_Internal!$D$5),0)*$D73</f>
        <v>0</v>
      </c>
      <c r="J73" s="63">
        <f>IF($B73=Inputs!$C$1,SUM(Outputs_Internal!K$4, Outputs_Internal!K$5),0)*$D73</f>
        <v>0</v>
      </c>
      <c r="K73" s="63">
        <f>IF($B73=Inputs!$C$1,SUM(Outputs_Internal!L$4, Outputs_Internal!L$5),0)*$D73</f>
        <v>0</v>
      </c>
      <c r="L73" s="63">
        <f>IF($B73=Inputs!$C$1,SUM(Outputs_Internal!M$4, Outputs_Internal!$M$5),0)*$D73</f>
        <v>0</v>
      </c>
      <c r="N73" s="63">
        <f t="shared" si="12"/>
        <v>0</v>
      </c>
      <c r="P73" s="63">
        <f>$F73*Outputs_Internal!$D$64/12+N73</f>
        <v>0</v>
      </c>
      <c r="Q73" s="63">
        <f>$F73*Outputs_Internal!K$64/12+N73*'MARA Prices'!$F$5</f>
        <v>0</v>
      </c>
      <c r="R73" s="63">
        <f>$F73*Outputs_Internal!L$64/12+N73*'MARA Prices'!$F$6</f>
        <v>0</v>
      </c>
      <c r="S73" s="63">
        <f>N73*'MARA Prices'!$F$4</f>
        <v>0</v>
      </c>
      <c r="T73" s="63">
        <f>$F73*Outputs_Internal!M$64/12</f>
        <v>0</v>
      </c>
      <c r="U73" s="63">
        <f>$F73*Outputs_Internal!N$64/12</f>
        <v>0</v>
      </c>
      <c r="W73" s="63">
        <f t="shared" si="14"/>
        <v>0</v>
      </c>
      <c r="X73" s="63">
        <f t="shared" si="15"/>
        <v>0</v>
      </c>
      <c r="Y73" s="63">
        <f t="shared" si="16"/>
        <v>0</v>
      </c>
      <c r="Z73" s="63">
        <f t="shared" si="17"/>
        <v>0</v>
      </c>
      <c r="AA73" s="63">
        <f t="shared" si="19"/>
        <v>0</v>
      </c>
      <c r="AD73" s="63">
        <f>'MARA Prices'!H$21*$G73</f>
        <v>0</v>
      </c>
      <c r="AE73" s="63">
        <f>'MARA Prices'!I$21*$G73</f>
        <v>0</v>
      </c>
      <c r="AF73" s="63">
        <f>'MARA Prices'!J$21*$G73</f>
        <v>0</v>
      </c>
      <c r="AG73" s="63">
        <f>'MARA Prices'!K$21*$G73</f>
        <v>0</v>
      </c>
      <c r="AH73" s="63">
        <f>'MARA Prices'!L$21*$G73</f>
        <v>0</v>
      </c>
    </row>
    <row r="74" spans="2:34" x14ac:dyDescent="0.25">
      <c r="B74" s="60">
        <f t="shared" si="13"/>
        <v>45078</v>
      </c>
      <c r="D74" s="64">
        <f>D73*IF(AND(MONTH(B74)=1,YEAR(B74)&gt;=YEAR(Prices!$L$15)),1+Prices!$L$14,1)</f>
        <v>1.0640821536254879</v>
      </c>
      <c r="E74" s="64">
        <f>IF(B74=Inputs!$C$1,D74,E73)</f>
        <v>1.0125</v>
      </c>
      <c r="F74" s="64">
        <f>IF(AND(B74&gt;=Inputs!$C$1,B74&lt;EDATE(Inputs!$C$1,Inputs!$C$2)),E74,0)</f>
        <v>0</v>
      </c>
      <c r="G74" s="64">
        <f>IF(AND(B74&gt;=Inputs!$C$1,B74&lt;EDATE(Inputs!$C$1,Inputs!$C$2)),(1+'MARA Prices'!$F$1)^IFERROR(DATEDIF('MARA Prices'!$F$2,B74,"Y")+1, 0),0)</f>
        <v>0</v>
      </c>
      <c r="I74" s="63">
        <f>IF($B74=Inputs!$C$1,SUM(Outputs_Internal!$D$4, Outputs_Internal!$D$5),0)*$D74</f>
        <v>0</v>
      </c>
      <c r="J74" s="63">
        <f>IF($B74=Inputs!$C$1,SUM(Outputs_Internal!K$4, Outputs_Internal!K$5),0)*$D74</f>
        <v>0</v>
      </c>
      <c r="K74" s="63">
        <f>IF($B74=Inputs!$C$1,SUM(Outputs_Internal!L$4, Outputs_Internal!L$5),0)*$D74</f>
        <v>0</v>
      </c>
      <c r="L74" s="63">
        <f>IF($B74=Inputs!$C$1,SUM(Outputs_Internal!M$4, Outputs_Internal!$M$5),0)*$D74</f>
        <v>0</v>
      </c>
      <c r="N74" s="63">
        <f t="shared" si="12"/>
        <v>0</v>
      </c>
      <c r="P74" s="63">
        <f>$F74*Outputs_Internal!$D$64/12+N74</f>
        <v>0</v>
      </c>
      <c r="Q74" s="63">
        <f>$F74*Outputs_Internal!K$64/12+N74*'MARA Prices'!$F$5</f>
        <v>0</v>
      </c>
      <c r="R74" s="63">
        <f>$F74*Outputs_Internal!L$64/12+N74*'MARA Prices'!$F$6</f>
        <v>0</v>
      </c>
      <c r="S74" s="63">
        <f>N74*'MARA Prices'!$F$4</f>
        <v>0</v>
      </c>
      <c r="T74" s="63">
        <f>$F74*Outputs_Internal!M$64/12</f>
        <v>0</v>
      </c>
      <c r="U74" s="63">
        <f>$F74*Outputs_Internal!N$64/12</f>
        <v>0</v>
      </c>
      <c r="W74" s="63">
        <f t="shared" si="14"/>
        <v>0</v>
      </c>
      <c r="X74" s="63">
        <f t="shared" si="15"/>
        <v>0</v>
      </c>
      <c r="Y74" s="63">
        <f t="shared" si="16"/>
        <v>0</v>
      </c>
      <c r="Z74" s="63">
        <f t="shared" si="17"/>
        <v>0</v>
      </c>
      <c r="AA74" s="63">
        <f t="shared" si="19"/>
        <v>0</v>
      </c>
      <c r="AD74" s="63">
        <f>'MARA Prices'!H$21*$G74</f>
        <v>0</v>
      </c>
      <c r="AE74" s="63">
        <f>'MARA Prices'!I$21*$G74</f>
        <v>0</v>
      </c>
      <c r="AF74" s="63">
        <f>'MARA Prices'!J$21*$G74</f>
        <v>0</v>
      </c>
      <c r="AG74" s="63">
        <f>'MARA Prices'!K$21*$G74</f>
        <v>0</v>
      </c>
      <c r="AH74" s="63">
        <f>'MARA Prices'!L$21*$G74</f>
        <v>0</v>
      </c>
    </row>
    <row r="75" spans="2:34" x14ac:dyDescent="0.25">
      <c r="B75" s="60">
        <f t="shared" si="13"/>
        <v>45108</v>
      </c>
      <c r="D75" s="64">
        <f>D74*IF(AND(MONTH(B75)=1,YEAR(B75)&gt;=YEAR(Prices!$L$15)),1+Prices!$L$14,1)</f>
        <v>1.0640821536254879</v>
      </c>
      <c r="E75" s="64">
        <f>IF(B75=Inputs!$C$1,D75,E74)</f>
        <v>1.0125</v>
      </c>
      <c r="F75" s="64">
        <f>IF(AND(B75&gt;=Inputs!$C$1,B75&lt;EDATE(Inputs!$C$1,Inputs!$C$2)),E75,0)</f>
        <v>0</v>
      </c>
      <c r="G75" s="64">
        <f>IF(AND(B75&gt;=Inputs!$C$1,B75&lt;EDATE(Inputs!$C$1,Inputs!$C$2)),(1+'MARA Prices'!$F$1)^IFERROR(DATEDIF('MARA Prices'!$F$2,B75,"Y")+1, 0),0)</f>
        <v>0</v>
      </c>
      <c r="I75" s="63">
        <f>IF($B75=Inputs!$C$1,SUM(Outputs_Internal!$D$4, Outputs_Internal!$D$5),0)*$D75</f>
        <v>0</v>
      </c>
      <c r="J75" s="63">
        <f>IF($B75=Inputs!$C$1,SUM(Outputs_Internal!K$4, Outputs_Internal!K$5),0)*$D75</f>
        <v>0</v>
      </c>
      <c r="K75" s="63">
        <f>IF($B75=Inputs!$C$1,SUM(Outputs_Internal!L$4, Outputs_Internal!L$5),0)*$D75</f>
        <v>0</v>
      </c>
      <c r="L75" s="63">
        <f>IF($B75=Inputs!$C$1,SUM(Outputs_Internal!M$4, Outputs_Internal!$M$5),0)*$D75</f>
        <v>0</v>
      </c>
      <c r="N75" s="63">
        <f t="shared" si="12"/>
        <v>0</v>
      </c>
      <c r="P75" s="63">
        <f>$F75*Outputs_Internal!$D$64/12+N75</f>
        <v>0</v>
      </c>
      <c r="Q75" s="63">
        <f>$F75*Outputs_Internal!K$64/12+N75*'MARA Prices'!$F$5</f>
        <v>0</v>
      </c>
      <c r="R75" s="63">
        <f>$F75*Outputs_Internal!L$64/12+N75*'MARA Prices'!$F$6</f>
        <v>0</v>
      </c>
      <c r="S75" s="63">
        <f>N75*'MARA Prices'!$F$4</f>
        <v>0</v>
      </c>
      <c r="T75" s="63">
        <f>$F75*Outputs_Internal!M$64/12</f>
        <v>0</v>
      </c>
      <c r="U75" s="63">
        <f>$F75*Outputs_Internal!N$64/12</f>
        <v>0</v>
      </c>
      <c r="W75" s="63">
        <f t="shared" si="14"/>
        <v>0</v>
      </c>
      <c r="X75" s="63">
        <f t="shared" si="15"/>
        <v>0</v>
      </c>
      <c r="Y75" s="63">
        <f t="shared" si="16"/>
        <v>0</v>
      </c>
      <c r="Z75" s="63">
        <f t="shared" si="17"/>
        <v>0</v>
      </c>
      <c r="AA75" s="63">
        <f t="shared" si="19"/>
        <v>0</v>
      </c>
      <c r="AD75" s="63">
        <f>'MARA Prices'!H$21*$G75</f>
        <v>0</v>
      </c>
      <c r="AE75" s="63">
        <f>'MARA Prices'!I$21*$G75</f>
        <v>0</v>
      </c>
      <c r="AF75" s="63">
        <f>'MARA Prices'!J$21*$G75</f>
        <v>0</v>
      </c>
      <c r="AG75" s="63">
        <f>'MARA Prices'!K$21*$G75</f>
        <v>0</v>
      </c>
      <c r="AH75" s="63">
        <f>'MARA Prices'!L$21*$G75</f>
        <v>0</v>
      </c>
    </row>
    <row r="76" spans="2:34" x14ac:dyDescent="0.25">
      <c r="B76" s="60">
        <f t="shared" si="13"/>
        <v>45139</v>
      </c>
      <c r="D76" s="64">
        <f>D75*IF(AND(MONTH(B76)=1,YEAR(B76)&gt;=YEAR(Prices!$L$15)),1+Prices!$L$14,1)</f>
        <v>1.0640821536254879</v>
      </c>
      <c r="E76" s="64">
        <f>IF(B76=Inputs!$C$1,D76,E75)</f>
        <v>1.0125</v>
      </c>
      <c r="F76" s="64">
        <f>IF(AND(B76&gt;=Inputs!$C$1,B76&lt;EDATE(Inputs!$C$1,Inputs!$C$2)),E76,0)</f>
        <v>0</v>
      </c>
      <c r="G76" s="64">
        <f>IF(AND(B76&gt;=Inputs!$C$1,B76&lt;EDATE(Inputs!$C$1,Inputs!$C$2)),(1+'MARA Prices'!$F$1)^IFERROR(DATEDIF('MARA Prices'!$F$2,B76,"Y")+1, 0),0)</f>
        <v>0</v>
      </c>
      <c r="I76" s="63">
        <f>IF($B76=Inputs!$C$1,SUM(Outputs_Internal!$D$4, Outputs_Internal!$D$5),0)*$D76</f>
        <v>0</v>
      </c>
      <c r="J76" s="63">
        <f>IF($B76=Inputs!$C$1,SUM(Outputs_Internal!K$4, Outputs_Internal!K$5),0)*$D76</f>
        <v>0</v>
      </c>
      <c r="K76" s="63">
        <f>IF($B76=Inputs!$C$1,SUM(Outputs_Internal!L$4, Outputs_Internal!L$5),0)*$D76</f>
        <v>0</v>
      </c>
      <c r="L76" s="63">
        <f>IF($B76=Inputs!$C$1,SUM(Outputs_Internal!M$4, Outputs_Internal!$M$5),0)*$D76</f>
        <v>0</v>
      </c>
      <c r="N76" s="63">
        <f t="shared" si="12"/>
        <v>0</v>
      </c>
      <c r="P76" s="63">
        <f>$F76*Outputs_Internal!$D$64/12+N76</f>
        <v>0</v>
      </c>
      <c r="Q76" s="63">
        <f>$F76*Outputs_Internal!K$64/12+N76*'MARA Prices'!$F$5</f>
        <v>0</v>
      </c>
      <c r="R76" s="63">
        <f>$F76*Outputs_Internal!L$64/12+N76*'MARA Prices'!$F$6</f>
        <v>0</v>
      </c>
      <c r="S76" s="63">
        <f>N76*'MARA Prices'!$F$4</f>
        <v>0</v>
      </c>
      <c r="T76" s="63">
        <f>$F76*Outputs_Internal!M$64/12</f>
        <v>0</v>
      </c>
      <c r="U76" s="63">
        <f>$F76*Outputs_Internal!N$64/12</f>
        <v>0</v>
      </c>
      <c r="W76" s="63">
        <f t="shared" si="14"/>
        <v>0</v>
      </c>
      <c r="X76" s="63">
        <f t="shared" si="15"/>
        <v>0</v>
      </c>
      <c r="Y76" s="63">
        <f t="shared" si="16"/>
        <v>0</v>
      </c>
      <c r="Z76" s="63">
        <f t="shared" si="17"/>
        <v>0</v>
      </c>
      <c r="AA76" s="63">
        <f t="shared" si="19"/>
        <v>0</v>
      </c>
      <c r="AD76" s="63">
        <f>'MARA Prices'!H$21*$G76</f>
        <v>0</v>
      </c>
      <c r="AE76" s="63">
        <f>'MARA Prices'!I$21*$G76</f>
        <v>0</v>
      </c>
      <c r="AF76" s="63">
        <f>'MARA Prices'!J$21*$G76</f>
        <v>0</v>
      </c>
      <c r="AG76" s="63">
        <f>'MARA Prices'!K$21*$G76</f>
        <v>0</v>
      </c>
      <c r="AH76" s="63">
        <f>'MARA Prices'!L$21*$G76</f>
        <v>0</v>
      </c>
    </row>
    <row r="77" spans="2:34" x14ac:dyDescent="0.25">
      <c r="B77" s="60">
        <f t="shared" si="13"/>
        <v>45170</v>
      </c>
      <c r="D77" s="64">
        <f>D76*IF(AND(MONTH(B77)=1,YEAR(B77)&gt;=YEAR(Prices!$L$15)),1+Prices!$L$14,1)</f>
        <v>1.0640821536254879</v>
      </c>
      <c r="E77" s="64">
        <f>IF(B77=Inputs!$C$1,D77,E76)</f>
        <v>1.0125</v>
      </c>
      <c r="F77" s="64">
        <f>IF(AND(B77&gt;=Inputs!$C$1,B77&lt;EDATE(Inputs!$C$1,Inputs!$C$2)),E77,0)</f>
        <v>0</v>
      </c>
      <c r="G77" s="64">
        <f>IF(AND(B77&gt;=Inputs!$C$1,B77&lt;EDATE(Inputs!$C$1,Inputs!$C$2)),(1+'MARA Prices'!$F$1)^IFERROR(DATEDIF('MARA Prices'!$F$2,B77,"Y")+1, 0),0)</f>
        <v>0</v>
      </c>
      <c r="I77" s="63">
        <f>IF($B77=Inputs!$C$1,SUM(Outputs_Internal!$D$4, Outputs_Internal!$D$5),0)*$D77</f>
        <v>0</v>
      </c>
      <c r="J77" s="63">
        <f>IF($B77=Inputs!$C$1,SUM(Outputs_Internal!K$4, Outputs_Internal!K$5),0)*$D77</f>
        <v>0</v>
      </c>
      <c r="K77" s="63">
        <f>IF($B77=Inputs!$C$1,SUM(Outputs_Internal!L$4, Outputs_Internal!L$5),0)*$D77</f>
        <v>0</v>
      </c>
      <c r="L77" s="63">
        <f>IF($B77=Inputs!$C$1,SUM(Outputs_Internal!M$4, Outputs_Internal!$M$5),0)*$D77</f>
        <v>0</v>
      </c>
      <c r="N77" s="63">
        <f t="shared" si="12"/>
        <v>0</v>
      </c>
      <c r="P77" s="63">
        <f>$F77*Outputs_Internal!$D$64/12+N77</f>
        <v>0</v>
      </c>
      <c r="Q77" s="63">
        <f>$F77*Outputs_Internal!K$64/12+N77*'MARA Prices'!$F$5</f>
        <v>0</v>
      </c>
      <c r="R77" s="63">
        <f>$F77*Outputs_Internal!L$64/12+N77*'MARA Prices'!$F$6</f>
        <v>0</v>
      </c>
      <c r="S77" s="63">
        <f>N77*'MARA Prices'!$F$4</f>
        <v>0</v>
      </c>
      <c r="T77" s="63">
        <f>$F77*Outputs_Internal!M$64/12</f>
        <v>0</v>
      </c>
      <c r="U77" s="63">
        <f>$F77*Outputs_Internal!N$64/12</f>
        <v>0</v>
      </c>
      <c r="W77" s="63">
        <f t="shared" si="14"/>
        <v>0</v>
      </c>
      <c r="X77" s="63">
        <f t="shared" si="15"/>
        <v>0</v>
      </c>
      <c r="Y77" s="63">
        <f t="shared" si="16"/>
        <v>0</v>
      </c>
      <c r="Z77" s="63">
        <f t="shared" si="17"/>
        <v>0</v>
      </c>
      <c r="AA77" s="63">
        <f t="shared" si="19"/>
        <v>0</v>
      </c>
      <c r="AD77" s="63">
        <f>'MARA Prices'!H$21*$G77</f>
        <v>0</v>
      </c>
      <c r="AE77" s="63">
        <f>'MARA Prices'!I$21*$G77</f>
        <v>0</v>
      </c>
      <c r="AF77" s="63">
        <f>'MARA Prices'!J$21*$G77</f>
        <v>0</v>
      </c>
      <c r="AG77" s="63">
        <f>'MARA Prices'!K$21*$G77</f>
        <v>0</v>
      </c>
      <c r="AH77" s="63">
        <f>'MARA Prices'!L$21*$G77</f>
        <v>0</v>
      </c>
    </row>
    <row r="78" spans="2:34" x14ac:dyDescent="0.25">
      <c r="B78" s="60">
        <f t="shared" si="13"/>
        <v>45200</v>
      </c>
      <c r="D78" s="64">
        <f>D77*IF(AND(MONTH(B78)=1,YEAR(B78)&gt;=YEAR(Prices!$L$15)),1+Prices!$L$14,1)</f>
        <v>1.0640821536254879</v>
      </c>
      <c r="E78" s="64">
        <f>IF(B78=Inputs!$C$1,D78,E77)</f>
        <v>1.0125</v>
      </c>
      <c r="F78" s="64">
        <f>IF(AND(B78&gt;=Inputs!$C$1,B78&lt;EDATE(Inputs!$C$1,Inputs!$C$2)),E78,0)</f>
        <v>0</v>
      </c>
      <c r="G78" s="64">
        <f>IF(AND(B78&gt;=Inputs!$C$1,B78&lt;EDATE(Inputs!$C$1,Inputs!$C$2)),(1+'MARA Prices'!$F$1)^IFERROR(DATEDIF('MARA Prices'!$F$2,B78,"Y")+1, 0),0)</f>
        <v>0</v>
      </c>
      <c r="I78" s="63">
        <f>IF($B78=Inputs!$C$1,SUM(Outputs_Internal!$D$4, Outputs_Internal!$D$5),0)*$D78</f>
        <v>0</v>
      </c>
      <c r="J78" s="63">
        <f>IF($B78=Inputs!$C$1,SUM(Outputs_Internal!K$4, Outputs_Internal!K$5),0)*$D78</f>
        <v>0</v>
      </c>
      <c r="K78" s="63">
        <f>IF($B78=Inputs!$C$1,SUM(Outputs_Internal!L$4, Outputs_Internal!L$5),0)*$D78</f>
        <v>0</v>
      </c>
      <c r="L78" s="63">
        <f>IF($B78=Inputs!$C$1,SUM(Outputs_Internal!M$4, Outputs_Internal!$M$5),0)*$D78</f>
        <v>0</v>
      </c>
      <c r="N78" s="63">
        <f t="shared" si="12"/>
        <v>0</v>
      </c>
      <c r="P78" s="63">
        <f>$F78*Outputs_Internal!$D$64/12+N78</f>
        <v>0</v>
      </c>
      <c r="Q78" s="63">
        <f>$F78*Outputs_Internal!K$64/12+N78*'MARA Prices'!$F$5</f>
        <v>0</v>
      </c>
      <c r="R78" s="63">
        <f>$F78*Outputs_Internal!L$64/12+N78*'MARA Prices'!$F$6</f>
        <v>0</v>
      </c>
      <c r="S78" s="63">
        <f>N78*'MARA Prices'!$F$4</f>
        <v>0</v>
      </c>
      <c r="T78" s="63">
        <f>$F78*Outputs_Internal!M$64/12</f>
        <v>0</v>
      </c>
      <c r="U78" s="63">
        <f>$F78*Outputs_Internal!N$64/12</f>
        <v>0</v>
      </c>
      <c r="W78" s="63">
        <f t="shared" si="14"/>
        <v>0</v>
      </c>
      <c r="X78" s="63">
        <f t="shared" si="15"/>
        <v>0</v>
      </c>
      <c r="Y78" s="63">
        <f t="shared" si="16"/>
        <v>0</v>
      </c>
      <c r="Z78" s="63">
        <f t="shared" si="17"/>
        <v>0</v>
      </c>
      <c r="AA78" s="63">
        <f t="shared" si="19"/>
        <v>0</v>
      </c>
      <c r="AD78" s="63">
        <f>'MARA Prices'!H$21*$G78</f>
        <v>0</v>
      </c>
      <c r="AE78" s="63">
        <f>'MARA Prices'!I$21*$G78</f>
        <v>0</v>
      </c>
      <c r="AF78" s="63">
        <f>'MARA Prices'!J$21*$G78</f>
        <v>0</v>
      </c>
      <c r="AG78" s="63">
        <f>'MARA Prices'!K$21*$G78</f>
        <v>0</v>
      </c>
      <c r="AH78" s="63">
        <f>'MARA Prices'!L$21*$G78</f>
        <v>0</v>
      </c>
    </row>
    <row r="79" spans="2:34" x14ac:dyDescent="0.25">
      <c r="B79" s="60">
        <f t="shared" si="13"/>
        <v>45231</v>
      </c>
      <c r="D79" s="64">
        <f>D78*IF(AND(MONTH(B79)=1,YEAR(B79)&gt;=YEAR(Prices!$L$15)),1+Prices!$L$14,1)</f>
        <v>1.0640821536254879</v>
      </c>
      <c r="E79" s="64">
        <f>IF(B79=Inputs!$C$1,D79,E78)</f>
        <v>1.0125</v>
      </c>
      <c r="F79" s="64">
        <f>IF(AND(B79&gt;=Inputs!$C$1,B79&lt;EDATE(Inputs!$C$1,Inputs!$C$2)),E79,0)</f>
        <v>0</v>
      </c>
      <c r="G79" s="64">
        <f>IF(AND(B79&gt;=Inputs!$C$1,B79&lt;EDATE(Inputs!$C$1,Inputs!$C$2)),(1+'MARA Prices'!$F$1)^IFERROR(DATEDIF('MARA Prices'!$F$2,B79,"Y")+1, 0),0)</f>
        <v>0</v>
      </c>
      <c r="I79" s="63">
        <f>IF($B79=Inputs!$C$1,SUM(Outputs_Internal!$D$4, Outputs_Internal!$D$5),0)*$D79</f>
        <v>0</v>
      </c>
      <c r="J79" s="63">
        <f>IF($B79=Inputs!$C$1,SUM(Outputs_Internal!K$4, Outputs_Internal!K$5),0)*$D79</f>
        <v>0</v>
      </c>
      <c r="K79" s="63">
        <f>IF($B79=Inputs!$C$1,SUM(Outputs_Internal!L$4, Outputs_Internal!L$5),0)*$D79</f>
        <v>0</v>
      </c>
      <c r="L79" s="63">
        <f>IF($B79=Inputs!$C$1,SUM(Outputs_Internal!M$4, Outputs_Internal!$M$5),0)*$D79</f>
        <v>0</v>
      </c>
      <c r="N79" s="63">
        <f t="shared" si="12"/>
        <v>0</v>
      </c>
      <c r="P79" s="63">
        <f>$F79*Outputs_Internal!$D$64/12+N79</f>
        <v>0</v>
      </c>
      <c r="Q79" s="63">
        <f>$F79*Outputs_Internal!K$64/12+N79*'MARA Prices'!$F$5</f>
        <v>0</v>
      </c>
      <c r="R79" s="63">
        <f>$F79*Outputs_Internal!L$64/12+N79*'MARA Prices'!$F$6</f>
        <v>0</v>
      </c>
      <c r="S79" s="63">
        <f>N79*'MARA Prices'!$F$4</f>
        <v>0</v>
      </c>
      <c r="T79" s="63">
        <f>$F79*Outputs_Internal!M$64/12</f>
        <v>0</v>
      </c>
      <c r="U79" s="63">
        <f>$F79*Outputs_Internal!N$64/12</f>
        <v>0</v>
      </c>
      <c r="W79" s="63">
        <f t="shared" si="14"/>
        <v>0</v>
      </c>
      <c r="X79" s="63">
        <f t="shared" si="15"/>
        <v>0</v>
      </c>
      <c r="Y79" s="63">
        <f t="shared" si="16"/>
        <v>0</v>
      </c>
      <c r="Z79" s="63">
        <f t="shared" si="17"/>
        <v>0</v>
      </c>
      <c r="AA79" s="63">
        <f t="shared" si="19"/>
        <v>0</v>
      </c>
      <c r="AD79" s="63">
        <f>'MARA Prices'!H$21*$G79</f>
        <v>0</v>
      </c>
      <c r="AE79" s="63">
        <f>'MARA Prices'!I$21*$G79</f>
        <v>0</v>
      </c>
      <c r="AF79" s="63">
        <f>'MARA Prices'!J$21*$G79</f>
        <v>0</v>
      </c>
      <c r="AG79" s="63">
        <f>'MARA Prices'!K$21*$G79</f>
        <v>0</v>
      </c>
      <c r="AH79" s="63">
        <f>'MARA Prices'!L$21*$G79</f>
        <v>0</v>
      </c>
    </row>
    <row r="80" spans="2:34" x14ac:dyDescent="0.25">
      <c r="B80" s="60">
        <f t="shared" si="13"/>
        <v>45261</v>
      </c>
      <c r="D80" s="64">
        <f>D79*IF(AND(MONTH(B80)=1,YEAR(B80)&gt;=YEAR(Prices!$L$15)),1+Prices!$L$14,1)</f>
        <v>1.0640821536254879</v>
      </c>
      <c r="E80" s="64">
        <f>IF(B80=Inputs!$C$1,D80,E79)</f>
        <v>1.0125</v>
      </c>
      <c r="F80" s="64">
        <f>IF(AND(B80&gt;=Inputs!$C$1,B80&lt;EDATE(Inputs!$C$1,Inputs!$C$2)),E80,0)</f>
        <v>0</v>
      </c>
      <c r="G80" s="64">
        <f>IF(AND(B80&gt;=Inputs!$C$1,B80&lt;EDATE(Inputs!$C$1,Inputs!$C$2)),(1+'MARA Prices'!$F$1)^IFERROR(DATEDIF('MARA Prices'!$F$2,B80,"Y")+1, 0),0)</f>
        <v>0</v>
      </c>
      <c r="I80" s="63">
        <f>IF($B80=Inputs!$C$1,SUM(Outputs_Internal!$D$4, Outputs_Internal!$D$5),0)*$D80</f>
        <v>0</v>
      </c>
      <c r="J80" s="63">
        <f>IF($B80=Inputs!$C$1,SUM(Outputs_Internal!K$4, Outputs_Internal!K$5),0)*$D80</f>
        <v>0</v>
      </c>
      <c r="K80" s="63">
        <f>IF($B80=Inputs!$C$1,SUM(Outputs_Internal!L$4, Outputs_Internal!L$5),0)*$D80</f>
        <v>0</v>
      </c>
      <c r="L80" s="63">
        <f>IF($B80=Inputs!$C$1,SUM(Outputs_Internal!M$4, Outputs_Internal!$M$5),0)*$D80</f>
        <v>0</v>
      </c>
      <c r="N80" s="63">
        <f t="shared" si="12"/>
        <v>0</v>
      </c>
      <c r="P80" s="63">
        <f>$F80*Outputs_Internal!$D$64/12+N80</f>
        <v>0</v>
      </c>
      <c r="Q80" s="63">
        <f>$F80*Outputs_Internal!K$64/12+N80*'MARA Prices'!$F$5</f>
        <v>0</v>
      </c>
      <c r="R80" s="63">
        <f>$F80*Outputs_Internal!L$64/12+N80*'MARA Prices'!$F$6</f>
        <v>0</v>
      </c>
      <c r="S80" s="63">
        <f>N80*'MARA Prices'!$F$4</f>
        <v>0</v>
      </c>
      <c r="T80" s="63">
        <f>$F80*Outputs_Internal!M$64/12</f>
        <v>0</v>
      </c>
      <c r="U80" s="63">
        <f>$F80*Outputs_Internal!N$64/12</f>
        <v>0</v>
      </c>
      <c r="W80" s="63">
        <f t="shared" si="14"/>
        <v>0</v>
      </c>
      <c r="X80" s="63">
        <f t="shared" si="15"/>
        <v>0</v>
      </c>
      <c r="Y80" s="63">
        <f t="shared" si="16"/>
        <v>0</v>
      </c>
      <c r="Z80" s="63">
        <f t="shared" si="17"/>
        <v>0</v>
      </c>
      <c r="AA80" s="63">
        <f t="shared" si="19"/>
        <v>0</v>
      </c>
      <c r="AD80" s="63">
        <f>'MARA Prices'!H$21*$G80</f>
        <v>0</v>
      </c>
      <c r="AE80" s="63">
        <f>'MARA Prices'!I$21*$G80</f>
        <v>0</v>
      </c>
      <c r="AF80" s="63">
        <f>'MARA Prices'!J$21*$G80</f>
        <v>0</v>
      </c>
      <c r="AG80" s="63">
        <f>'MARA Prices'!K$21*$G80</f>
        <v>0</v>
      </c>
      <c r="AH80" s="63">
        <f>'MARA Prices'!L$21*$G80</f>
        <v>0</v>
      </c>
    </row>
    <row r="81" spans="2:34" x14ac:dyDescent="0.25">
      <c r="B81" s="60">
        <f t="shared" si="13"/>
        <v>45292</v>
      </c>
      <c r="D81" s="64">
        <f>D80*IF(AND(MONTH(B81)=1,YEAR(B81)&gt;=YEAR(Prices!$L$15)),1+Prices!$L$14,1)</f>
        <v>1.0773831805458065</v>
      </c>
      <c r="E81" s="64">
        <f>IF(B81=Inputs!$C$1,D81,E80)</f>
        <v>1.0125</v>
      </c>
      <c r="F81" s="64">
        <f>IF(AND(B81&gt;=Inputs!$C$1,B81&lt;EDATE(Inputs!$C$1,Inputs!$C$2)),E81,0)</f>
        <v>0</v>
      </c>
      <c r="G81" s="64">
        <f>IF(AND(B81&gt;=Inputs!$C$1,B81&lt;EDATE(Inputs!$C$1,Inputs!$C$2)),(1+'MARA Prices'!$F$1)^IFERROR(DATEDIF('MARA Prices'!$F$2,B81,"Y")+1, 0),0)</f>
        <v>0</v>
      </c>
      <c r="I81" s="63">
        <f>IF($B81=Inputs!$C$1,SUM(Outputs_Internal!$D$4, Outputs_Internal!$D$5),0)*$D81</f>
        <v>0</v>
      </c>
      <c r="J81" s="63">
        <f>IF($B81=Inputs!$C$1,SUM(Outputs_Internal!K$4, Outputs_Internal!K$5),0)*$D81</f>
        <v>0</v>
      </c>
      <c r="K81" s="63">
        <f>IF($B81=Inputs!$C$1,SUM(Outputs_Internal!L$4, Outputs_Internal!L$5),0)*$D81</f>
        <v>0</v>
      </c>
      <c r="L81" s="63">
        <f>IF($B81=Inputs!$C$1,SUM(Outputs_Internal!M$4, Outputs_Internal!$M$5),0)*$D81</f>
        <v>0</v>
      </c>
      <c r="N81" s="63">
        <f t="shared" si="12"/>
        <v>0</v>
      </c>
      <c r="P81" s="63">
        <f>$F81*Outputs_Internal!$D$64/12+N81</f>
        <v>0</v>
      </c>
      <c r="Q81" s="63">
        <f>$F81*Outputs_Internal!K$64/12+N81*'MARA Prices'!$F$5</f>
        <v>0</v>
      </c>
      <c r="R81" s="63">
        <f>$F81*Outputs_Internal!L$64/12+N81*'MARA Prices'!$F$6</f>
        <v>0</v>
      </c>
      <c r="S81" s="63">
        <f>N81*'MARA Prices'!$F$4</f>
        <v>0</v>
      </c>
      <c r="T81" s="63">
        <f>$F81*Outputs_Internal!M$64/12</f>
        <v>0</v>
      </c>
      <c r="U81" s="63">
        <f>$F81*Outputs_Internal!N$64/12</f>
        <v>0</v>
      </c>
      <c r="W81" s="63">
        <f t="shared" si="14"/>
        <v>0</v>
      </c>
      <c r="X81" s="63">
        <f t="shared" si="15"/>
        <v>0</v>
      </c>
      <c r="Y81" s="63">
        <f t="shared" si="16"/>
        <v>0</v>
      </c>
      <c r="Z81" s="63">
        <f t="shared" si="17"/>
        <v>0</v>
      </c>
      <c r="AA81" s="63">
        <f t="shared" si="19"/>
        <v>0</v>
      </c>
      <c r="AD81" s="63">
        <f>'MARA Prices'!H$21*$G81</f>
        <v>0</v>
      </c>
      <c r="AE81" s="63">
        <f>'MARA Prices'!I$21*$G81</f>
        <v>0</v>
      </c>
      <c r="AF81" s="63">
        <f>'MARA Prices'!J$21*$G81</f>
        <v>0</v>
      </c>
      <c r="AG81" s="63">
        <f>'MARA Prices'!K$21*$G81</f>
        <v>0</v>
      </c>
      <c r="AH81" s="63">
        <f>'MARA Prices'!L$21*$G81</f>
        <v>0</v>
      </c>
    </row>
    <row r="82" spans="2:34" x14ac:dyDescent="0.25">
      <c r="B82" s="60">
        <f t="shared" si="13"/>
        <v>45323</v>
      </c>
      <c r="D82" s="64">
        <f>D81*IF(AND(MONTH(B82)=1,YEAR(B82)&gt;=YEAR(Prices!$L$15)),1+Prices!$L$14,1)</f>
        <v>1.0773831805458065</v>
      </c>
      <c r="E82" s="64">
        <f>IF(B82=Inputs!$C$1,D82,E81)</f>
        <v>1.0125</v>
      </c>
      <c r="F82" s="64">
        <f>IF(AND(B82&gt;=Inputs!$C$1,B82&lt;EDATE(Inputs!$C$1,Inputs!$C$2)),E82,0)</f>
        <v>0</v>
      </c>
      <c r="G82" s="64">
        <f>IF(AND(B82&gt;=Inputs!$C$1,B82&lt;EDATE(Inputs!$C$1,Inputs!$C$2)),(1+'MARA Prices'!$F$1)^IFERROR(DATEDIF('MARA Prices'!$F$2,B82,"Y")+1, 0),0)</f>
        <v>0</v>
      </c>
      <c r="I82" s="63">
        <f>IF($B82=Inputs!$C$1,SUM(Outputs_Internal!$D$4, Outputs_Internal!$D$5),0)*$D82</f>
        <v>0</v>
      </c>
      <c r="J82" s="63">
        <f>IF($B82=Inputs!$C$1,SUM(Outputs_Internal!K$4, Outputs_Internal!K$5),0)*$D82</f>
        <v>0</v>
      </c>
      <c r="K82" s="63">
        <f>IF($B82=Inputs!$C$1,SUM(Outputs_Internal!L$4, Outputs_Internal!L$5),0)*$D82</f>
        <v>0</v>
      </c>
      <c r="L82" s="63">
        <f>IF($B82=Inputs!$C$1,SUM(Outputs_Internal!M$4, Outputs_Internal!$M$5),0)*$D82</f>
        <v>0</v>
      </c>
      <c r="N82" s="63">
        <f t="shared" si="12"/>
        <v>0</v>
      </c>
      <c r="P82" s="63">
        <f>$F82*Outputs_Internal!$D$64/12+N82</f>
        <v>0</v>
      </c>
      <c r="Q82" s="63">
        <f>$F82*Outputs_Internal!K$64/12+N82*'MARA Prices'!$F$5</f>
        <v>0</v>
      </c>
      <c r="R82" s="63">
        <f>$F82*Outputs_Internal!L$64/12+N82*'MARA Prices'!$F$6</f>
        <v>0</v>
      </c>
      <c r="S82" s="63">
        <f>N82*'MARA Prices'!$F$4</f>
        <v>0</v>
      </c>
      <c r="T82" s="63">
        <f>$F82*Outputs_Internal!M$64/12</f>
        <v>0</v>
      </c>
      <c r="U82" s="63">
        <f>$F82*Outputs_Internal!N$64/12</f>
        <v>0</v>
      </c>
      <c r="W82" s="63">
        <f t="shared" si="14"/>
        <v>0</v>
      </c>
      <c r="X82" s="63">
        <f t="shared" si="15"/>
        <v>0</v>
      </c>
      <c r="Y82" s="63">
        <f t="shared" si="16"/>
        <v>0</v>
      </c>
      <c r="Z82" s="63">
        <f t="shared" si="17"/>
        <v>0</v>
      </c>
      <c r="AA82" s="63">
        <f t="shared" si="19"/>
        <v>0</v>
      </c>
      <c r="AD82" s="63">
        <f>'MARA Prices'!H$21*$G82</f>
        <v>0</v>
      </c>
      <c r="AE82" s="63">
        <f>'MARA Prices'!I$21*$G82</f>
        <v>0</v>
      </c>
      <c r="AF82" s="63">
        <f>'MARA Prices'!J$21*$G82</f>
        <v>0</v>
      </c>
      <c r="AG82" s="63">
        <f>'MARA Prices'!K$21*$G82</f>
        <v>0</v>
      </c>
      <c r="AH82" s="63">
        <f>'MARA Prices'!L$21*$G82</f>
        <v>0</v>
      </c>
    </row>
    <row r="83" spans="2:34" x14ac:dyDescent="0.25">
      <c r="B83" s="60">
        <f t="shared" si="13"/>
        <v>45352</v>
      </c>
      <c r="D83" s="64">
        <f>D82*IF(AND(MONTH(B83)=1,YEAR(B83)&gt;=YEAR(Prices!$L$15)),1+Prices!$L$14,1)</f>
        <v>1.0773831805458065</v>
      </c>
      <c r="E83" s="64">
        <f>IF(B83=Inputs!$C$1,D83,E82)</f>
        <v>1.0125</v>
      </c>
      <c r="F83" s="64">
        <f>IF(AND(B83&gt;=Inputs!$C$1,B83&lt;EDATE(Inputs!$C$1,Inputs!$C$2)),E83,0)</f>
        <v>0</v>
      </c>
      <c r="G83" s="64">
        <f>IF(AND(B83&gt;=Inputs!$C$1,B83&lt;EDATE(Inputs!$C$1,Inputs!$C$2)),(1+'MARA Prices'!$F$1)^IFERROR(DATEDIF('MARA Prices'!$F$2,B83,"Y")+1, 0),0)</f>
        <v>0</v>
      </c>
      <c r="I83" s="63">
        <f>IF($B83=Inputs!$C$1,SUM(Outputs_Internal!$D$4, Outputs_Internal!$D$5),0)*$D83</f>
        <v>0</v>
      </c>
      <c r="J83" s="63">
        <f>IF($B83=Inputs!$C$1,SUM(Outputs_Internal!K$4, Outputs_Internal!K$5),0)*$D83</f>
        <v>0</v>
      </c>
      <c r="K83" s="63">
        <f>IF($B83=Inputs!$C$1,SUM(Outputs_Internal!L$4, Outputs_Internal!L$5),0)*$D83</f>
        <v>0</v>
      </c>
      <c r="L83" s="63">
        <f>IF($B83=Inputs!$C$1,SUM(Outputs_Internal!M$4, Outputs_Internal!$M$5),0)*$D83</f>
        <v>0</v>
      </c>
      <c r="N83" s="63">
        <f t="shared" si="12"/>
        <v>0</v>
      </c>
      <c r="P83" s="63">
        <f>$F83*Outputs_Internal!$D$64/12+N83</f>
        <v>0</v>
      </c>
      <c r="Q83" s="63">
        <f>$F83*Outputs_Internal!K$64/12+N83*'MARA Prices'!$F$5</f>
        <v>0</v>
      </c>
      <c r="R83" s="63">
        <f>$F83*Outputs_Internal!L$64/12+N83*'MARA Prices'!$F$6</f>
        <v>0</v>
      </c>
      <c r="S83" s="63">
        <f>N83*'MARA Prices'!$F$4</f>
        <v>0</v>
      </c>
      <c r="T83" s="63">
        <f>$F83*Outputs_Internal!M$64/12</f>
        <v>0</v>
      </c>
      <c r="U83" s="63">
        <f>$F83*Outputs_Internal!N$64/12</f>
        <v>0</v>
      </c>
      <c r="W83" s="63">
        <f t="shared" si="14"/>
        <v>0</v>
      </c>
      <c r="X83" s="63">
        <f t="shared" si="15"/>
        <v>0</v>
      </c>
      <c r="Y83" s="63">
        <f t="shared" si="16"/>
        <v>0</v>
      </c>
      <c r="Z83" s="63">
        <f t="shared" si="17"/>
        <v>0</v>
      </c>
      <c r="AA83" s="63">
        <f t="shared" si="19"/>
        <v>0</v>
      </c>
      <c r="AD83" s="63">
        <f>'MARA Prices'!H$21*$G83</f>
        <v>0</v>
      </c>
      <c r="AE83" s="63">
        <f>'MARA Prices'!I$21*$G83</f>
        <v>0</v>
      </c>
      <c r="AF83" s="63">
        <f>'MARA Prices'!J$21*$G83</f>
        <v>0</v>
      </c>
      <c r="AG83" s="63">
        <f>'MARA Prices'!K$21*$G83</f>
        <v>0</v>
      </c>
      <c r="AH83" s="63">
        <f>'MARA Prices'!L$21*$G83</f>
        <v>0</v>
      </c>
    </row>
    <row r="84" spans="2:34" x14ac:dyDescent="0.25">
      <c r="B84" s="60">
        <f t="shared" si="13"/>
        <v>45383</v>
      </c>
      <c r="D84" s="64">
        <f>D83*IF(AND(MONTH(B84)=1,YEAR(B84)&gt;=YEAR(Prices!$L$15)),1+Prices!$L$14,1)</f>
        <v>1.0773831805458065</v>
      </c>
      <c r="E84" s="64">
        <f>IF(B84=Inputs!$C$1,D84,E83)</f>
        <v>1.0125</v>
      </c>
      <c r="F84" s="64">
        <f>IF(AND(B84&gt;=Inputs!$C$1,B84&lt;EDATE(Inputs!$C$1,Inputs!$C$2)),E84,0)</f>
        <v>0</v>
      </c>
      <c r="G84" s="64">
        <f>IF(AND(B84&gt;=Inputs!$C$1,B84&lt;EDATE(Inputs!$C$1,Inputs!$C$2)),(1+'MARA Prices'!$F$1)^IFERROR(DATEDIF('MARA Prices'!$F$2,B84,"Y")+1, 0),0)</f>
        <v>0</v>
      </c>
      <c r="I84" s="63">
        <f>IF($B84=Inputs!$C$1,SUM(Outputs_Internal!$D$4, Outputs_Internal!$D$5),0)*$D84</f>
        <v>0</v>
      </c>
      <c r="J84" s="63">
        <f>IF($B84=Inputs!$C$1,SUM(Outputs_Internal!K$4, Outputs_Internal!K$5),0)*$D84</f>
        <v>0</v>
      </c>
      <c r="K84" s="63">
        <f>IF($B84=Inputs!$C$1,SUM(Outputs_Internal!L$4, Outputs_Internal!L$5),0)*$D84</f>
        <v>0</v>
      </c>
      <c r="L84" s="63">
        <f>IF($B84=Inputs!$C$1,SUM(Outputs_Internal!M$4, Outputs_Internal!$M$5),0)*$D84</f>
        <v>0</v>
      </c>
      <c r="N84" s="63">
        <f t="shared" si="12"/>
        <v>0</v>
      </c>
      <c r="P84" s="63">
        <f>$F84*Outputs_Internal!$D$64/12+N84</f>
        <v>0</v>
      </c>
      <c r="Q84" s="63">
        <f>$F84*Outputs_Internal!K$64/12+N84*'MARA Prices'!$F$5</f>
        <v>0</v>
      </c>
      <c r="R84" s="63">
        <f>$F84*Outputs_Internal!L$64/12+N84*'MARA Prices'!$F$6</f>
        <v>0</v>
      </c>
      <c r="S84" s="63">
        <f>N84*'MARA Prices'!$F$4</f>
        <v>0</v>
      </c>
      <c r="T84" s="63">
        <f>$F84*Outputs_Internal!M$64/12</f>
        <v>0</v>
      </c>
      <c r="U84" s="63">
        <f>$F84*Outputs_Internal!N$64/12</f>
        <v>0</v>
      </c>
      <c r="W84" s="63">
        <f t="shared" si="14"/>
        <v>0</v>
      </c>
      <c r="X84" s="63">
        <f t="shared" si="15"/>
        <v>0</v>
      </c>
      <c r="Y84" s="63">
        <f t="shared" si="16"/>
        <v>0</v>
      </c>
      <c r="Z84" s="63">
        <f t="shared" si="17"/>
        <v>0</v>
      </c>
      <c r="AA84" s="63">
        <f t="shared" si="19"/>
        <v>0</v>
      </c>
      <c r="AD84" s="63">
        <f>'MARA Prices'!H$21*$G84</f>
        <v>0</v>
      </c>
      <c r="AE84" s="63">
        <f>'MARA Prices'!I$21*$G84</f>
        <v>0</v>
      </c>
      <c r="AF84" s="63">
        <f>'MARA Prices'!J$21*$G84</f>
        <v>0</v>
      </c>
      <c r="AG84" s="63">
        <f>'MARA Prices'!K$21*$G84</f>
        <v>0</v>
      </c>
      <c r="AH84" s="63">
        <f>'MARA Prices'!L$21*$G84</f>
        <v>0</v>
      </c>
    </row>
    <row r="85" spans="2:34" x14ac:dyDescent="0.25">
      <c r="B85" s="60">
        <f t="shared" si="13"/>
        <v>45413</v>
      </c>
      <c r="D85" s="64">
        <f>D84*IF(AND(MONTH(B85)=1,YEAR(B85)&gt;=YEAR(Prices!$L$15)),1+Prices!$L$14,1)</f>
        <v>1.0773831805458065</v>
      </c>
      <c r="E85" s="64">
        <f>IF(B85=Inputs!$C$1,D85,E84)</f>
        <v>1.0125</v>
      </c>
      <c r="F85" s="64">
        <f>IF(AND(B85&gt;=Inputs!$C$1,B85&lt;EDATE(Inputs!$C$1,Inputs!$C$2)),E85,0)</f>
        <v>0</v>
      </c>
      <c r="G85" s="64">
        <f>IF(AND(B85&gt;=Inputs!$C$1,B85&lt;EDATE(Inputs!$C$1,Inputs!$C$2)),(1+'MARA Prices'!$F$1)^IFERROR(DATEDIF('MARA Prices'!$F$2,B85,"Y")+1, 0),0)</f>
        <v>0</v>
      </c>
      <c r="I85" s="63">
        <f>IF($B85=Inputs!$C$1,SUM(Outputs_Internal!$D$4, Outputs_Internal!$D$5),0)*$D85</f>
        <v>0</v>
      </c>
      <c r="J85" s="63">
        <f>IF($B85=Inputs!$C$1,SUM(Outputs_Internal!K$4, Outputs_Internal!K$5),0)*$D85</f>
        <v>0</v>
      </c>
      <c r="K85" s="63">
        <f>IF($B85=Inputs!$C$1,SUM(Outputs_Internal!L$4, Outputs_Internal!L$5),0)*$D85</f>
        <v>0</v>
      </c>
      <c r="L85" s="63">
        <f>IF($B85=Inputs!$C$1,SUM(Outputs_Internal!M$4, Outputs_Internal!$M$5),0)*$D85</f>
        <v>0</v>
      </c>
      <c r="N85" s="63">
        <f t="shared" si="12"/>
        <v>0</v>
      </c>
      <c r="P85" s="63">
        <f>$F85*Outputs_Internal!$D$64/12+N85</f>
        <v>0</v>
      </c>
      <c r="Q85" s="63">
        <f>$F85*Outputs_Internal!K$64/12+N85*'MARA Prices'!$F$5</f>
        <v>0</v>
      </c>
      <c r="R85" s="63">
        <f>$F85*Outputs_Internal!L$64/12+N85*'MARA Prices'!$F$6</f>
        <v>0</v>
      </c>
      <c r="S85" s="63">
        <f>N85*'MARA Prices'!$F$4</f>
        <v>0</v>
      </c>
      <c r="T85" s="63">
        <f>$F85*Outputs_Internal!M$64/12</f>
        <v>0</v>
      </c>
      <c r="U85" s="63">
        <f>$F85*Outputs_Internal!N$64/12</f>
        <v>0</v>
      </c>
      <c r="W85" s="63">
        <f t="shared" si="14"/>
        <v>0</v>
      </c>
      <c r="X85" s="63">
        <f t="shared" si="15"/>
        <v>0</v>
      </c>
      <c r="Y85" s="63">
        <f t="shared" si="16"/>
        <v>0</v>
      </c>
      <c r="Z85" s="63">
        <f t="shared" si="17"/>
        <v>0</v>
      </c>
      <c r="AA85" s="63">
        <f t="shared" si="19"/>
        <v>0</v>
      </c>
      <c r="AD85" s="63">
        <f>'MARA Prices'!H$21*$G85</f>
        <v>0</v>
      </c>
      <c r="AE85" s="63">
        <f>'MARA Prices'!I$21*$G85</f>
        <v>0</v>
      </c>
      <c r="AF85" s="63">
        <f>'MARA Prices'!J$21*$G85</f>
        <v>0</v>
      </c>
      <c r="AG85" s="63">
        <f>'MARA Prices'!K$21*$G85</f>
        <v>0</v>
      </c>
      <c r="AH85" s="63">
        <f>'MARA Prices'!L$21*$G85</f>
        <v>0</v>
      </c>
    </row>
    <row r="86" spans="2:34" x14ac:dyDescent="0.25">
      <c r="B86" s="60">
        <f t="shared" si="13"/>
        <v>45444</v>
      </c>
      <c r="D86" s="64">
        <f>D85*IF(AND(MONTH(B86)=1,YEAR(B86)&gt;=YEAR(Prices!$L$15)),1+Prices!$L$14,1)</f>
        <v>1.0773831805458065</v>
      </c>
      <c r="E86" s="64">
        <f>IF(B86=Inputs!$C$1,D86,E85)</f>
        <v>1.0125</v>
      </c>
      <c r="F86" s="64">
        <f>IF(AND(B86&gt;=Inputs!$C$1,B86&lt;EDATE(Inputs!$C$1,Inputs!$C$2)),E86,0)</f>
        <v>0</v>
      </c>
      <c r="G86" s="64">
        <f>IF(AND(B86&gt;=Inputs!$C$1,B86&lt;EDATE(Inputs!$C$1,Inputs!$C$2)),(1+'MARA Prices'!$F$1)^IFERROR(DATEDIF('MARA Prices'!$F$2,B86,"Y")+1, 0),0)</f>
        <v>0</v>
      </c>
      <c r="I86" s="63">
        <f>IF($B86=Inputs!$C$1,SUM(Outputs_Internal!$D$4, Outputs_Internal!$D$5),0)*$D86</f>
        <v>0</v>
      </c>
      <c r="J86" s="63">
        <f>IF($B86=Inputs!$C$1,SUM(Outputs_Internal!K$4, Outputs_Internal!K$5),0)*$D86</f>
        <v>0</v>
      </c>
      <c r="K86" s="63">
        <f>IF($B86=Inputs!$C$1,SUM(Outputs_Internal!L$4, Outputs_Internal!L$5),0)*$D86</f>
        <v>0</v>
      </c>
      <c r="L86" s="63">
        <f>IF($B86=Inputs!$C$1,SUM(Outputs_Internal!M$4, Outputs_Internal!$M$5),0)*$D86</f>
        <v>0</v>
      </c>
      <c r="N86" s="63">
        <f t="shared" si="12"/>
        <v>0</v>
      </c>
      <c r="P86" s="63">
        <f>$F86*Outputs_Internal!$D$64/12+N86</f>
        <v>0</v>
      </c>
      <c r="Q86" s="63">
        <f>$F86*Outputs_Internal!K$64/12+N86*'MARA Prices'!$F$5</f>
        <v>0</v>
      </c>
      <c r="R86" s="63">
        <f>$F86*Outputs_Internal!L$64/12+N86*'MARA Prices'!$F$6</f>
        <v>0</v>
      </c>
      <c r="S86" s="63">
        <f>N86*'MARA Prices'!$F$4</f>
        <v>0</v>
      </c>
      <c r="T86" s="63">
        <f>$F86*Outputs_Internal!M$64/12</f>
        <v>0</v>
      </c>
      <c r="U86" s="63">
        <f>$F86*Outputs_Internal!N$64/12</f>
        <v>0</v>
      </c>
      <c r="W86" s="63">
        <f t="shared" si="14"/>
        <v>0</v>
      </c>
      <c r="X86" s="63">
        <f t="shared" si="15"/>
        <v>0</v>
      </c>
      <c r="Y86" s="63">
        <f t="shared" si="16"/>
        <v>0</v>
      </c>
      <c r="Z86" s="63">
        <f t="shared" si="17"/>
        <v>0</v>
      </c>
      <c r="AA86" s="63">
        <f t="shared" si="19"/>
        <v>0</v>
      </c>
      <c r="AD86" s="63">
        <f>'MARA Prices'!H$21*$G86</f>
        <v>0</v>
      </c>
      <c r="AE86" s="63">
        <f>'MARA Prices'!I$21*$G86</f>
        <v>0</v>
      </c>
      <c r="AF86" s="63">
        <f>'MARA Prices'!J$21*$G86</f>
        <v>0</v>
      </c>
      <c r="AG86" s="63">
        <f>'MARA Prices'!K$21*$G86</f>
        <v>0</v>
      </c>
      <c r="AH86" s="63">
        <f>'MARA Prices'!L$21*$G86</f>
        <v>0</v>
      </c>
    </row>
    <row r="87" spans="2:34" x14ac:dyDescent="0.25">
      <c r="B87" s="60">
        <f t="shared" si="13"/>
        <v>45474</v>
      </c>
      <c r="D87" s="64">
        <f>D86*IF(AND(MONTH(B87)=1,YEAR(B87)&gt;=YEAR(Prices!$L$15)),1+Prices!$L$14,1)</f>
        <v>1.0773831805458065</v>
      </c>
      <c r="E87" s="64">
        <f>IF(B87=Inputs!$C$1,D87,E86)</f>
        <v>1.0125</v>
      </c>
      <c r="F87" s="64">
        <f>IF(AND(B87&gt;=Inputs!$C$1,B87&lt;EDATE(Inputs!$C$1,Inputs!$C$2)),E87,0)</f>
        <v>0</v>
      </c>
      <c r="G87" s="64">
        <f>IF(AND(B87&gt;=Inputs!$C$1,B87&lt;EDATE(Inputs!$C$1,Inputs!$C$2)),(1+'MARA Prices'!$F$1)^IFERROR(DATEDIF('MARA Prices'!$F$2,B87,"Y")+1, 0),0)</f>
        <v>0</v>
      </c>
      <c r="I87" s="63">
        <f>IF($B87=Inputs!$C$1,SUM(Outputs_Internal!$D$4, Outputs_Internal!$D$5),0)*$D87</f>
        <v>0</v>
      </c>
      <c r="J87" s="63">
        <f>IF($B87=Inputs!$C$1,SUM(Outputs_Internal!K$4, Outputs_Internal!K$5),0)*$D87</f>
        <v>0</v>
      </c>
      <c r="K87" s="63">
        <f>IF($B87=Inputs!$C$1,SUM(Outputs_Internal!L$4, Outputs_Internal!L$5),0)*$D87</f>
        <v>0</v>
      </c>
      <c r="L87" s="63">
        <f>IF($B87=Inputs!$C$1,SUM(Outputs_Internal!M$4, Outputs_Internal!$M$5),0)*$D87</f>
        <v>0</v>
      </c>
      <c r="N87" s="63">
        <f t="shared" si="12"/>
        <v>0</v>
      </c>
      <c r="P87" s="63">
        <f>$F87*Outputs_Internal!$D$64/12+N87</f>
        <v>0</v>
      </c>
      <c r="Q87" s="63">
        <f>$F87*Outputs_Internal!K$64/12+N87*'MARA Prices'!$F$5</f>
        <v>0</v>
      </c>
      <c r="R87" s="63">
        <f>$F87*Outputs_Internal!L$64/12+N87*'MARA Prices'!$F$6</f>
        <v>0</v>
      </c>
      <c r="S87" s="63">
        <f>N87*'MARA Prices'!$F$4</f>
        <v>0</v>
      </c>
      <c r="T87" s="63">
        <f>$F87*Outputs_Internal!M$64/12</f>
        <v>0</v>
      </c>
      <c r="U87" s="63">
        <f>$F87*Outputs_Internal!N$64/12</f>
        <v>0</v>
      </c>
      <c r="W87" s="63">
        <f t="shared" si="14"/>
        <v>0</v>
      </c>
      <c r="X87" s="63">
        <f t="shared" si="15"/>
        <v>0</v>
      </c>
      <c r="Y87" s="63">
        <f t="shared" si="16"/>
        <v>0</v>
      </c>
      <c r="Z87" s="63">
        <f t="shared" si="17"/>
        <v>0</v>
      </c>
      <c r="AA87" s="63">
        <f t="shared" si="19"/>
        <v>0</v>
      </c>
      <c r="AD87" s="63">
        <f>'MARA Prices'!H$21*$G87</f>
        <v>0</v>
      </c>
      <c r="AE87" s="63">
        <f>'MARA Prices'!I$21*$G87</f>
        <v>0</v>
      </c>
      <c r="AF87" s="63">
        <f>'MARA Prices'!J$21*$G87</f>
        <v>0</v>
      </c>
      <c r="AG87" s="63">
        <f>'MARA Prices'!K$21*$G87</f>
        <v>0</v>
      </c>
      <c r="AH87" s="63">
        <f>'MARA Prices'!L$21*$G87</f>
        <v>0</v>
      </c>
    </row>
    <row r="88" spans="2:34" x14ac:dyDescent="0.25">
      <c r="B88" s="60">
        <f t="shared" si="13"/>
        <v>45505</v>
      </c>
      <c r="D88" s="64">
        <f>D87*IF(AND(MONTH(B88)=1,YEAR(B88)&gt;=YEAR(Prices!$L$15)),1+Prices!$L$14,1)</f>
        <v>1.0773831805458065</v>
      </c>
      <c r="E88" s="64">
        <f>IF(B88=Inputs!$C$1,D88,E87)</f>
        <v>1.0125</v>
      </c>
      <c r="F88" s="64">
        <f>IF(AND(B88&gt;=Inputs!$C$1,B88&lt;EDATE(Inputs!$C$1,Inputs!$C$2)),E88,0)</f>
        <v>0</v>
      </c>
      <c r="G88" s="64">
        <f>IF(AND(B88&gt;=Inputs!$C$1,B88&lt;EDATE(Inputs!$C$1,Inputs!$C$2)),(1+'MARA Prices'!$F$1)^IFERROR(DATEDIF('MARA Prices'!$F$2,B88,"Y")+1, 0),0)</f>
        <v>0</v>
      </c>
      <c r="I88" s="63">
        <f>IF($B88=Inputs!$C$1,SUM(Outputs_Internal!$D$4, Outputs_Internal!$D$5),0)*$D88</f>
        <v>0</v>
      </c>
      <c r="J88" s="63">
        <f>IF($B88=Inputs!$C$1,SUM(Outputs_Internal!K$4, Outputs_Internal!K$5),0)*$D88</f>
        <v>0</v>
      </c>
      <c r="K88" s="63">
        <f>IF($B88=Inputs!$C$1,SUM(Outputs_Internal!L$4, Outputs_Internal!L$5),0)*$D88</f>
        <v>0</v>
      </c>
      <c r="L88" s="63">
        <f>IF($B88=Inputs!$C$1,SUM(Outputs_Internal!M$4, Outputs_Internal!$M$5),0)*$D88</f>
        <v>0</v>
      </c>
      <c r="N88" s="63">
        <f t="shared" si="12"/>
        <v>0</v>
      </c>
      <c r="P88" s="63">
        <f>$F88*Outputs_Internal!$D$64/12+N88</f>
        <v>0</v>
      </c>
      <c r="Q88" s="63">
        <f>$F88*Outputs_Internal!K$64/12+N88*'MARA Prices'!$F$5</f>
        <v>0</v>
      </c>
      <c r="R88" s="63">
        <f>$F88*Outputs_Internal!L$64/12+N88*'MARA Prices'!$F$6</f>
        <v>0</v>
      </c>
      <c r="S88" s="63">
        <f>N88*'MARA Prices'!$F$4</f>
        <v>0</v>
      </c>
      <c r="T88" s="63">
        <f>$F88*Outputs_Internal!M$64/12</f>
        <v>0</v>
      </c>
      <c r="U88" s="63">
        <f>$F88*Outputs_Internal!N$64/12</f>
        <v>0</v>
      </c>
      <c r="W88" s="63">
        <f t="shared" si="14"/>
        <v>0</v>
      </c>
      <c r="X88" s="63">
        <f t="shared" si="15"/>
        <v>0</v>
      </c>
      <c r="Y88" s="63">
        <f t="shared" si="16"/>
        <v>0</v>
      </c>
      <c r="Z88" s="63">
        <f t="shared" si="17"/>
        <v>0</v>
      </c>
      <c r="AA88" s="63">
        <f t="shared" si="19"/>
        <v>0</v>
      </c>
      <c r="AD88" s="63">
        <f>'MARA Prices'!H$21*$G88</f>
        <v>0</v>
      </c>
      <c r="AE88" s="63">
        <f>'MARA Prices'!I$21*$G88</f>
        <v>0</v>
      </c>
      <c r="AF88" s="63">
        <f>'MARA Prices'!J$21*$G88</f>
        <v>0</v>
      </c>
      <c r="AG88" s="63">
        <f>'MARA Prices'!K$21*$G88</f>
        <v>0</v>
      </c>
      <c r="AH88" s="63">
        <f>'MARA Prices'!L$21*$G88</f>
        <v>0</v>
      </c>
    </row>
    <row r="89" spans="2:34" x14ac:dyDescent="0.25">
      <c r="B89" s="60">
        <f t="shared" si="13"/>
        <v>45536</v>
      </c>
      <c r="D89" s="64">
        <f>D88*IF(AND(MONTH(B89)=1,YEAR(B89)&gt;=YEAR(Prices!$L$15)),1+Prices!$L$14,1)</f>
        <v>1.0773831805458065</v>
      </c>
      <c r="E89" s="64">
        <f>IF(B89=Inputs!$C$1,D89,E88)</f>
        <v>1.0125</v>
      </c>
      <c r="F89" s="64">
        <f>IF(AND(B89&gt;=Inputs!$C$1,B89&lt;EDATE(Inputs!$C$1,Inputs!$C$2)),E89,0)</f>
        <v>0</v>
      </c>
      <c r="G89" s="64">
        <f>IF(AND(B89&gt;=Inputs!$C$1,B89&lt;EDATE(Inputs!$C$1,Inputs!$C$2)),(1+'MARA Prices'!$F$1)^IFERROR(DATEDIF('MARA Prices'!$F$2,B89,"Y")+1, 0),0)</f>
        <v>0</v>
      </c>
      <c r="I89" s="63">
        <f>IF($B89=Inputs!$C$1,SUM(Outputs_Internal!$D$4, Outputs_Internal!$D$5),0)*$D89</f>
        <v>0</v>
      </c>
      <c r="J89" s="63">
        <f>IF($B89=Inputs!$C$1,SUM(Outputs_Internal!K$4, Outputs_Internal!K$5),0)*$D89</f>
        <v>0</v>
      </c>
      <c r="K89" s="63">
        <f>IF($B89=Inputs!$C$1,SUM(Outputs_Internal!L$4, Outputs_Internal!L$5),0)*$D89</f>
        <v>0</v>
      </c>
      <c r="L89" s="63">
        <f>IF($B89=Inputs!$C$1,SUM(Outputs_Internal!M$4, Outputs_Internal!$M$5),0)*$D89</f>
        <v>0</v>
      </c>
      <c r="N89" s="63">
        <f t="shared" si="12"/>
        <v>0</v>
      </c>
      <c r="P89" s="63">
        <f>$F89*Outputs_Internal!$D$64/12+N89</f>
        <v>0</v>
      </c>
      <c r="Q89" s="63">
        <f>$F89*Outputs_Internal!K$64/12+N89*'MARA Prices'!$F$5</f>
        <v>0</v>
      </c>
      <c r="R89" s="63">
        <f>$F89*Outputs_Internal!L$64/12+N89*'MARA Prices'!$F$6</f>
        <v>0</v>
      </c>
      <c r="S89" s="63">
        <f>N89*'MARA Prices'!$F$4</f>
        <v>0</v>
      </c>
      <c r="T89" s="63">
        <f>$F89*Outputs_Internal!M$64/12</f>
        <v>0</v>
      </c>
      <c r="U89" s="63">
        <f>$F89*Outputs_Internal!N$64/12</f>
        <v>0</v>
      </c>
      <c r="W89" s="63">
        <f t="shared" si="14"/>
        <v>0</v>
      </c>
      <c r="X89" s="63">
        <f t="shared" si="15"/>
        <v>0</v>
      </c>
      <c r="Y89" s="63">
        <f t="shared" si="16"/>
        <v>0</v>
      </c>
      <c r="Z89" s="63">
        <f t="shared" si="17"/>
        <v>0</v>
      </c>
      <c r="AA89" s="63">
        <f t="shared" si="19"/>
        <v>0</v>
      </c>
      <c r="AD89" s="63">
        <f>'MARA Prices'!H$21*$G89</f>
        <v>0</v>
      </c>
      <c r="AE89" s="63">
        <f>'MARA Prices'!I$21*$G89</f>
        <v>0</v>
      </c>
      <c r="AF89" s="63">
        <f>'MARA Prices'!J$21*$G89</f>
        <v>0</v>
      </c>
      <c r="AG89" s="63">
        <f>'MARA Prices'!K$21*$G89</f>
        <v>0</v>
      </c>
      <c r="AH89" s="63">
        <f>'MARA Prices'!L$21*$G89</f>
        <v>0</v>
      </c>
    </row>
    <row r="90" spans="2:34" x14ac:dyDescent="0.25">
      <c r="B90" s="60">
        <f t="shared" si="13"/>
        <v>45566</v>
      </c>
      <c r="D90" s="64">
        <f>D89*IF(AND(MONTH(B90)=1,YEAR(B90)&gt;=YEAR(Prices!$L$15)),1+Prices!$L$14,1)</f>
        <v>1.0773831805458065</v>
      </c>
      <c r="E90" s="64">
        <f>IF(B90=Inputs!$C$1,D90,E89)</f>
        <v>1.0125</v>
      </c>
      <c r="F90" s="64">
        <f>IF(AND(B90&gt;=Inputs!$C$1,B90&lt;EDATE(Inputs!$C$1,Inputs!$C$2)),E90,0)</f>
        <v>0</v>
      </c>
      <c r="G90" s="64">
        <f>IF(AND(B90&gt;=Inputs!$C$1,B90&lt;EDATE(Inputs!$C$1,Inputs!$C$2)),(1+'MARA Prices'!$F$1)^IFERROR(DATEDIF('MARA Prices'!$F$2,B90,"Y")+1, 0),0)</f>
        <v>0</v>
      </c>
      <c r="I90" s="63">
        <f>IF($B90=Inputs!$C$1,SUM(Outputs_Internal!$D$4, Outputs_Internal!$D$5),0)*$D90</f>
        <v>0</v>
      </c>
      <c r="J90" s="63">
        <f>IF($B90=Inputs!$C$1,SUM(Outputs_Internal!K$4, Outputs_Internal!K$5),0)*$D90</f>
        <v>0</v>
      </c>
      <c r="K90" s="63">
        <f>IF($B90=Inputs!$C$1,SUM(Outputs_Internal!L$4, Outputs_Internal!L$5),0)*$D90</f>
        <v>0</v>
      </c>
      <c r="L90" s="63">
        <f>IF($B90=Inputs!$C$1,SUM(Outputs_Internal!M$4, Outputs_Internal!$M$5),0)*$D90</f>
        <v>0</v>
      </c>
      <c r="N90" s="63">
        <f t="shared" si="12"/>
        <v>0</v>
      </c>
      <c r="P90" s="63">
        <f>$F90*Outputs_Internal!$D$64/12+N90</f>
        <v>0</v>
      </c>
      <c r="Q90" s="63">
        <f>$F90*Outputs_Internal!K$64/12+N90*'MARA Prices'!$F$5</f>
        <v>0</v>
      </c>
      <c r="R90" s="63">
        <f>$F90*Outputs_Internal!L$64/12+N90*'MARA Prices'!$F$6</f>
        <v>0</v>
      </c>
      <c r="S90" s="63">
        <f>N90*'MARA Prices'!$F$4</f>
        <v>0</v>
      </c>
      <c r="T90" s="63">
        <f>$F90*Outputs_Internal!M$64/12</f>
        <v>0</v>
      </c>
      <c r="U90" s="63">
        <f>$F90*Outputs_Internal!N$64/12</f>
        <v>0</v>
      </c>
      <c r="W90" s="63">
        <f t="shared" si="14"/>
        <v>0</v>
      </c>
      <c r="X90" s="63">
        <f t="shared" si="15"/>
        <v>0</v>
      </c>
      <c r="Y90" s="63">
        <f t="shared" si="16"/>
        <v>0</v>
      </c>
      <c r="Z90" s="63">
        <f t="shared" si="17"/>
        <v>0</v>
      </c>
      <c r="AA90" s="63">
        <f t="shared" si="19"/>
        <v>0</v>
      </c>
      <c r="AD90" s="63">
        <f>'MARA Prices'!H$21*$G90</f>
        <v>0</v>
      </c>
      <c r="AE90" s="63">
        <f>'MARA Prices'!I$21*$G90</f>
        <v>0</v>
      </c>
      <c r="AF90" s="63">
        <f>'MARA Prices'!J$21*$G90</f>
        <v>0</v>
      </c>
      <c r="AG90" s="63">
        <f>'MARA Prices'!K$21*$G90</f>
        <v>0</v>
      </c>
      <c r="AH90" s="63">
        <f>'MARA Prices'!L$21*$G90</f>
        <v>0</v>
      </c>
    </row>
    <row r="91" spans="2:34" x14ac:dyDescent="0.25">
      <c r="B91" s="60">
        <f t="shared" si="13"/>
        <v>45597</v>
      </c>
      <c r="D91" s="64">
        <f>D90*IF(AND(MONTH(B91)=1,YEAR(B91)&gt;=YEAR(Prices!$L$15)),1+Prices!$L$14,1)</f>
        <v>1.0773831805458065</v>
      </c>
      <c r="E91" s="64">
        <f>IF(B91=Inputs!$C$1,D91,E90)</f>
        <v>1.0125</v>
      </c>
      <c r="F91" s="64">
        <f>IF(AND(B91&gt;=Inputs!$C$1,B91&lt;EDATE(Inputs!$C$1,Inputs!$C$2)),E91,0)</f>
        <v>0</v>
      </c>
      <c r="G91" s="64">
        <f>IF(AND(B91&gt;=Inputs!$C$1,B91&lt;EDATE(Inputs!$C$1,Inputs!$C$2)),(1+'MARA Prices'!$F$1)^IFERROR(DATEDIF('MARA Prices'!$F$2,B91,"Y")+1, 0),0)</f>
        <v>0</v>
      </c>
      <c r="I91" s="63">
        <f>IF($B91=Inputs!$C$1,SUM(Outputs_Internal!$D$4, Outputs_Internal!$D$5),0)*$D91</f>
        <v>0</v>
      </c>
      <c r="J91" s="63">
        <f>IF($B91=Inputs!$C$1,SUM(Outputs_Internal!K$4, Outputs_Internal!K$5),0)*$D91</f>
        <v>0</v>
      </c>
      <c r="K91" s="63">
        <f>IF($B91=Inputs!$C$1,SUM(Outputs_Internal!L$4, Outputs_Internal!L$5),0)*$D91</f>
        <v>0</v>
      </c>
      <c r="L91" s="63">
        <f>IF($B91=Inputs!$C$1,SUM(Outputs_Internal!M$4, Outputs_Internal!$M$5),0)*$D91</f>
        <v>0</v>
      </c>
      <c r="N91" s="63">
        <f t="shared" si="12"/>
        <v>0</v>
      </c>
      <c r="P91" s="63">
        <f>$F91*Outputs_Internal!$D$64/12+N91</f>
        <v>0</v>
      </c>
      <c r="Q91" s="63">
        <f>$F91*Outputs_Internal!K$64/12+N91*'MARA Prices'!$F$5</f>
        <v>0</v>
      </c>
      <c r="R91" s="63">
        <f>$F91*Outputs_Internal!L$64/12+N91*'MARA Prices'!$F$6</f>
        <v>0</v>
      </c>
      <c r="S91" s="63">
        <f>N91*'MARA Prices'!$F$4</f>
        <v>0</v>
      </c>
      <c r="T91" s="63">
        <f>$F91*Outputs_Internal!M$64/12</f>
        <v>0</v>
      </c>
      <c r="U91" s="63">
        <f>$F91*Outputs_Internal!N$64/12</f>
        <v>0</v>
      </c>
      <c r="W91" s="63">
        <f t="shared" si="14"/>
        <v>0</v>
      </c>
      <c r="X91" s="63">
        <f t="shared" si="15"/>
        <v>0</v>
      </c>
      <c r="Y91" s="63">
        <f t="shared" si="16"/>
        <v>0</v>
      </c>
      <c r="Z91" s="63">
        <f t="shared" si="17"/>
        <v>0</v>
      </c>
      <c r="AA91" s="63">
        <f t="shared" si="19"/>
        <v>0</v>
      </c>
      <c r="AD91" s="63">
        <f>'MARA Prices'!H$21*$G91</f>
        <v>0</v>
      </c>
      <c r="AE91" s="63">
        <f>'MARA Prices'!I$21*$G91</f>
        <v>0</v>
      </c>
      <c r="AF91" s="63">
        <f>'MARA Prices'!J$21*$G91</f>
        <v>0</v>
      </c>
      <c r="AG91" s="63">
        <f>'MARA Prices'!K$21*$G91</f>
        <v>0</v>
      </c>
      <c r="AH91" s="63">
        <f>'MARA Prices'!L$21*$G91</f>
        <v>0</v>
      </c>
    </row>
    <row r="92" spans="2:34" x14ac:dyDescent="0.25">
      <c r="B92" s="60">
        <f t="shared" si="13"/>
        <v>45627</v>
      </c>
      <c r="D92" s="64">
        <f>D91*IF(AND(MONTH(B92)=1,YEAR(B92)&gt;=YEAR(Prices!$L$15)),1+Prices!$L$14,1)</f>
        <v>1.0773831805458065</v>
      </c>
      <c r="E92" s="64">
        <f>IF(B92=Inputs!$C$1,D92,E91)</f>
        <v>1.0125</v>
      </c>
      <c r="F92" s="64">
        <f>IF(AND(B92&gt;=Inputs!$C$1,B92&lt;EDATE(Inputs!$C$1,Inputs!$C$2)),E92,0)</f>
        <v>0</v>
      </c>
      <c r="G92" s="64">
        <f>IF(AND(B92&gt;=Inputs!$C$1,B92&lt;EDATE(Inputs!$C$1,Inputs!$C$2)),(1+'MARA Prices'!$F$1)^IFERROR(DATEDIF('MARA Prices'!$F$2,B92,"Y")+1, 0),0)</f>
        <v>0</v>
      </c>
      <c r="I92" s="63">
        <f>IF($B92=Inputs!$C$1,SUM(Outputs_Internal!$D$4, Outputs_Internal!$D$5),0)*$D92</f>
        <v>0</v>
      </c>
      <c r="J92" s="63">
        <f>IF($B92=Inputs!$C$1,SUM(Outputs_Internal!K$4, Outputs_Internal!K$5),0)*$D92</f>
        <v>0</v>
      </c>
      <c r="K92" s="63">
        <f>IF($B92=Inputs!$C$1,SUM(Outputs_Internal!L$4, Outputs_Internal!L$5),0)*$D92</f>
        <v>0</v>
      </c>
      <c r="L92" s="63">
        <f>IF($B92=Inputs!$C$1,SUM(Outputs_Internal!M$4, Outputs_Internal!$M$5),0)*$D92</f>
        <v>0</v>
      </c>
      <c r="N92" s="63">
        <f t="shared" si="12"/>
        <v>0</v>
      </c>
      <c r="P92" s="63">
        <f>$F92*Outputs_Internal!$D$64/12+N92</f>
        <v>0</v>
      </c>
      <c r="Q92" s="63">
        <f>$F92*Outputs_Internal!K$64/12+N92*'MARA Prices'!$F$5</f>
        <v>0</v>
      </c>
      <c r="R92" s="63">
        <f>$F92*Outputs_Internal!L$64/12+N92*'MARA Prices'!$F$6</f>
        <v>0</v>
      </c>
      <c r="S92" s="63">
        <f>N92*'MARA Prices'!$F$4</f>
        <v>0</v>
      </c>
      <c r="T92" s="63">
        <f>$F92*Outputs_Internal!M$64/12</f>
        <v>0</v>
      </c>
      <c r="U92" s="63">
        <f>$F92*Outputs_Internal!N$64/12</f>
        <v>0</v>
      </c>
      <c r="W92" s="63">
        <f t="shared" si="14"/>
        <v>0</v>
      </c>
      <c r="X92" s="63">
        <f t="shared" si="15"/>
        <v>0</v>
      </c>
      <c r="Y92" s="63">
        <f t="shared" si="16"/>
        <v>0</v>
      </c>
      <c r="Z92" s="63">
        <f t="shared" si="17"/>
        <v>0</v>
      </c>
      <c r="AA92" s="63">
        <f t="shared" si="19"/>
        <v>0</v>
      </c>
      <c r="AD92" s="63">
        <f>'MARA Prices'!H$21*$G92</f>
        <v>0</v>
      </c>
      <c r="AE92" s="63">
        <f>'MARA Prices'!I$21*$G92</f>
        <v>0</v>
      </c>
      <c r="AF92" s="63">
        <f>'MARA Prices'!J$21*$G92</f>
        <v>0</v>
      </c>
      <c r="AG92" s="63">
        <f>'MARA Prices'!K$21*$G92</f>
        <v>0</v>
      </c>
      <c r="AH92" s="63">
        <f>'MARA Prices'!L$21*$G92</f>
        <v>0</v>
      </c>
    </row>
    <row r="93" spans="2:34" x14ac:dyDescent="0.25">
      <c r="B93" s="60">
        <f t="shared" si="13"/>
        <v>45658</v>
      </c>
      <c r="D93" s="64">
        <f>D92*IF(AND(MONTH(B93)=1,YEAR(B93)&gt;=YEAR(Prices!$L$15)),1+Prices!$L$14,1)</f>
        <v>1.0908504703026289</v>
      </c>
      <c r="E93" s="64">
        <f>IF(B93=Inputs!$C$1,D93,E92)</f>
        <v>1.0125</v>
      </c>
      <c r="F93" s="64">
        <f>IF(AND(B93&gt;=Inputs!$C$1,B93&lt;EDATE(Inputs!$C$1,Inputs!$C$2)),E93,0)</f>
        <v>0</v>
      </c>
      <c r="G93" s="64">
        <f>IF(AND(B93&gt;=Inputs!$C$1,B93&lt;EDATE(Inputs!$C$1,Inputs!$C$2)),(1+'MARA Prices'!$F$1)^IFERROR(DATEDIF('MARA Prices'!$F$2,B93,"Y")+1, 0),0)</f>
        <v>0</v>
      </c>
      <c r="I93" s="63">
        <f>IF($B93=Inputs!$C$1,SUM(Outputs_Internal!$D$4, Outputs_Internal!$D$5),0)*$D93</f>
        <v>0</v>
      </c>
      <c r="J93" s="63">
        <f>IF($B93=Inputs!$C$1,SUM(Outputs_Internal!K$4, Outputs_Internal!K$5),0)*$D93</f>
        <v>0</v>
      </c>
      <c r="K93" s="63">
        <f>IF($B93=Inputs!$C$1,SUM(Outputs_Internal!L$4, Outputs_Internal!L$5),0)*$D93</f>
        <v>0</v>
      </c>
      <c r="L93" s="63">
        <f>IF($B93=Inputs!$C$1,SUM(Outputs_Internal!M$4, Outputs_Internal!$M$5),0)*$D93</f>
        <v>0</v>
      </c>
      <c r="N93" s="63">
        <f t="shared" si="12"/>
        <v>0</v>
      </c>
      <c r="P93" s="63">
        <f>$F93*Outputs_Internal!$D$64/12+N93</f>
        <v>0</v>
      </c>
      <c r="Q93" s="63">
        <f>$F93*Outputs_Internal!K$64/12+N93*'MARA Prices'!$F$5</f>
        <v>0</v>
      </c>
      <c r="R93" s="63">
        <f>$F93*Outputs_Internal!L$64/12+N93*'MARA Prices'!$F$6</f>
        <v>0</v>
      </c>
      <c r="S93" s="63">
        <f>N93*'MARA Prices'!$F$4</f>
        <v>0</v>
      </c>
      <c r="T93" s="63">
        <f>$F93*Outputs_Internal!M$64/12</f>
        <v>0</v>
      </c>
      <c r="U93" s="63">
        <f>$F93*Outputs_Internal!N$64/12</f>
        <v>0</v>
      </c>
      <c r="W93" s="63">
        <f t="shared" si="14"/>
        <v>0</v>
      </c>
      <c r="X93" s="63">
        <f t="shared" si="15"/>
        <v>0</v>
      </c>
      <c r="Y93" s="63">
        <f t="shared" si="16"/>
        <v>0</v>
      </c>
      <c r="Z93" s="63">
        <f t="shared" si="17"/>
        <v>0</v>
      </c>
      <c r="AA93" s="63">
        <f t="shared" si="19"/>
        <v>0</v>
      </c>
      <c r="AD93" s="63">
        <f>'MARA Prices'!H$21*$G93</f>
        <v>0</v>
      </c>
      <c r="AE93" s="63">
        <f>'MARA Prices'!I$21*$G93</f>
        <v>0</v>
      </c>
      <c r="AF93" s="63">
        <f>'MARA Prices'!J$21*$G93</f>
        <v>0</v>
      </c>
      <c r="AG93" s="63">
        <f>'MARA Prices'!K$21*$G93</f>
        <v>0</v>
      </c>
      <c r="AH93" s="63">
        <f>'MARA Prices'!L$21*$G93</f>
        <v>0</v>
      </c>
    </row>
    <row r="94" spans="2:34" x14ac:dyDescent="0.25">
      <c r="B94" s="60">
        <f t="shared" si="13"/>
        <v>45689</v>
      </c>
      <c r="D94" s="64">
        <f>D93*IF(AND(MONTH(B94)=1,YEAR(B94)&gt;=YEAR(Prices!$L$15)),1+Prices!$L$14,1)</f>
        <v>1.0908504703026289</v>
      </c>
      <c r="E94" s="64">
        <f>IF(B94=Inputs!$C$1,D94,E93)</f>
        <v>1.0125</v>
      </c>
      <c r="F94" s="64">
        <f>IF(AND(B94&gt;=Inputs!$C$1,B94&lt;EDATE(Inputs!$C$1,Inputs!$C$2)),E94,0)</f>
        <v>0</v>
      </c>
      <c r="G94" s="64">
        <f>IF(AND(B94&gt;=Inputs!$C$1,B94&lt;EDATE(Inputs!$C$1,Inputs!$C$2)),(1+'MARA Prices'!$F$1)^IFERROR(DATEDIF('MARA Prices'!$F$2,B94,"Y")+1, 0),0)</f>
        <v>0</v>
      </c>
      <c r="I94" s="63">
        <f>IF($B94=Inputs!$C$1,SUM(Outputs_Internal!$D$4, Outputs_Internal!$D$5),0)*$D94</f>
        <v>0</v>
      </c>
      <c r="J94" s="63">
        <f>IF($B94=Inputs!$C$1,SUM(Outputs_Internal!K$4, Outputs_Internal!K$5),0)*$D94</f>
        <v>0</v>
      </c>
      <c r="K94" s="63">
        <f>IF($B94=Inputs!$C$1,SUM(Outputs_Internal!L$4, Outputs_Internal!L$5),0)*$D94</f>
        <v>0</v>
      </c>
      <c r="L94" s="63">
        <f>IF($B94=Inputs!$C$1,SUM(Outputs_Internal!M$4, Outputs_Internal!$M$5),0)*$D94</f>
        <v>0</v>
      </c>
      <c r="N94" s="63">
        <f t="shared" si="12"/>
        <v>0</v>
      </c>
      <c r="P94" s="63">
        <f>$F94*Outputs_Internal!$D$64/12+N94</f>
        <v>0</v>
      </c>
      <c r="Q94" s="63">
        <f>$F94*Outputs_Internal!K$64/12+N94*'MARA Prices'!$F$5</f>
        <v>0</v>
      </c>
      <c r="R94" s="63">
        <f>$F94*Outputs_Internal!L$64/12+N94*'MARA Prices'!$F$6</f>
        <v>0</v>
      </c>
      <c r="S94" s="63">
        <f>N94*'MARA Prices'!$F$4</f>
        <v>0</v>
      </c>
      <c r="T94" s="63">
        <f>$F94*Outputs_Internal!M$64/12</f>
        <v>0</v>
      </c>
      <c r="U94" s="63">
        <f>$F94*Outputs_Internal!N$64/12</f>
        <v>0</v>
      </c>
      <c r="W94" s="63">
        <f t="shared" si="14"/>
        <v>0</v>
      </c>
      <c r="X94" s="63">
        <f t="shared" si="15"/>
        <v>0</v>
      </c>
      <c r="Y94" s="63">
        <f t="shared" si="16"/>
        <v>0</v>
      </c>
      <c r="Z94" s="63">
        <f t="shared" si="17"/>
        <v>0</v>
      </c>
      <c r="AA94" s="63">
        <f t="shared" si="19"/>
        <v>0</v>
      </c>
      <c r="AD94" s="63">
        <f>'MARA Prices'!H$21*$G94</f>
        <v>0</v>
      </c>
      <c r="AE94" s="63">
        <f>'MARA Prices'!I$21*$G94</f>
        <v>0</v>
      </c>
      <c r="AF94" s="63">
        <f>'MARA Prices'!J$21*$G94</f>
        <v>0</v>
      </c>
      <c r="AG94" s="63">
        <f>'MARA Prices'!K$21*$G94</f>
        <v>0</v>
      </c>
      <c r="AH94" s="63">
        <f>'MARA Prices'!L$21*$G94</f>
        <v>0</v>
      </c>
    </row>
  </sheetData>
  <conditionalFormatting sqref="AA2 AD2:AH2 AA5:AA94 D1:Z1048576">
    <cfRule type="cellIs" dxfId="2" priority="3" operator="equal">
      <formula>0</formula>
    </cfRule>
  </conditionalFormatting>
  <conditionalFormatting sqref="AD1:AE1">
    <cfRule type="cellIs" dxfId="1" priority="2" operator="equal">
      <formula>0</formula>
    </cfRule>
  </conditionalFormatting>
  <conditionalFormatting sqref="AD3:AH9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0"/>
  <sheetViews>
    <sheetView zoomScale="80" zoomScaleNormal="80"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G101" sqref="G101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IF(AND(Inputs!D8="Y",Inputs!D7="Y"), 0, IF(Inputs!D7="Y", SUM(Prices!$C$3, IF(Inputs!D$9 ="Y", Prices!$C$4, 0)), IF(Inputs!D7="N", Prices!$D$3, 0)))*Inputs!D12</f>
        <v>5000</v>
      </c>
      <c r="E4" s="1">
        <f>IF(AND(Inputs!E8="Y",Inputs!E7="Y"), 0, IF(Inputs!E7="Y", SUM(Prices!$C$3, IF(Inputs!E$9 ="Y", Prices!$C$4, 0)), IF(Inputs!E7="N", Prices!$D$3, 0)))*Inputs!E12</f>
        <v>0</v>
      </c>
      <c r="F4" s="1">
        <f>IF(AND(Inputs!F8="Y",Inputs!F7="Y"), 0, IF(Inputs!F7="Y", SUM(Prices!$C$3, IF(Inputs!F$9 ="Y", Prices!$C$4, 0)), IF(Inputs!F7="N", Prices!$D$3, 0)))*Inputs!F12</f>
        <v>0</v>
      </c>
      <c r="G4" s="1">
        <f>IF(AND(Inputs!G8="Y",Inputs!G7="Y"), 0, IF(Inputs!G7="Y", SUM(Prices!$C$3, IF(Inputs!G$9 ="Y", Prices!$C$4, 0)), IF(Inputs!G7="N", Prices!$D$3, 0)))*Inputs!G12</f>
        <v>0</v>
      </c>
      <c r="H4" s="1">
        <f>IF(AND(Inputs!H8="Y",Inputs!H7="Y"), 0, IF(Inputs!H7="Y", SUM(Prices!$C$3, IF(Inputs!H$9 ="Y", Prices!$C$4, 0)), IF(Inputs!H7="N", Prices!$D$3, 0)))*Inputs!H12</f>
        <v>0</v>
      </c>
    </row>
    <row r="5" spans="2:15" x14ac:dyDescent="0.25">
      <c r="D5" s="1"/>
      <c r="E5" s="1"/>
      <c r="F5" s="1"/>
      <c r="G5" s="1"/>
      <c r="H5" s="1"/>
      <c r="K5" s="22" t="s">
        <v>92</v>
      </c>
      <c r="L5" s="22" t="s">
        <v>91</v>
      </c>
      <c r="M5" s="22" t="s">
        <v>93</v>
      </c>
    </row>
    <row r="6" spans="2:15" x14ac:dyDescent="0.25">
      <c r="B6" s="6" t="s">
        <v>86</v>
      </c>
      <c r="D6" s="5">
        <f>IF(Inputs!D$7="N",MIN(MAX(Inputs!D$11-$K6,0),$L6-$K6),0)</f>
        <v>0</v>
      </c>
      <c r="E6" s="5">
        <f>IF(Inputs!E$7="N",MIN(MAX(Inputs!E$11-$K6,0),$L6-$K6),0)</f>
        <v>0</v>
      </c>
      <c r="F6" s="5">
        <f>IF(Inputs!F$7="N",MIN(MAX(Inputs!F$11-$K6,0),$L6-$K6),0)</f>
        <v>0</v>
      </c>
      <c r="G6" s="5">
        <f>IF(Inputs!G$7="N",MIN(MAX(Inputs!G$11-$K6,0),$L6-$K6),0)</f>
        <v>0</v>
      </c>
      <c r="H6" s="5">
        <f>IF(Inputs!H$7="N",MIN(MAX(Inputs!H$11-$K6,0),$L6-$K6),0)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87</v>
      </c>
      <c r="D7" s="5">
        <f>IF(Inputs!D$7="N",MIN(MAX(Inputs!D$11-$K7,0),$L7-$K7),0)</f>
        <v>0</v>
      </c>
      <c r="E7" s="5">
        <f>IF(Inputs!E$7="N",MIN(MAX(Inputs!E$11-$K7,0),$L7-$K7),0)</f>
        <v>0</v>
      </c>
      <c r="F7" s="5">
        <f>IF(Inputs!F$7="N",MIN(MAX(Inputs!F$11-$K7,0),$L7-$K7),0)</f>
        <v>0</v>
      </c>
      <c r="G7" s="5">
        <f>IF(Inputs!G$7="N",MIN(MAX(Inputs!G$11-$K7,0),$L7-$K7),0)</f>
        <v>0</v>
      </c>
      <c r="H7" s="5">
        <f>IF(Inputs!H$7="N",MIN(MAX(Inputs!H$11-$K7,0),$L7-$K7),0)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88</v>
      </c>
      <c r="D8" s="5">
        <f>IF(Inputs!D$7="N",MIN(MAX(Inputs!D$11-$K8,0),$L8-$K8),0)</f>
        <v>0</v>
      </c>
      <c r="E8" s="5">
        <f>IF(Inputs!E$7="N",MIN(MAX(Inputs!E$11-$K8,0),$L8-$K8),0)</f>
        <v>0</v>
      </c>
      <c r="F8" s="5">
        <f>IF(Inputs!F$7="N",MIN(MAX(Inputs!F$11-$K8,0),$L8-$K8),0)</f>
        <v>0</v>
      </c>
      <c r="G8" s="5">
        <f>IF(Inputs!G$7="N",MIN(MAX(Inputs!G$11-$K8,0),$L8-$K8),0)</f>
        <v>0</v>
      </c>
      <c r="H8" s="5">
        <f>IF(Inputs!H$7="N",MIN(MAX(Inputs!H$11-$K8,0),$L8-$K8),0)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90</v>
      </c>
      <c r="D9" s="5">
        <f>IF(Inputs!D$7="N",MIN(MAX(Inputs!D$11-$K9,0),$L9-$K9),0)</f>
        <v>0</v>
      </c>
      <c r="E9" s="5">
        <f>IF(Inputs!E$7="N",MIN(MAX(Inputs!E$11-$K9,0),$L9-$K9),0)</f>
        <v>0</v>
      </c>
      <c r="F9" s="5">
        <f>IF(Inputs!F$7="N",MIN(MAX(Inputs!F$11-$K9,0),$L9-$K9),0)</f>
        <v>0</v>
      </c>
      <c r="G9" s="5">
        <f>IF(Inputs!G$7="N",MIN(MAX(Inputs!G$11-$K9,0),$L9-$K9),0)</f>
        <v>0</v>
      </c>
      <c r="H9" s="5">
        <f>IF(Inputs!H$7="N",MIN(MAX(Inputs!H$11-$K9,0),$L9-$K9),0)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94</v>
      </c>
      <c r="D10" s="79">
        <f>IFERROR(SUMPRODUCT(D6:D9,$M$6:$M$9)/SUM(D6:D9),0)</f>
        <v>0</v>
      </c>
      <c r="E10" s="79">
        <f>IFERROR(SUMPRODUCT(E6:E9,$M$6:$M$9)/SUM(E6:E9),0)</f>
        <v>0</v>
      </c>
      <c r="F10" s="79">
        <f t="shared" ref="F10:H10" si="0">IFERROR(SUMPRODUCT(F6:F9,$M$6:$M$9)/SUM(F6:F9),0)</f>
        <v>0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95</v>
      </c>
      <c r="D11" s="80">
        <f>SUM(D6:D9)</f>
        <v>0</v>
      </c>
      <c r="E11" s="80">
        <f t="shared" ref="E11:H11" si="1">SUM(E6:E9)</f>
        <v>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48</v>
      </c>
    </row>
    <row r="14" spans="2:15" x14ac:dyDescent="0.25">
      <c r="C14" s="15" t="s">
        <v>2</v>
      </c>
      <c r="D14" s="16">
        <f>IF(Inputs!D7="Y", Prices!$C$6, IF(Inputs!D7="N", Prices!$D$6, 0))</f>
        <v>15000</v>
      </c>
      <c r="E14" s="16">
        <f>IF(Inputs!E7="Y", Prices!$C$6, IF(Inputs!E7="N", Prices!$D$6, 0))</f>
        <v>0</v>
      </c>
      <c r="F14" s="16">
        <f>IF(Inputs!F7="Y", Prices!$C$6, IF(Inputs!F7="N", Prices!$D$6, 0))</f>
        <v>0</v>
      </c>
      <c r="G14" s="16">
        <f>IF(Inputs!G7="Y", Prices!$C$6, IF(Inputs!G7="N", Prices!$D$6, 0))</f>
        <v>0</v>
      </c>
      <c r="H14" s="16">
        <f>IF(Inputs!H7="Y", Prices!$C$6, IF(Inputs!H7="N", Prices!$D$6, 0))</f>
        <v>0</v>
      </c>
    </row>
    <row r="15" spans="2:15" x14ac:dyDescent="0.25">
      <c r="C15" s="17" t="s">
        <v>20</v>
      </c>
      <c r="D15" s="18">
        <f xml:space="preserve"> IF(OR(Inputs!D14="Y",Inputs!D$24="Y"), Prices!$C10, 0)</f>
        <v>1000</v>
      </c>
      <c r="E15" s="18">
        <f xml:space="preserve"> IF(OR(Inputs!E14="Y",Inputs!E$24="Y"), Prices!$C10, 0)</f>
        <v>0</v>
      </c>
      <c r="F15" s="18">
        <f xml:space="preserve"> IF(OR(Inputs!F14="Y",Inputs!F$24="Y"), Prices!$C10, 0)</f>
        <v>0</v>
      </c>
      <c r="G15" s="18">
        <f xml:space="preserve"> IF(OR(Inputs!G14="Y",Inputs!G$24="Y"), Prices!$C10, 0)</f>
        <v>0</v>
      </c>
      <c r="H15" s="18">
        <f xml:space="preserve"> IF(OR(Inputs!H14="Y",Inputs!H$24="Y"), Prices!$C10, 0)</f>
        <v>0</v>
      </c>
    </row>
    <row r="16" spans="2:15" x14ac:dyDescent="0.25">
      <c r="C16" s="17" t="s">
        <v>8</v>
      </c>
      <c r="D16" s="18">
        <f xml:space="preserve"> IF(OR(Inputs!D15="Y",Inputs!D$24="Y"), Prices!$C11, 0)</f>
        <v>4000</v>
      </c>
      <c r="E16" s="18">
        <f xml:space="preserve"> IF(OR(Inputs!E15="Y",Inputs!E$24="Y"), Prices!$C11, 0)</f>
        <v>0</v>
      </c>
      <c r="F16" s="18">
        <f xml:space="preserve"> IF(OR(Inputs!F15="Y",Inputs!F$24="Y"), Prices!$C11, 0)</f>
        <v>0</v>
      </c>
      <c r="G16" s="18">
        <f xml:space="preserve"> IF(OR(Inputs!G15="Y",Inputs!G$24="Y"), Prices!$C11, 0)</f>
        <v>0</v>
      </c>
      <c r="H16" s="18">
        <f xml:space="preserve"> IF(OR(Inputs!H15="Y",Inputs!H$24="Y"), Prices!$C11, 0)</f>
        <v>0</v>
      </c>
    </row>
    <row r="17" spans="2:8" x14ac:dyDescent="0.25">
      <c r="C17" s="17" t="s">
        <v>21</v>
      </c>
      <c r="D17" s="18">
        <f xml:space="preserve"> IF(OR(Inputs!D16="Y",Inputs!D$24="Y"), Prices!$C12, 0)</f>
        <v>2000</v>
      </c>
      <c r="E17" s="18">
        <f xml:space="preserve"> IF(OR(Inputs!E16="Y",Inputs!E$24="Y"), Prices!$C12, 0)</f>
        <v>0</v>
      </c>
      <c r="F17" s="18">
        <f xml:space="preserve"> IF(OR(Inputs!F16="Y",Inputs!F$24="Y"), Prices!$C12, 0)</f>
        <v>0</v>
      </c>
      <c r="G17" s="18">
        <f xml:space="preserve"> IF(OR(Inputs!G16="Y",Inputs!G$24="Y"), Prices!$C12, 0)</f>
        <v>0</v>
      </c>
      <c r="H17" s="18">
        <f xml:space="preserve"> IF(OR(Inputs!H16="Y",Inputs!H$24="Y"), Prices!$C12, 0)</f>
        <v>0</v>
      </c>
    </row>
    <row r="18" spans="2:8" x14ac:dyDescent="0.25">
      <c r="C18" s="17" t="s">
        <v>9</v>
      </c>
      <c r="D18" s="18">
        <f xml:space="preserve"> IF(OR(Inputs!D17="Y",Inputs!D$24="Y"), Prices!$C13, 0)</f>
        <v>2000</v>
      </c>
      <c r="E18" s="18">
        <f xml:space="preserve"> IF(OR(Inputs!E17="Y",Inputs!E$24="Y"), Prices!$C13, 0)</f>
        <v>0</v>
      </c>
      <c r="F18" s="18">
        <f xml:space="preserve"> IF(OR(Inputs!F17="Y",Inputs!F$24="Y"), Prices!$C13, 0)</f>
        <v>0</v>
      </c>
      <c r="G18" s="18">
        <f xml:space="preserve"> IF(OR(Inputs!G17="Y",Inputs!G$24="Y"), Prices!$C13, 0)</f>
        <v>0</v>
      </c>
      <c r="H18" s="18">
        <f xml:space="preserve"> IF(OR(Inputs!H17="Y",Inputs!H$24="Y"), Prices!$C13, 0)</f>
        <v>0</v>
      </c>
    </row>
    <row r="19" spans="2:8" x14ac:dyDescent="0.25">
      <c r="C19" s="17" t="s">
        <v>10</v>
      </c>
      <c r="D19" s="18">
        <f xml:space="preserve"> IF(Inputs!D18="Y", Prices!$C14, 0)</f>
        <v>6000</v>
      </c>
      <c r="E19" s="18">
        <f xml:space="preserve"> IF(Inputs!E18="Y", Prices!$C14, 0)</f>
        <v>0</v>
      </c>
      <c r="F19" s="18">
        <f xml:space="preserve"> IF(Inputs!F18="Y", Prices!$C14, 0)</f>
        <v>0</v>
      </c>
      <c r="G19" s="18">
        <f xml:space="preserve"> IF(Inputs!G18="Y", Prices!$C14, 0)</f>
        <v>0</v>
      </c>
      <c r="H19" s="18">
        <f xml:space="preserve"> IF(Inputs!H18="Y", Prices!$C14, 0)</f>
        <v>0</v>
      </c>
    </row>
    <row r="20" spans="2:8" x14ac:dyDescent="0.25">
      <c r="C20" s="17" t="s">
        <v>77</v>
      </c>
      <c r="D20" s="18">
        <f xml:space="preserve"> IF(OR(Inputs!D19="Y",Inputs!D$24="Y"), Prices!$C15, 0)</f>
        <v>4000</v>
      </c>
      <c r="E20" s="18">
        <f xml:space="preserve"> IF(OR(Inputs!E19="Y",Inputs!E$24="Y"), Prices!$C15, 0)</f>
        <v>0</v>
      </c>
      <c r="F20" s="18">
        <f xml:space="preserve"> IF(OR(Inputs!F19="Y",Inputs!F$24="Y"), Prices!$C15, 0)</f>
        <v>0</v>
      </c>
      <c r="G20" s="18">
        <f xml:space="preserve"> IF(OR(Inputs!G19="Y",Inputs!G$24="Y"), Prices!$C15, 0)</f>
        <v>0</v>
      </c>
      <c r="H20" s="18">
        <f xml:space="preserve"> IF(OR(Inputs!H19="Y",Inputs!H$24="Y"), Prices!$C15, 0)</f>
        <v>0</v>
      </c>
    </row>
    <row r="21" spans="2:8" x14ac:dyDescent="0.25">
      <c r="C21" s="17" t="s">
        <v>154</v>
      </c>
      <c r="D21" s="18">
        <f xml:space="preserve"> IF(Inputs!D22="Y",Prices!$C16, 0)</f>
        <v>0</v>
      </c>
      <c r="E21" s="18">
        <f xml:space="preserve"> IF(Inputs!E22="Y",Prices!$C16, 0)</f>
        <v>0</v>
      </c>
      <c r="F21" s="18">
        <f xml:space="preserve"> IF(Inputs!F22="Y",Prices!$C16, 0)</f>
        <v>0</v>
      </c>
      <c r="G21" s="18">
        <f xml:space="preserve"> IF(Inputs!G22="Y",Prices!$C16, 0)</f>
        <v>0</v>
      </c>
      <c r="H21" s="18">
        <f xml:space="preserve"> IF(Inputs!H22="Y",Prices!$C16, 0)</f>
        <v>0</v>
      </c>
    </row>
    <row r="22" spans="2:8" x14ac:dyDescent="0.25">
      <c r="C22" s="19" t="s">
        <v>11</v>
      </c>
      <c r="D22" s="20">
        <f xml:space="preserve"> IF(OR(Inputs!D20="Y",Inputs!D$25="Y",Inputs!D$26="Y"), Prices!$C17, 0)</f>
        <v>0</v>
      </c>
      <c r="E22" s="20">
        <f xml:space="preserve"> IF(OR(Inputs!E20="Y",Inputs!E$25="Y",Inputs!E$26="Y"), Prices!$C17, 0)</f>
        <v>0</v>
      </c>
      <c r="F22" s="20">
        <f xml:space="preserve"> IF(OR(Inputs!F20="Y",Inputs!F$25="Y",Inputs!F$26="Y"), Prices!$C17, 0)</f>
        <v>0</v>
      </c>
      <c r="G22" s="20">
        <f xml:space="preserve"> IF(OR(Inputs!G20="Y",Inputs!G$25="Y",Inputs!G$26="Y"), Prices!$C17, 0)</f>
        <v>0</v>
      </c>
      <c r="H22" s="20">
        <f xml:space="preserve"> IF(OR(Inputs!H20="Y",Inputs!H$25="Y",Inputs!H$26="Y"), Prices!$C17, 0)</f>
        <v>0</v>
      </c>
    </row>
    <row r="23" spans="2:8" x14ac:dyDescent="0.25">
      <c r="C23" s="19" t="s">
        <v>149</v>
      </c>
      <c r="D23" s="20">
        <f xml:space="preserve"> IF(OR(Inputs!D21="Y",Inputs!D$25="Y",Inputs!D$26="Y",Inputs!D$29="Y"), Prices!$C18, 0)</f>
        <v>0</v>
      </c>
      <c r="E23" s="20">
        <f xml:space="preserve"> IF(OR(Inputs!E21="Y",Inputs!E$25="Y",Inputs!E$26="Y",Inputs!E$29="Y"), Prices!$C18, 0)</f>
        <v>0</v>
      </c>
      <c r="F23" s="20">
        <f xml:space="preserve"> IF(OR(Inputs!F21="Y",Inputs!F$25="Y",Inputs!F$26="Y",Inputs!F$29="Y"), Prices!$C18, 0)</f>
        <v>0</v>
      </c>
      <c r="G23" s="20">
        <f xml:space="preserve"> IF(OR(Inputs!G21="Y",Inputs!G$25="Y",Inputs!G$26="Y",Inputs!G$29="Y"), Prices!$C18, 0)</f>
        <v>0</v>
      </c>
      <c r="H23" s="20">
        <f xml:space="preserve"> IF(OR(Inputs!H21="Y",Inputs!H$25="Y",Inputs!H$26="Y",Inputs!H$29="Y"), Prices!$C18, 0)</f>
        <v>0</v>
      </c>
    </row>
    <row r="24" spans="2:8" x14ac:dyDescent="0.25">
      <c r="C24" s="19" t="s">
        <v>155</v>
      </c>
      <c r="D24" s="20">
        <f>IF(Inputs!D$7="N",0, IF(OR(Inputs!D22="Y",Inputs!D$25="Y",Inputs!D$26="Y"), Prices!$C19, 0))</f>
        <v>0</v>
      </c>
      <c r="E24" s="20">
        <f>IF(Inputs!E$7="N",0, IF(OR(Inputs!E22="Y",Inputs!E$25="Y",Inputs!E$26="Y"), Prices!$C19, 0))</f>
        <v>0</v>
      </c>
      <c r="F24" s="20">
        <f>IF(Inputs!F$7="N",0, IF(OR(Inputs!F22="Y",Inputs!F$25="Y",Inputs!F$26="Y"), Prices!$C19, 0))</f>
        <v>0</v>
      </c>
      <c r="G24" s="20">
        <f>IF(Inputs!G$7="N",0, IF(OR(Inputs!G22="Y",Inputs!G$25="Y",Inputs!G$26="Y"), Prices!$C19, 0))</f>
        <v>0</v>
      </c>
      <c r="H24" s="20">
        <f>IF(Inputs!H$7="N",0, IF(OR(Inputs!H22="Y",Inputs!H$25="Y",Inputs!H$26="Y"), Prices!$C19, 0))</f>
        <v>0</v>
      </c>
    </row>
    <row r="26" spans="2:8" x14ac:dyDescent="0.25">
      <c r="B26" s="6" t="s">
        <v>49</v>
      </c>
    </row>
    <row r="27" spans="2:8" x14ac:dyDescent="0.25">
      <c r="C27" s="15" t="s">
        <v>2</v>
      </c>
      <c r="D27" s="16">
        <f>IF(Inputs!D$7="Y", 0, IF(D$11 = "", "", PRODUCT(D$11, Prices!$E$6)))*D$10</f>
        <v>0</v>
      </c>
      <c r="E27" s="16">
        <f>IF(Inputs!E$7="Y", 0, IF(E$11 = "", "", PRODUCT(E$11, Prices!$E$6)))*E$10</f>
        <v>0</v>
      </c>
      <c r="F27" s="16">
        <f>IF(Inputs!F$7="Y", 0, IF(F$11 = "", "", PRODUCT(F$11, Prices!$E$6)))*F$10</f>
        <v>0</v>
      </c>
      <c r="G27" s="16">
        <f>IF(Inputs!G$7="Y", 0, IF(G$11 = "", "", PRODUCT(G$11, Prices!$E$6)))*G$10</f>
        <v>0</v>
      </c>
      <c r="H27" s="16">
        <f>IF(Inputs!H$7="Y", 0, IF(H$11 = "", "", PRODUCT(H$11, Prices!$E$6)))*H$10</f>
        <v>0</v>
      </c>
    </row>
    <row r="28" spans="2:8" x14ac:dyDescent="0.25">
      <c r="C28" s="17" t="s">
        <v>20</v>
      </c>
      <c r="D28" s="18">
        <f>IF(OR(Inputs!D$7="Y", D$11 = 0), 0, IF(OR(Inputs!D14="Y",Inputs!D$24="Y"),PRODUCT(D$11, Prices!$E10),0))*D$10</f>
        <v>0</v>
      </c>
      <c r="E28" s="18">
        <f>IF(OR(Inputs!E$7="Y", E$11 = 0), 0, IF(OR(Inputs!E14="Y",Inputs!E$24="Y"),PRODUCT(E$11, Prices!$E10),0))*E$10</f>
        <v>0</v>
      </c>
      <c r="F28" s="18">
        <f>IF(OR(Inputs!F$7="Y", F$11 = 0), 0, IF(OR(Inputs!F14="Y",Inputs!F$24="Y"),PRODUCT(F$11, Prices!$E10),0))*F$10</f>
        <v>0</v>
      </c>
      <c r="G28" s="18">
        <f>IF(OR(Inputs!G$7="Y", G$11 = 0), 0, IF(OR(Inputs!G14="Y",Inputs!G$24="Y"),PRODUCT(G$11, Prices!$E10),0))*G$10</f>
        <v>0</v>
      </c>
      <c r="H28" s="18">
        <f>IF(OR(Inputs!H$7="Y", H$11 = 0), 0, IF(OR(Inputs!H14="Y",Inputs!H$24="Y"),PRODUCT(H$11, Prices!$E10),0))*H$10</f>
        <v>0</v>
      </c>
    </row>
    <row r="29" spans="2:8" x14ac:dyDescent="0.25">
      <c r="C29" s="17" t="s">
        <v>8</v>
      </c>
      <c r="D29" s="18">
        <f>IF(OR(Inputs!D$7="Y", D$11 = 0), 0, IF(OR(Inputs!D15="Y",Inputs!D$24="Y"),PRODUCT(D$11, Prices!$E11),0))*D$10</f>
        <v>0</v>
      </c>
      <c r="E29" s="18">
        <f>IF(OR(Inputs!E$7="Y", E$11 = 0), 0, IF(OR(Inputs!E15="Y",Inputs!E$24="Y"),PRODUCT(E$11, Prices!$E11),0))*E$10</f>
        <v>0</v>
      </c>
      <c r="F29" s="18">
        <f>IF(OR(Inputs!F$7="Y", F$11 = 0), 0, IF(OR(Inputs!F15="Y",Inputs!F$24="Y"),PRODUCT(F$11, Prices!$E11),0))*F$10</f>
        <v>0</v>
      </c>
      <c r="G29" s="18">
        <f>IF(OR(Inputs!G$7="Y", G$11 = 0), 0, IF(OR(Inputs!G15="Y",Inputs!G$24="Y"),PRODUCT(G$11, Prices!$E11),0))*G$10</f>
        <v>0</v>
      </c>
      <c r="H29" s="18">
        <f>IF(OR(Inputs!H$7="Y", H$11 = 0), 0, IF(OR(Inputs!H15="Y",Inputs!H$24="Y"),PRODUCT(H$11, Prices!$E11),0))*H$10</f>
        <v>0</v>
      </c>
    </row>
    <row r="30" spans="2:8" x14ac:dyDescent="0.25">
      <c r="C30" s="17" t="s">
        <v>21</v>
      </c>
      <c r="D30" s="18">
        <f>IF(OR(Inputs!D$7="Y", D$11 = 0), 0, IF(OR(Inputs!D16="Y",Inputs!D$24="Y"),PRODUCT(D$11, Prices!$E12),0))*D$10</f>
        <v>0</v>
      </c>
      <c r="E30" s="18">
        <f>IF(OR(Inputs!E$7="Y", E$11 = 0), 0, IF(OR(Inputs!E16="Y",Inputs!E$24="Y"),PRODUCT(E$11, Prices!$E12),0))*E$10</f>
        <v>0</v>
      </c>
      <c r="F30" s="18">
        <f>IF(OR(Inputs!F$7="Y", F$11 = 0), 0, IF(OR(Inputs!F16="Y",Inputs!F$24="Y"),PRODUCT(F$11, Prices!$E12),0))*F$10</f>
        <v>0</v>
      </c>
      <c r="G30" s="18">
        <f>IF(OR(Inputs!G$7="Y", G$11 = 0), 0, IF(OR(Inputs!G16="Y",Inputs!G$24="Y"),PRODUCT(G$11, Prices!$E12),0))*G$10</f>
        <v>0</v>
      </c>
      <c r="H30" s="18">
        <f>IF(OR(Inputs!H$7="Y", H$11 = 0), 0, IF(OR(Inputs!H16="Y",Inputs!H$24="Y"),PRODUCT(H$11, Prices!$E12),0))*H$10</f>
        <v>0</v>
      </c>
    </row>
    <row r="31" spans="2:8" x14ac:dyDescent="0.25">
      <c r="C31" s="17" t="s">
        <v>9</v>
      </c>
      <c r="D31" s="18">
        <f>IF(OR(Inputs!D$7="Y", D$11 = 0), 0, IF(OR(Inputs!D17="Y",Inputs!D$24="Y"),PRODUCT(D$11, Prices!$E13),0))*D$10</f>
        <v>0</v>
      </c>
      <c r="E31" s="18">
        <f>IF(OR(Inputs!E$7="Y", E$11 = 0), 0, IF(OR(Inputs!E17="Y",Inputs!E$24="Y"),PRODUCT(E$11, Prices!$E13),0))*E$10</f>
        <v>0</v>
      </c>
      <c r="F31" s="18">
        <f>IF(OR(Inputs!F$7="Y", F$11 = 0), 0, IF(OR(Inputs!F17="Y",Inputs!F$24="Y"),PRODUCT(F$11, Prices!$E13),0))*F$10</f>
        <v>0</v>
      </c>
      <c r="G31" s="18">
        <f>IF(OR(Inputs!G$7="Y", G$11 = 0), 0, IF(OR(Inputs!G17="Y",Inputs!G$24="Y"),PRODUCT(G$11, Prices!$E13),0))*G$10</f>
        <v>0</v>
      </c>
      <c r="H31" s="18">
        <f>IF(OR(Inputs!H$7="Y", H$11 = 0), 0, IF(OR(Inputs!H17="Y",Inputs!H$24="Y"),PRODUCT(H$11, Prices!$E13),0))*H$10</f>
        <v>0</v>
      </c>
    </row>
    <row r="32" spans="2:8" x14ac:dyDescent="0.25">
      <c r="C32" s="17" t="s">
        <v>10</v>
      </c>
      <c r="D32" s="18">
        <f>IF(OR(Inputs!D$7="Y", D$11 = 0), 0, IF(Inputs!D18="Y",PRODUCT(D$11, Prices!$E14),0))*D$10</f>
        <v>0</v>
      </c>
      <c r="E32" s="18">
        <f>IF(OR(Inputs!E$7="Y", E$11 = 0), 0, IF(Inputs!E18="Y",PRODUCT(E$11, Prices!$E14),0))*E$10</f>
        <v>0</v>
      </c>
      <c r="F32" s="18">
        <f>IF(OR(Inputs!F$7="Y", F$11 = 0), 0, IF(Inputs!F18="Y",PRODUCT(F$11, Prices!$E14),0))*F$10</f>
        <v>0</v>
      </c>
      <c r="G32" s="18">
        <f>IF(OR(Inputs!G$7="Y", G$11 = 0), 0, IF(Inputs!G18="Y",PRODUCT(G$11, Prices!$E14),0))*G$10</f>
        <v>0</v>
      </c>
      <c r="H32" s="18">
        <f>IF(OR(Inputs!H$7="Y", H$11 = 0), 0, IF(Inputs!H18="Y",PRODUCT(H$11, Prices!$E14),0))*H$10</f>
        <v>0</v>
      </c>
    </row>
    <row r="33" spans="2:8" x14ac:dyDescent="0.25">
      <c r="C33" s="17" t="s">
        <v>77</v>
      </c>
      <c r="D33" s="18">
        <f>IF(OR(Inputs!D$7="Y", D$11 = 0), 0, IF(OR(Inputs!D19="Y",Inputs!D$24="Y"),PRODUCT(D$11, Prices!$E15),0))*D$10</f>
        <v>0</v>
      </c>
      <c r="E33" s="18">
        <f>IF(OR(Inputs!E$7="Y", E$11 = 0), 0, IF(OR(Inputs!E19="Y",Inputs!E$24="Y"),PRODUCT(E$11, Prices!$E15),0))*E$10</f>
        <v>0</v>
      </c>
      <c r="F33" s="18">
        <f>IF(OR(Inputs!F$7="Y", F$11 = 0), 0, IF(OR(Inputs!F19="Y",Inputs!F$24="Y"),PRODUCT(F$11, Prices!$E15),0))*F$10</f>
        <v>0</v>
      </c>
      <c r="G33" s="18">
        <f>IF(OR(Inputs!G$7="Y", G$11 = 0), 0, IF(OR(Inputs!G19="Y",Inputs!G$24="Y"),PRODUCT(G$11, Prices!$E15),0))*G$10</f>
        <v>0</v>
      </c>
      <c r="H33" s="18">
        <f>IF(OR(Inputs!H$7="Y", H$11 = 0), 0, IF(OR(Inputs!H19="Y",Inputs!H$24="Y"),PRODUCT(H$11, Prices!$E15),0))*H$10</f>
        <v>0</v>
      </c>
    </row>
    <row r="34" spans="2:8" x14ac:dyDescent="0.25">
      <c r="C34" s="17" t="s">
        <v>154</v>
      </c>
      <c r="D34" s="18">
        <f>IF(OR(Inputs!D$7="Y", D$11 = 0), 0, IF(Inputs!D22="Y",PRODUCT(D$11, Prices!$E16),0))*D$10</f>
        <v>0</v>
      </c>
      <c r="E34" s="18">
        <f>IF(OR(Inputs!E$7="Y", E$11 = 0), 0, IF(Inputs!E22="Y",PRODUCT(E$11, Prices!$E16),0))*E$10</f>
        <v>0</v>
      </c>
      <c r="F34" s="18">
        <f>IF(OR(Inputs!F$7="Y", F$11 = 0), 0, IF(Inputs!F22="Y",PRODUCT(F$11, Prices!$E16),0))*F$10</f>
        <v>0</v>
      </c>
      <c r="G34" s="18">
        <f>IF(OR(Inputs!G$7="Y", G$11 = 0), 0, IF(Inputs!G22="Y",PRODUCT(G$11, Prices!$E16),0))*G$10</f>
        <v>0</v>
      </c>
      <c r="H34" s="18">
        <f>IF(OR(Inputs!H$7="Y", H$11 = 0), 0, IF(Inputs!H22="Y",PRODUCT(H$11, Prices!$E16),0))*H$10</f>
        <v>0</v>
      </c>
    </row>
    <row r="35" spans="2:8" x14ac:dyDescent="0.25">
      <c r="C35" s="19" t="s">
        <v>11</v>
      </c>
      <c r="D35" s="20">
        <f>IF(OR(Inputs!D$7="Y", D$11 = 0), 0, IF(OR(Inputs!D20="Y",Inputs!D$25="Y",Inputs!D$26="Y"),PRODUCT(D$11, Prices!$E17),0))*D$10</f>
        <v>0</v>
      </c>
      <c r="E35" s="20">
        <f>IF(OR(Inputs!E$7="Y", E$11 = 0), 0, IF(OR(Inputs!E20="Y",Inputs!E$25="Y",Inputs!E$26="Y"),PRODUCT(E$11, Prices!$E17),0))*E$10</f>
        <v>0</v>
      </c>
      <c r="F35" s="20">
        <f>IF(OR(Inputs!F$7="Y", F$11 = 0), 0, IF(OR(Inputs!F20="Y",Inputs!F$25="Y",Inputs!F$26="Y"),PRODUCT(F$11, Prices!$E17),0))*F$10</f>
        <v>0</v>
      </c>
      <c r="G35" s="20">
        <f>IF(OR(Inputs!G$7="Y", G$11 = 0), 0, IF(OR(Inputs!G20="Y",Inputs!G$25="Y",Inputs!G$26="Y"),PRODUCT(G$11, Prices!$E17),0))*G$10</f>
        <v>0</v>
      </c>
      <c r="H35" s="20">
        <f>IF(OR(Inputs!H$7="Y", H$11 = 0), 0, IF(OR(Inputs!H20="Y",Inputs!H$25="Y",Inputs!H$26="Y"),PRODUCT(H$11, Prices!$E17),0))*H$10</f>
        <v>0</v>
      </c>
    </row>
    <row r="36" spans="2:8" x14ac:dyDescent="0.25">
      <c r="C36" s="19" t="s">
        <v>149</v>
      </c>
      <c r="D36" s="20">
        <f>IF(OR(Inputs!D$7="Y", D$11 = 0), 0, IF(OR(Inputs!D21="Y",Inputs!D$25="Y",Inputs!D$26="Y",Inputs!D$29="Y"),PRODUCT(D$11, Prices!$E18),0))*D$10</f>
        <v>0</v>
      </c>
      <c r="E36" s="20">
        <f>IF(OR(Inputs!E$7="Y", E$11 = 0), 0, IF(OR(Inputs!E21="Y",Inputs!E$25="Y",Inputs!E$26="Y",Inputs!E$29="Y"),PRODUCT(E$11, Prices!$E18),0))*E$10</f>
        <v>0</v>
      </c>
      <c r="F36" s="20">
        <f>IF(OR(Inputs!F$7="Y", F$11 = 0), 0, IF(OR(Inputs!F21="Y",Inputs!F$25="Y",Inputs!F$26="Y",Inputs!F$29="Y"),PRODUCT(F$11, Prices!$E18),0))*F$10</f>
        <v>0</v>
      </c>
      <c r="G36" s="20">
        <f>IF(OR(Inputs!G$7="Y", G$11 = 0), 0, IF(OR(Inputs!G21="Y",Inputs!G$25="Y",Inputs!G$26="Y",Inputs!G$29="Y"),PRODUCT(G$11, Prices!$E18),0))*G$10</f>
        <v>0</v>
      </c>
      <c r="H36" s="20">
        <f>IF(OR(Inputs!H$7="Y", H$11 = 0), 0, IF(OR(Inputs!H21="Y",Inputs!H$25="Y",Inputs!H$26="Y",Inputs!H$29="Y"),PRODUCT(H$11, Prices!$E18),0))*H$10</f>
        <v>0</v>
      </c>
    </row>
    <row r="37" spans="2:8" x14ac:dyDescent="0.25">
      <c r="C37" s="28" t="s">
        <v>155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</row>
    <row r="38" spans="2:8" x14ac:dyDescent="0.25">
      <c r="D38" s="1"/>
      <c r="E38" s="1"/>
      <c r="F38" s="1"/>
      <c r="G38" s="1"/>
      <c r="H38" s="1"/>
    </row>
    <row r="39" spans="2:8" x14ac:dyDescent="0.25">
      <c r="B39" s="6" t="s">
        <v>50</v>
      </c>
    </row>
    <row r="40" spans="2:8" x14ac:dyDescent="0.25">
      <c r="C40" s="15" t="s">
        <v>2</v>
      </c>
      <c r="D40" s="16">
        <f>IF(Inputs!D7="Y", Prices!$C$6, IF(Inputs!D7="N", Prices!$D$6, 0))</f>
        <v>15000</v>
      </c>
      <c r="E40" s="16">
        <f>IF(Inputs!E7="Y", Prices!$C$6, IF(Inputs!E7="N", Prices!$D$6, 0))</f>
        <v>0</v>
      </c>
      <c r="F40" s="16">
        <f>IF(Inputs!F7="Y", Prices!$C$6, IF(Inputs!F7="N", Prices!$D$6, 0))</f>
        <v>0</v>
      </c>
      <c r="G40" s="16">
        <f>IF(Inputs!G7="Y", Prices!$C$6, IF(Inputs!G7="N", Prices!$D$6, 0))</f>
        <v>0</v>
      </c>
      <c r="H40" s="16">
        <f>IF(Inputs!H7="Y", Prices!$C$6, IF(Inputs!H7="N", Prices!$D$6, 0))</f>
        <v>0</v>
      </c>
    </row>
    <row r="41" spans="2:8" x14ac:dyDescent="0.25">
      <c r="C41" s="17" t="s">
        <v>20</v>
      </c>
      <c r="D41" s="18">
        <f>IF(AND(Inputs!D14="Y",Inputs!D$24="N"),Prices!$C10,0)</f>
        <v>0</v>
      </c>
      <c r="E41" s="18">
        <f>IF(AND(Inputs!E14="Y",Inputs!E$24="N"),Prices!$C10,0)</f>
        <v>0</v>
      </c>
      <c r="F41" s="18">
        <f>IF(AND(Inputs!F14="Y",Inputs!F$24="N"),Prices!$C10,0)</f>
        <v>0</v>
      </c>
      <c r="G41" s="18">
        <f>IF(AND(Inputs!G14="Y",Inputs!G$24="N"),Prices!$C10,0)</f>
        <v>0</v>
      </c>
      <c r="H41" s="18">
        <f>IF(AND(Inputs!H14="Y",Inputs!H$24="N"),Prices!$C10,0)</f>
        <v>0</v>
      </c>
    </row>
    <row r="42" spans="2:8" x14ac:dyDescent="0.25">
      <c r="C42" s="17" t="s">
        <v>8</v>
      </c>
      <c r="D42" s="18">
        <f>IF(AND(Inputs!D15="Y",Inputs!D$24="N"),Prices!$C11,0)</f>
        <v>0</v>
      </c>
      <c r="E42" s="18">
        <f>IF(AND(Inputs!E15="Y",Inputs!E$24="N"),Prices!$C11,0)</f>
        <v>0</v>
      </c>
      <c r="F42" s="18">
        <f>IF(AND(Inputs!F15="Y",Inputs!F$24="N"),Prices!$C11,0)</f>
        <v>0</v>
      </c>
      <c r="G42" s="18">
        <f>IF(AND(Inputs!G15="Y",Inputs!G$24="N"),Prices!$C11,0)</f>
        <v>0</v>
      </c>
      <c r="H42" s="18">
        <f>IF(AND(Inputs!H15="Y",Inputs!H$24="N"),Prices!$C11,0)</f>
        <v>0</v>
      </c>
    </row>
    <row r="43" spans="2:8" x14ac:dyDescent="0.25">
      <c r="C43" s="17" t="s">
        <v>21</v>
      </c>
      <c r="D43" s="18">
        <f>IF(AND(Inputs!D16="Y",Inputs!D$24="N"),Prices!$C12,0)</f>
        <v>0</v>
      </c>
      <c r="E43" s="18">
        <f>IF(AND(Inputs!E16="Y",Inputs!E$24="N"),Prices!$C12,0)</f>
        <v>0</v>
      </c>
      <c r="F43" s="18">
        <f>IF(AND(Inputs!F16="Y",Inputs!F$24="N"),Prices!$C12,0)</f>
        <v>0</v>
      </c>
      <c r="G43" s="18">
        <f>IF(AND(Inputs!G16="Y",Inputs!G$24="N"),Prices!$C12,0)</f>
        <v>0</v>
      </c>
      <c r="H43" s="18">
        <f>IF(AND(Inputs!H16="Y",Inputs!H$24="N"),Prices!$C12,0)</f>
        <v>0</v>
      </c>
    </row>
    <row r="44" spans="2:8" x14ac:dyDescent="0.25">
      <c r="C44" s="17" t="s">
        <v>9</v>
      </c>
      <c r="D44" s="18">
        <f>IF(AND(Inputs!D17="Y",Inputs!D$24="N"),Prices!$C13,0)</f>
        <v>0</v>
      </c>
      <c r="E44" s="18">
        <f>IF(AND(Inputs!E17="Y",Inputs!E$24="N"),Prices!$C13,0)</f>
        <v>0</v>
      </c>
      <c r="F44" s="18">
        <f>IF(AND(Inputs!F17="Y",Inputs!F$24="N"),Prices!$C13,0)</f>
        <v>0</v>
      </c>
      <c r="G44" s="18">
        <f>IF(AND(Inputs!G17="Y",Inputs!G$24="N"),Prices!$C13,0)</f>
        <v>0</v>
      </c>
      <c r="H44" s="18">
        <f>IF(AND(Inputs!H17="Y",Inputs!H$24="N"),Prices!$C13,0)</f>
        <v>0</v>
      </c>
    </row>
    <row r="45" spans="2:8" x14ac:dyDescent="0.25">
      <c r="C45" s="17" t="s">
        <v>10</v>
      </c>
      <c r="D45" s="18">
        <f>IF(AND(Inputs!D18="Y",Inputs!D$24="N"),Prices!$C14,0)</f>
        <v>0</v>
      </c>
      <c r="E45" s="18">
        <f>IF(AND(Inputs!E18="Y",Inputs!E$24="N"),Prices!$C14,0)</f>
        <v>0</v>
      </c>
      <c r="F45" s="18">
        <f>IF(AND(Inputs!F18="Y",Inputs!F$24="N"),Prices!$C14,0)</f>
        <v>0</v>
      </c>
      <c r="G45" s="18">
        <f>IF(AND(Inputs!G18="Y",Inputs!G$24="N"),Prices!$C14,0)</f>
        <v>0</v>
      </c>
      <c r="H45" s="18">
        <f>IF(AND(Inputs!H18="Y",Inputs!H$24="N"),Prices!$C14,0)</f>
        <v>0</v>
      </c>
    </row>
    <row r="46" spans="2:8" x14ac:dyDescent="0.25">
      <c r="C46" s="17" t="s">
        <v>77</v>
      </c>
      <c r="D46" s="18">
        <f>IF(AND(Inputs!D19="Y",Inputs!D$24="N"),Prices!$C15,0)</f>
        <v>0</v>
      </c>
      <c r="E46" s="18">
        <f>IF(AND(Inputs!E19="Y",Inputs!E$24="N"),Prices!$C15,0)</f>
        <v>0</v>
      </c>
      <c r="F46" s="18">
        <f>IF(AND(Inputs!F19="Y",Inputs!F$24="N"),Prices!$C15,0)</f>
        <v>0</v>
      </c>
      <c r="G46" s="18">
        <f>IF(AND(Inputs!G19="Y",Inputs!G$24="N"),Prices!$C15,0)</f>
        <v>0</v>
      </c>
      <c r="H46" s="18">
        <f>IF(AND(Inputs!H19="Y",Inputs!H$24="N"),Prices!$C15,0)</f>
        <v>0</v>
      </c>
    </row>
    <row r="47" spans="2:8" x14ac:dyDescent="0.25">
      <c r="C47" s="17" t="s">
        <v>154</v>
      </c>
      <c r="D47" s="18">
        <f>IF(Inputs!D22="Y",Prices!$C16,0)</f>
        <v>0</v>
      </c>
      <c r="E47" s="18">
        <f>IF(Inputs!E22="Y",Prices!$C16,0)</f>
        <v>0</v>
      </c>
      <c r="F47" s="18">
        <f>IF(Inputs!F22="Y",Prices!$C16,0)</f>
        <v>0</v>
      </c>
      <c r="G47" s="18">
        <f>IF(Inputs!G22="Y",Prices!$C16,0)</f>
        <v>0</v>
      </c>
      <c r="H47" s="18">
        <f>IF(Inputs!H22="Y",Prices!$C16,0)</f>
        <v>0</v>
      </c>
    </row>
    <row r="48" spans="2:8" x14ac:dyDescent="0.25">
      <c r="C48" s="19" t="s">
        <v>11</v>
      </c>
      <c r="D48" s="20">
        <f>IF(AND(Inputs!D20="Y",Inputs!D$25="N",Inputs!D$26="N"),Prices!$C17,0)</f>
        <v>0</v>
      </c>
      <c r="E48" s="20">
        <f>IF(AND(Inputs!E20="Y",Inputs!E$25="N",Inputs!E$26="N"),Prices!$C17,0)</f>
        <v>0</v>
      </c>
      <c r="F48" s="20">
        <f>IF(AND(Inputs!F20="Y",Inputs!F$25="N",Inputs!F$26="N"),Prices!$C17,0)</f>
        <v>0</v>
      </c>
      <c r="G48" s="20">
        <f>IF(AND(Inputs!G20="Y",Inputs!G$25="N",Inputs!G$26="N"),Prices!$C17,0)</f>
        <v>0</v>
      </c>
      <c r="H48" s="20">
        <f>IF(AND(Inputs!H20="Y",Inputs!H$25="N",Inputs!H$26="N"),Prices!$C17,0)</f>
        <v>0</v>
      </c>
    </row>
    <row r="49" spans="2:8" x14ac:dyDescent="0.25">
      <c r="C49" s="19" t="s">
        <v>149</v>
      </c>
      <c r="D49" s="20">
        <f>IF(AND(Inputs!D21="Y",Inputs!D$25="N",Inputs!D$26="N",Inputs!D$29="N"),Prices!$C18,0)</f>
        <v>0</v>
      </c>
      <c r="E49" s="20">
        <f>IF(AND(Inputs!E21="Y",Inputs!E$25="N",Inputs!E$26="N",Inputs!E$29="N"),Prices!$C18,0)</f>
        <v>0</v>
      </c>
      <c r="F49" s="20">
        <f>IF(AND(Inputs!F21="Y",Inputs!F$25="N",Inputs!F$26="N",Inputs!F$29="N"),Prices!$C18,0)</f>
        <v>0</v>
      </c>
      <c r="G49" s="20">
        <f>IF(AND(Inputs!G21="Y",Inputs!G$25="N",Inputs!G$26="N",Inputs!G$29="N"),Prices!$C18,0)</f>
        <v>0</v>
      </c>
      <c r="H49" s="20">
        <f>IF(AND(Inputs!H21="Y",Inputs!H$25="N",Inputs!H$26="N",Inputs!H$29="N"),Prices!$C18,0)</f>
        <v>0</v>
      </c>
    </row>
    <row r="50" spans="2:8" x14ac:dyDescent="0.25">
      <c r="C50" s="19" t="s">
        <v>155</v>
      </c>
      <c r="D50" s="20">
        <f>IF(Inputs!D$7="N",0,IF(AND(Inputs!D22="Y",Inputs!D$25="N",Inputs!D$26="N"),Prices!$C19,0))</f>
        <v>0</v>
      </c>
      <c r="E50" s="20">
        <f>IF(Inputs!E$7="N",0,IF(AND(Inputs!E22="Y",Inputs!E$25="N",Inputs!E$26="N"),Prices!$C19,0))</f>
        <v>0</v>
      </c>
      <c r="F50" s="20">
        <f>IF(Inputs!F$7="N",0,IF(AND(Inputs!F22="Y",Inputs!F$25="N",Inputs!F$26="N"),Prices!$C19,0))</f>
        <v>0</v>
      </c>
      <c r="G50" s="20">
        <f>IF(Inputs!G$7="N",0,IF(AND(Inputs!G22="Y",Inputs!G$25="N",Inputs!G$26="N"),Prices!$C19,0))</f>
        <v>0</v>
      </c>
      <c r="H50" s="20">
        <f>IF(Inputs!H$7="N",0,IF(AND(Inputs!H22="Y",Inputs!H$25="N",Inputs!H$26="N"),Prices!$C19,0))</f>
        <v>0</v>
      </c>
    </row>
    <row r="52" spans="2:8" x14ac:dyDescent="0.25">
      <c r="B52" s="6" t="s">
        <v>51</v>
      </c>
    </row>
    <row r="53" spans="2:8" x14ac:dyDescent="0.25">
      <c r="C53" s="15" t="s">
        <v>2</v>
      </c>
      <c r="D53" s="16">
        <f>IF(Inputs!D$7="Y", 0, IF(D$11 = "", "", PRODUCT(D$11, Prices!$E$6)*D$10))</f>
        <v>0</v>
      </c>
      <c r="E53" s="16">
        <f>IF(Inputs!E$7="Y", 0, IF(E$11 = "", "", PRODUCT(E$11, Prices!$E$6)*E$10))</f>
        <v>0</v>
      </c>
      <c r="F53" s="16">
        <f>IF(Inputs!F$7="Y", 0, IF(F$11 = "", "", PRODUCT(F$11, Prices!$E$6)*F$10))</f>
        <v>0</v>
      </c>
      <c r="G53" s="16">
        <f>IF(Inputs!G$7="Y", 0, IF(G$11 = "", "", PRODUCT(G$11, Prices!$E$6)*G$10))</f>
        <v>0</v>
      </c>
      <c r="H53" s="16">
        <f>IF(Inputs!H$7="Y", 0, IF(H$11 = "", "", PRODUCT(H$11, Prices!$E$6)*H$10))</f>
        <v>0</v>
      </c>
    </row>
    <row r="54" spans="2:8" x14ac:dyDescent="0.25">
      <c r="C54" s="17" t="s">
        <v>20</v>
      </c>
      <c r="D54" s="18">
        <f>IF(OR(Inputs!D$7="Y", D$11 = 0), 0, IF(AND(Inputs!D14="Y",Inputs!D$24="N"),PRODUCT(D$11, Prices!$E10)*D$10,0))</f>
        <v>0</v>
      </c>
      <c r="E54" s="18">
        <f>IF(OR(Inputs!E$7="Y", E$11 = 0), 0, IF(AND(Inputs!E14="Y",Inputs!E$24="N"),PRODUCT(E$11, Prices!$E10)*E$10,0))</f>
        <v>0</v>
      </c>
      <c r="F54" s="18">
        <f>IF(OR(Inputs!F$7="Y", F$11 = 0), 0, IF(AND(Inputs!F14="Y",Inputs!F$24="N"),PRODUCT(F$11, Prices!$E10)*F$10,0))</f>
        <v>0</v>
      </c>
      <c r="G54" s="18">
        <f>IF(OR(Inputs!G$7="Y", G$11 = 0), 0, IF(AND(Inputs!G14="Y",Inputs!G$24="N"),PRODUCT(G$11, Prices!$E10)*G$10,0))</f>
        <v>0</v>
      </c>
      <c r="H54" s="18">
        <f>IF(OR(Inputs!H$7="Y", H$11 = 0), 0, IF(AND(Inputs!H14="Y",Inputs!H$24="N"),PRODUCT(H$11, Prices!$E10)*H$10,0))</f>
        <v>0</v>
      </c>
    </row>
    <row r="55" spans="2:8" x14ac:dyDescent="0.25">
      <c r="C55" s="17" t="s">
        <v>8</v>
      </c>
      <c r="D55" s="18">
        <f>IF(OR(Inputs!D$7="Y", D$11 = 0), 0, IF(AND(Inputs!D15="Y",Inputs!D$24="N"),PRODUCT(D$11, Prices!$E11)*D$10,0))</f>
        <v>0</v>
      </c>
      <c r="E55" s="18">
        <f>IF(OR(Inputs!E$7="Y", E$11 = 0), 0, IF(AND(Inputs!E15="Y",Inputs!E$24="N"),PRODUCT(E$11, Prices!$E11)*E$10,0))</f>
        <v>0</v>
      </c>
      <c r="F55" s="18">
        <f>IF(OR(Inputs!F$7="Y", F$11 = 0), 0, IF(AND(Inputs!F15="Y",Inputs!F$24="N"),PRODUCT(F$11, Prices!$E11)*F$10,0))</f>
        <v>0</v>
      </c>
      <c r="G55" s="18">
        <f>IF(OR(Inputs!G$7="Y", G$11 = 0), 0, IF(AND(Inputs!G15="Y",Inputs!G$24="N"),PRODUCT(G$11, Prices!$E11)*G$10,0))</f>
        <v>0</v>
      </c>
      <c r="H55" s="18">
        <f>IF(OR(Inputs!H$7="Y", H$11 = 0), 0, IF(AND(Inputs!H15="Y",Inputs!H$24="N"),PRODUCT(H$11, Prices!$E11)*H$10,0))</f>
        <v>0</v>
      </c>
    </row>
    <row r="56" spans="2:8" x14ac:dyDescent="0.25">
      <c r="C56" s="17" t="s">
        <v>21</v>
      </c>
      <c r="D56" s="18">
        <f>IF(OR(Inputs!D$7="Y", D$11 = 0), 0, IF(AND(Inputs!D16="Y",Inputs!D$24="N"),PRODUCT(D$11, Prices!$E12)*D$10,0))</f>
        <v>0</v>
      </c>
      <c r="E56" s="18">
        <f>IF(OR(Inputs!E$7="Y", E$11 = 0), 0, IF(AND(Inputs!E16="Y",Inputs!E$24="N"),PRODUCT(E$11, Prices!$E12)*E$10,0))</f>
        <v>0</v>
      </c>
      <c r="F56" s="18">
        <f>IF(OR(Inputs!F$7="Y", F$11 = 0), 0, IF(AND(Inputs!F16="Y",Inputs!F$24="N"),PRODUCT(F$11, Prices!$E12)*F$10,0))</f>
        <v>0</v>
      </c>
      <c r="G56" s="18">
        <f>IF(OR(Inputs!G$7="Y", G$11 = 0), 0, IF(AND(Inputs!G16="Y",Inputs!G$24="N"),PRODUCT(G$11, Prices!$E12)*G$10,0))</f>
        <v>0</v>
      </c>
      <c r="H56" s="18">
        <f>IF(OR(Inputs!H$7="Y", H$11 = 0), 0, IF(AND(Inputs!H16="Y",Inputs!H$24="N"),PRODUCT(H$11, Prices!$E12)*H$10,0))</f>
        <v>0</v>
      </c>
    </row>
    <row r="57" spans="2:8" x14ac:dyDescent="0.25">
      <c r="C57" s="17" t="s">
        <v>9</v>
      </c>
      <c r="D57" s="18">
        <f>IF(OR(Inputs!D$7="Y", D$11 = 0), 0, IF(AND(Inputs!D17="Y",Inputs!D$24="N"),PRODUCT(D$11, Prices!$E13)*D$10,0))</f>
        <v>0</v>
      </c>
      <c r="E57" s="18">
        <f>IF(OR(Inputs!E$7="Y", E$11 = 0), 0, IF(AND(Inputs!E17="Y",Inputs!E$24="N"),PRODUCT(E$11, Prices!$E13)*E$10,0))</f>
        <v>0</v>
      </c>
      <c r="F57" s="18">
        <f>IF(OR(Inputs!F$7="Y", F$11 = 0), 0, IF(AND(Inputs!F17="Y",Inputs!F$24="N"),PRODUCT(F$11, Prices!$E13)*F$10,0))</f>
        <v>0</v>
      </c>
      <c r="G57" s="18">
        <f>IF(OR(Inputs!G$7="Y", G$11 = 0), 0, IF(AND(Inputs!G17="Y",Inputs!G$24="N"),PRODUCT(G$11, Prices!$E13)*G$10,0))</f>
        <v>0</v>
      </c>
      <c r="H57" s="18">
        <f>IF(OR(Inputs!H$7="Y", H$11 = 0), 0, IF(AND(Inputs!H17="Y",Inputs!H$24="N"),PRODUCT(H$11, Prices!$E13)*H$10,0))</f>
        <v>0</v>
      </c>
    </row>
    <row r="58" spans="2:8" x14ac:dyDescent="0.25">
      <c r="C58" s="17" t="s">
        <v>10</v>
      </c>
      <c r="D58" s="18">
        <f>IF(OR(Inputs!D$7="Y", D$11 = 0), 0, IF(AND(Inputs!D18="Y",Inputs!D$24="N"),PRODUCT(D$11, Prices!$E14)*D$10,0))</f>
        <v>0</v>
      </c>
      <c r="E58" s="18">
        <f>IF(OR(Inputs!E$7="Y", E$11 = 0), 0, IF(AND(Inputs!E18="Y",Inputs!E$24="N"),PRODUCT(E$11, Prices!$E14)*E$10,0))</f>
        <v>0</v>
      </c>
      <c r="F58" s="18">
        <f>IF(OR(Inputs!F$7="Y", F$11 = 0), 0, IF(AND(Inputs!F18="Y",Inputs!F$24="N"),PRODUCT(F$11, Prices!$E14)*F$10,0))</f>
        <v>0</v>
      </c>
      <c r="G58" s="18">
        <f>IF(OR(Inputs!G$7="Y", G$11 = 0), 0, IF(AND(Inputs!G18="Y",Inputs!G$24="N"),PRODUCT(G$11, Prices!$E14)*G$10,0))</f>
        <v>0</v>
      </c>
      <c r="H58" s="18">
        <f>IF(OR(Inputs!H$7="Y", H$11 = 0), 0, IF(AND(Inputs!H18="Y",Inputs!H$24="N"),PRODUCT(H$11, Prices!$E14)*H$10,0))</f>
        <v>0</v>
      </c>
    </row>
    <row r="59" spans="2:8" x14ac:dyDescent="0.25">
      <c r="C59" s="17" t="s">
        <v>77</v>
      </c>
      <c r="D59" s="18">
        <f>IF(OR(Inputs!D$7="Y", D$11 = 0), 0, IF(AND(Inputs!D19="Y",Inputs!D$24="N"),PRODUCT(D$11, Prices!$E15)*D$10,0))</f>
        <v>0</v>
      </c>
      <c r="E59" s="18">
        <f>IF(OR(Inputs!E$7="Y", E$11 = 0), 0, IF(AND(Inputs!E19="Y",Inputs!E$24="N"),PRODUCT(E$11, Prices!$E15)*E$10,0))</f>
        <v>0</v>
      </c>
      <c r="F59" s="18">
        <f>IF(OR(Inputs!F$7="Y", F$11 = 0), 0, IF(AND(Inputs!F19="Y",Inputs!F$24="N"),PRODUCT(F$11, Prices!$E15)*F$10,0))</f>
        <v>0</v>
      </c>
      <c r="G59" s="18">
        <f>IF(OR(Inputs!G$7="Y", G$11 = 0), 0, IF(AND(Inputs!G19="Y",Inputs!G$24="N"),PRODUCT(G$11, Prices!$E15)*G$10,0))</f>
        <v>0</v>
      </c>
      <c r="H59" s="18">
        <f>IF(OR(Inputs!H$7="Y", H$11 = 0), 0, IF(AND(Inputs!H19="Y",Inputs!H$24="N"),PRODUCT(H$11, Prices!$E15)*H$10,0))</f>
        <v>0</v>
      </c>
    </row>
    <row r="60" spans="2:8" x14ac:dyDescent="0.25">
      <c r="C60" s="17" t="s">
        <v>154</v>
      </c>
      <c r="D60" s="18">
        <f>IF(OR(Inputs!D$7="Y", D$11 = 0), 0, IF(Inputs!D22="Y",PRODUCT(D$11, Prices!$E16)*D$10,0))</f>
        <v>0</v>
      </c>
      <c r="E60" s="18">
        <f>IF(OR(Inputs!E$7="Y", E$11 = 0), 0, IF(Inputs!E22="Y",PRODUCT(E$11, Prices!$E16)*E$10,0))</f>
        <v>0</v>
      </c>
      <c r="F60" s="18">
        <f>IF(OR(Inputs!F$7="Y", F$11 = 0), 0, IF(Inputs!F22="Y",PRODUCT(F$11, Prices!$E16)*F$10,0))</f>
        <v>0</v>
      </c>
      <c r="G60" s="18">
        <f>IF(OR(Inputs!G$7="Y", G$11 = 0), 0, IF(Inputs!G22="Y",PRODUCT(G$11, Prices!$E16)*G$10,0))</f>
        <v>0</v>
      </c>
      <c r="H60" s="18">
        <f>IF(OR(Inputs!H$7="Y", H$11 = 0), 0, IF(Inputs!H22="Y",PRODUCT(H$11, Prices!$E16)*H$10,0))</f>
        <v>0</v>
      </c>
    </row>
    <row r="61" spans="2:8" x14ac:dyDescent="0.25">
      <c r="C61" s="19" t="s">
        <v>11</v>
      </c>
      <c r="D61" s="20">
        <f>IF(OR(Inputs!D$7="Y", D$11 = 0), 0, IF(AND(Inputs!D20="Y",Inputs!D$25="N",Inputs!D$26="N"),PRODUCT(D$11, Prices!$E17)*D$10,0))</f>
        <v>0</v>
      </c>
      <c r="E61" s="20">
        <f>IF(OR(Inputs!E$7="Y", E$11 = 0), 0, IF(AND(Inputs!E20="Y",Inputs!E$25="N",Inputs!E$26="N"),PRODUCT(E$11, Prices!$E17)*E$10,0))</f>
        <v>0</v>
      </c>
      <c r="F61" s="20">
        <f>IF(OR(Inputs!F$7="Y", F$11 = 0), 0, IF(AND(Inputs!F20="Y",Inputs!F$25="N",Inputs!F$26="N"),PRODUCT(F$11, Prices!$E17)*F$10,0))</f>
        <v>0</v>
      </c>
      <c r="G61" s="20">
        <f>IF(OR(Inputs!G$7="Y", G$11 = 0), 0, IF(AND(Inputs!G20="Y",Inputs!G$25="N",Inputs!G$26="N"),PRODUCT(G$11, Prices!$E17)*G$10,0))</f>
        <v>0</v>
      </c>
      <c r="H61" s="20">
        <f>IF(OR(Inputs!H$7="Y", H$11 = 0), 0, IF(AND(Inputs!H20="Y",Inputs!H$25="N",Inputs!H$26="N"),PRODUCT(H$11, Prices!$E17)*H$10,0))</f>
        <v>0</v>
      </c>
    </row>
    <row r="62" spans="2:8" x14ac:dyDescent="0.25">
      <c r="C62" s="19" t="s">
        <v>149</v>
      </c>
      <c r="D62" s="20">
        <f>IF(OR(Inputs!D$7="Y", D$11 = 0), 0, IF(AND(Inputs!D21="Y",Inputs!D$25="N",Inputs!D$26="N",Inputs!D$29="N"),PRODUCT(D$11, Prices!$E18)*D$10,0))</f>
        <v>0</v>
      </c>
      <c r="E62" s="20">
        <f>IF(OR(Inputs!E$7="Y", E$11 = 0), 0, IF(AND(Inputs!E21="Y",Inputs!E$25="N",Inputs!E$26="N",Inputs!E$29="N"),PRODUCT(E$11, Prices!$E18)*E$10,0))</f>
        <v>0</v>
      </c>
      <c r="F62" s="20">
        <f>IF(OR(Inputs!F$7="Y", F$11 = 0), 0, IF(AND(Inputs!F21="Y",Inputs!F$25="N",Inputs!F$26="N",Inputs!F$29="N"),PRODUCT(F$11, Prices!$E18)*F$10,0))</f>
        <v>0</v>
      </c>
      <c r="G62" s="20">
        <f>IF(OR(Inputs!G$7="Y", G$11 = 0), 0, IF(AND(Inputs!G21="Y",Inputs!G$25="N",Inputs!G$26="N",Inputs!G$29="N"),PRODUCT(G$11, Prices!$E18)*G$10,0))</f>
        <v>0</v>
      </c>
      <c r="H62" s="20">
        <f>IF(OR(Inputs!H$7="Y", H$11 = 0), 0, IF(AND(Inputs!H21="Y",Inputs!H$25="N",Inputs!H$26="N",Inputs!H$29="N"),PRODUCT(H$11, Prices!$E18)*H$10,0))</f>
        <v>0</v>
      </c>
    </row>
    <row r="63" spans="2:8" x14ac:dyDescent="0.25">
      <c r="C63" s="28" t="s">
        <v>155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</row>
    <row r="65" spans="2:15" x14ac:dyDescent="0.25">
      <c r="B65" s="6" t="s">
        <v>44</v>
      </c>
    </row>
    <row r="66" spans="2:15" x14ac:dyDescent="0.25">
      <c r="C66" s="17" t="s">
        <v>13</v>
      </c>
      <c r="D66" s="18">
        <f>IF(Inputs!D$24 = "Y", 0, IF(Inputs!D23="Y", Prices!$C21, 0))</f>
        <v>0</v>
      </c>
      <c r="E66" s="18">
        <f>IF(Inputs!E$24 = "Y", 0, IF(Inputs!E23="Y", Prices!$C21, 0))</f>
        <v>0</v>
      </c>
      <c r="F66" s="18">
        <f>IF(Inputs!F$24 = "Y", 0, IF(Inputs!F23="Y", Prices!$C21, 0))</f>
        <v>0</v>
      </c>
      <c r="G66" s="18">
        <f>IF(Inputs!G$24 = "Y", 0, IF(Inputs!G23="Y", Prices!$C21, 0))</f>
        <v>0</v>
      </c>
      <c r="H66" s="18">
        <f>IF(Inputs!H$24 = "Y", 0, IF(Inputs!H23="Y", Prices!$C21, 0))</f>
        <v>0</v>
      </c>
    </row>
    <row r="67" spans="2:15" x14ac:dyDescent="0.25">
      <c r="C67" s="17" t="s">
        <v>14</v>
      </c>
      <c r="D67" s="18">
        <f>IF(Inputs!D24="Y", Prices!$C22, 0)</f>
        <v>33000</v>
      </c>
      <c r="E67" s="18">
        <f>IF(Inputs!E24="Y", Prices!$C22, 0)</f>
        <v>0</v>
      </c>
      <c r="F67" s="18">
        <f>IF(Inputs!F24="Y", Prices!$C22, 0)</f>
        <v>0</v>
      </c>
      <c r="G67" s="18">
        <f>IF(Inputs!G24="Y", Prices!$C22, 0)</f>
        <v>0</v>
      </c>
      <c r="H67" s="18">
        <f>IF(Inputs!H24="Y", Prices!$C22, 0)</f>
        <v>0</v>
      </c>
    </row>
    <row r="68" spans="2:15" x14ac:dyDescent="0.25">
      <c r="C68" s="19" t="s">
        <v>15</v>
      </c>
      <c r="D68" s="20">
        <f>IF(Inputs!D25="Y", Prices!$C23, 0)</f>
        <v>0</v>
      </c>
      <c r="E68" s="20">
        <f>IF(Inputs!E25="Y", Prices!$C23, 0)</f>
        <v>0</v>
      </c>
      <c r="F68" s="20">
        <f>IF(Inputs!F25="Y", Prices!$C23, 0)</f>
        <v>0</v>
      </c>
      <c r="G68" s="20">
        <f>IF(Inputs!G25="Y", Prices!$C23, 0)</f>
        <v>0</v>
      </c>
      <c r="H68" s="20">
        <f>IF(Inputs!H25="Y", Prices!$C23, 0)</f>
        <v>0</v>
      </c>
    </row>
    <row r="69" spans="2:15" x14ac:dyDescent="0.25">
      <c r="C69" s="19" t="s">
        <v>129</v>
      </c>
      <c r="D69" s="20">
        <f>IF(Inputs!D26="Y", Prices!$C24, 0)</f>
        <v>0</v>
      </c>
      <c r="E69" s="20">
        <f>IF(Inputs!E26="Y", Prices!$C24, 0)</f>
        <v>0</v>
      </c>
      <c r="F69" s="20">
        <f>IF(Inputs!F26="Y", Prices!$C24, 0)</f>
        <v>0</v>
      </c>
      <c r="G69" s="20">
        <f>IF(Inputs!G26="Y", Prices!$C24, 0)</f>
        <v>0</v>
      </c>
      <c r="H69" s="20">
        <f>IF(Inputs!H26="Y", Prices!$C24, 0)</f>
        <v>0</v>
      </c>
    </row>
    <row r="70" spans="2:15" x14ac:dyDescent="0.25">
      <c r="C70" s="19" t="s">
        <v>16</v>
      </c>
      <c r="D70" s="20">
        <f>IF(Inputs!D27="Y", Prices!$C25, 0)</f>
        <v>0</v>
      </c>
      <c r="E70" s="20">
        <f>IF(Inputs!E27="Y", Prices!$C25, 0)</f>
        <v>0</v>
      </c>
      <c r="F70" s="20">
        <f>IF(Inputs!F27="Y", Prices!$C25, 0)</f>
        <v>0</v>
      </c>
      <c r="G70" s="20">
        <f>IF(Inputs!G27="Y", Prices!$C25, 0)</f>
        <v>0</v>
      </c>
      <c r="H70" s="20">
        <f>IF(Inputs!H27="Y", Prices!$C25, 0)</f>
        <v>0</v>
      </c>
    </row>
    <row r="71" spans="2:15" x14ac:dyDescent="0.25">
      <c r="C71" s="19" t="s">
        <v>99</v>
      </c>
      <c r="D71" s="20">
        <f>IF(Inputs!D28="Y", Prices!$C26 * IF(Inputs!D27="Y",1-Prices!$L$21,1), IF(Inputs!D28="Monthly", Prices!$C26 * Prices!$L$30 * IF(Inputs!D27="Y",1-Prices!$L$21,1), 0))</f>
        <v>0</v>
      </c>
      <c r="E71" s="20">
        <f>IF(Inputs!E28="Y", Prices!$C26 * IF(Inputs!E27="Y",1-Prices!$L$21,1), IF(Inputs!E28="Monthly", Prices!$C26 * Prices!$L$30 * IF(Inputs!E27="Y",1-Prices!$L$21,1), 0))</f>
        <v>0</v>
      </c>
      <c r="F71" s="20">
        <f>IF(Inputs!F28="Y", Prices!$C26 * IF(Inputs!F27="Y",1-Prices!$L$21,1), IF(Inputs!F28="Monthly", Prices!$C26 * Prices!$L$30 * IF(Inputs!F27="Y",1-Prices!$L$21,1), 0))</f>
        <v>0</v>
      </c>
      <c r="G71" s="20">
        <f>IF(Inputs!G28="Y", Prices!$C26 * IF(Inputs!G27="Y",1-Prices!$L$21,1), IF(Inputs!G28="Monthly", Prices!$C26 * Prices!$L$30 * IF(Inputs!G27="Y",1-Prices!$L$21,1), 0))</f>
        <v>0</v>
      </c>
      <c r="H71" s="20">
        <f>IF(Inputs!H28="Y", Prices!$C26 * IF(Inputs!H27="Y",1-Prices!$L$21,1), IF(Inputs!H28="Monthly", Prices!$C26 * Prices!$L$30 * IF(Inputs!H27="Y",1-Prices!$L$21,1), 0))</f>
        <v>0</v>
      </c>
    </row>
    <row r="72" spans="2:15" x14ac:dyDescent="0.25">
      <c r="C72" s="19" t="s">
        <v>150</v>
      </c>
      <c r="D72" s="20">
        <f>IF(Inputs!D29="Y", Prices!$C27, 0)</f>
        <v>0</v>
      </c>
      <c r="E72" s="20">
        <f>IF(Inputs!E29="Y", Prices!$C27, 0)</f>
        <v>0</v>
      </c>
      <c r="F72" s="20">
        <f>IF(Inputs!F29="Y", Prices!$C27, 0)</f>
        <v>0</v>
      </c>
      <c r="G72" s="20">
        <f>IF(Inputs!G29="Y", Prices!$C27, 0)</f>
        <v>0</v>
      </c>
      <c r="H72" s="20">
        <f>IF(Inputs!H29="Y", Prices!$C27, 0)</f>
        <v>0</v>
      </c>
    </row>
    <row r="73" spans="2:15" x14ac:dyDescent="0.25">
      <c r="C73" s="19" t="s">
        <v>98</v>
      </c>
      <c r="D73" s="20">
        <f>IF(Inputs!D30="Y", Prices!$C28, 0)</f>
        <v>0</v>
      </c>
      <c r="E73" s="20">
        <f>IF(Inputs!E30="Y", Prices!$C28, 0)</f>
        <v>0</v>
      </c>
      <c r="F73" s="20">
        <f>IF(Inputs!F30="Y", Prices!$C28, 0)</f>
        <v>0</v>
      </c>
      <c r="G73" s="20">
        <f>IF(Inputs!G30="Y", Prices!$C28, 0)</f>
        <v>0</v>
      </c>
      <c r="H73" s="20">
        <f>IF(Inputs!H30="Y", Prices!$C28, 0)</f>
        <v>0</v>
      </c>
    </row>
    <row r="74" spans="2:15" x14ac:dyDescent="0.25">
      <c r="C74" s="81" t="s">
        <v>96</v>
      </c>
      <c r="D74" s="84">
        <f>IF(Inputs!D13="Y", Prices!$C29, IF(Inputs!D13="Monthly", Prices!C29 * Prices!$L$30, 0))</f>
        <v>9600</v>
      </c>
      <c r="E74" s="84">
        <f>IF(Inputs!E13="Y", Prices!$C29, IF(Inputs!E13="Monthly", Prices!D29 * Prices!$L$30, 0))</f>
        <v>0</v>
      </c>
      <c r="F74" s="84">
        <f>IF(Inputs!F13="Y", Prices!$C29, IF(Inputs!F13="Monthly", Prices!E29 * Prices!$L$30, 0))</f>
        <v>0</v>
      </c>
      <c r="G74" s="84">
        <f>IF(Inputs!G13="Y", Prices!$C29, IF(Inputs!G13="Monthly", Prices!F29 * Prices!$L$30, 0))</f>
        <v>0</v>
      </c>
      <c r="H74" s="84">
        <f>IF(Inputs!H13="Y", Prices!$C29, IF(Inputs!H13="Monthly", Prices!G29 * Prices!$L$30, 0))</f>
        <v>0</v>
      </c>
    </row>
    <row r="76" spans="2:15" x14ac:dyDescent="0.25">
      <c r="B76" s="6" t="s">
        <v>45</v>
      </c>
      <c r="J76" s="89" t="s">
        <v>104</v>
      </c>
    </row>
    <row r="77" spans="2:15" x14ac:dyDescent="0.25">
      <c r="C77" s="28" t="s">
        <v>13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J77" s="90">
        <v>1E-3</v>
      </c>
      <c r="K77" s="23">
        <f t="shared" ref="K77:K84" si="2">D66+D77+$J77</f>
        <v>1E-3</v>
      </c>
      <c r="L77" s="23">
        <f t="shared" ref="L77:L84" si="3">E66+E77+$J77</f>
        <v>1E-3</v>
      </c>
      <c r="M77" s="23">
        <f t="shared" ref="M77:M84" si="4">F66+F77+$J77</f>
        <v>1E-3</v>
      </c>
      <c r="N77" s="23">
        <f t="shared" ref="N77:N84" si="5">G66+G77+$J77</f>
        <v>1E-3</v>
      </c>
      <c r="O77" s="23">
        <f t="shared" ref="O77:O84" si="6">H66+H77+$J77</f>
        <v>1E-3</v>
      </c>
    </row>
    <row r="78" spans="2:15" x14ac:dyDescent="0.25">
      <c r="C78" s="17" t="s">
        <v>14</v>
      </c>
      <c r="D78" s="18">
        <f>IF(Inputs!D$7="Y", 0, IF(D$11 = "", 0, IF(Inputs!D24 = "Y", D$11*Prices!$E22, 0)))*D$10</f>
        <v>0</v>
      </c>
      <c r="E78" s="18">
        <f>IF(Inputs!E$7="Y", 0, IF(E$11 = "", 0, IF(Inputs!E24 = "Y", E$11*Prices!$E22, 0)))*E$10</f>
        <v>0</v>
      </c>
      <c r="F78" s="18">
        <f>IF(Inputs!F$7="Y", 0, IF(F$11 = "", 0, IF(Inputs!F24 = "Y", F$11*Prices!$E22, 0)))*F$10</f>
        <v>0</v>
      </c>
      <c r="G78" s="18">
        <f>IF(Inputs!G$7="Y", 0, IF(G$11 = "", 0, IF(Inputs!G24 = "Y", G$11*Prices!$E22, 0)))*G$10</f>
        <v>0</v>
      </c>
      <c r="H78" s="18">
        <f>IF(Inputs!H$7="Y", 0, IF(H$11 = "", 0, IF(Inputs!H24 = "Y", H$11*Prices!$E22, 0)))*H$10</f>
        <v>0</v>
      </c>
      <c r="J78" s="90">
        <f>J77+0.0001</f>
        <v>1.1000000000000001E-3</v>
      </c>
      <c r="K78" s="23">
        <f t="shared" si="2"/>
        <v>33000.001100000001</v>
      </c>
      <c r="L78" s="23">
        <f t="shared" si="3"/>
        <v>1.1000000000000001E-3</v>
      </c>
      <c r="M78" s="23">
        <f t="shared" si="4"/>
        <v>1.1000000000000001E-3</v>
      </c>
      <c r="N78" s="23">
        <f t="shared" si="5"/>
        <v>1.1000000000000001E-3</v>
      </c>
      <c r="O78" s="23">
        <f t="shared" si="6"/>
        <v>1.1000000000000001E-3</v>
      </c>
    </row>
    <row r="79" spans="2:15" x14ac:dyDescent="0.25">
      <c r="C79" s="19" t="s">
        <v>15</v>
      </c>
      <c r="D79" s="20">
        <f>IF(Inputs!D$7="Y", 0, IF(D$11 = "", 0, IF(Inputs!D25 = "Y", D$11*Prices!$E23, 0)))*D$10</f>
        <v>0</v>
      </c>
      <c r="E79" s="20">
        <f>IF(Inputs!E$7="Y", 0, IF(E$11 = "", 0, IF(Inputs!E25 = "Y", E$11*Prices!$E23, 0)))*E$10</f>
        <v>0</v>
      </c>
      <c r="F79" s="20">
        <f>IF(Inputs!F$7="Y", 0, IF(F$11 = "", 0, IF(Inputs!F25 = "Y", F$11*Prices!$E23, 0)))*F$10</f>
        <v>0</v>
      </c>
      <c r="G79" s="20">
        <f>IF(Inputs!G$7="Y", 0, IF(G$11 = "", 0, IF(Inputs!G25 = "Y", G$11*Prices!$E23, 0)))*G$10</f>
        <v>0</v>
      </c>
      <c r="H79" s="20">
        <f>IF(Inputs!H$7="Y", 0, IF(H$11 = "", 0, IF(Inputs!H25 = "Y", H$11*Prices!$E23, 0)))*H$10</f>
        <v>0</v>
      </c>
      <c r="J79" s="90">
        <f t="shared" ref="J79:J85" si="7">J78+0.0001</f>
        <v>1.2000000000000001E-3</v>
      </c>
      <c r="K79" s="23">
        <f t="shared" si="2"/>
        <v>1.2000000000000001E-3</v>
      </c>
      <c r="L79" s="23">
        <f t="shared" si="3"/>
        <v>1.2000000000000001E-3</v>
      </c>
      <c r="M79" s="23">
        <f t="shared" si="4"/>
        <v>1.2000000000000001E-3</v>
      </c>
      <c r="N79" s="23">
        <f t="shared" si="5"/>
        <v>1.2000000000000001E-3</v>
      </c>
      <c r="O79" s="23">
        <f t="shared" si="6"/>
        <v>1.2000000000000001E-3</v>
      </c>
    </row>
    <row r="80" spans="2:15" x14ac:dyDescent="0.25">
      <c r="C80" s="19" t="s">
        <v>129</v>
      </c>
      <c r="D80" s="20">
        <f>IF(Inputs!D$7="Y", 0, IF(D$11 = "", 0, IF(Inputs!D26 = "Y", D$11*Prices!$E24, 0)))*D$10</f>
        <v>0</v>
      </c>
      <c r="E80" s="20">
        <f>IF(Inputs!E$7="Y", 0, IF(E$11 = "", 0, IF(Inputs!E26 = "Y", E$11*Prices!$E24, 0)))*E$10</f>
        <v>0</v>
      </c>
      <c r="F80" s="20">
        <f>IF(Inputs!F$7="Y", 0, IF(F$11 = "", 0, IF(Inputs!F26 = "Y", F$11*Prices!$E24, 0)))*F$10</f>
        <v>0</v>
      </c>
      <c r="G80" s="20">
        <f>IF(Inputs!G$7="Y", 0, IF(G$11 = "", 0, IF(Inputs!G26 = "Y", G$11*Prices!$E24, 0)))*G$10</f>
        <v>0</v>
      </c>
      <c r="H80" s="20">
        <f>IF(Inputs!H$7="Y", 0, IF(H$11 = "", 0, IF(Inputs!H26 = "Y", H$11*Prices!$E24, 0)))*H$10</f>
        <v>0</v>
      </c>
      <c r="J80" s="90">
        <f t="shared" si="7"/>
        <v>1.3000000000000002E-3</v>
      </c>
      <c r="K80" s="23">
        <f t="shared" si="2"/>
        <v>1.3000000000000002E-3</v>
      </c>
      <c r="L80" s="23">
        <f t="shared" si="3"/>
        <v>1.3000000000000002E-3</v>
      </c>
      <c r="M80" s="23">
        <f t="shared" si="4"/>
        <v>1.3000000000000002E-3</v>
      </c>
      <c r="N80" s="23">
        <f t="shared" si="5"/>
        <v>1.3000000000000002E-3</v>
      </c>
      <c r="O80" s="23">
        <f t="shared" si="6"/>
        <v>1.3000000000000002E-3</v>
      </c>
    </row>
    <row r="81" spans="2:15" x14ac:dyDescent="0.25">
      <c r="C81" s="19" t="s">
        <v>16</v>
      </c>
      <c r="D81" s="20">
        <f>IF(Inputs!D$7="Y", 0, IF(D$11 = "", 0, IF(Inputs!D27 = "Y", D$11*Prices!$E25, 0)))*D$10</f>
        <v>0</v>
      </c>
      <c r="E81" s="20">
        <f>IF(Inputs!E$7="Y", 0, IF(E$11 = "", 0, IF(Inputs!E27 = "Y", E$11*Prices!$E25, 0)))*E$10</f>
        <v>0</v>
      </c>
      <c r="F81" s="20">
        <f>IF(Inputs!F$7="Y", 0, IF(F$11 = "", 0, IF(Inputs!F27 = "Y", F$11*Prices!$E25, 0)))*F$10</f>
        <v>0</v>
      </c>
      <c r="G81" s="20">
        <f>IF(Inputs!G$7="Y", 0, IF(G$11 = "", 0, IF(Inputs!G27 = "Y", G$11*Prices!$E25, 0)))*G$10</f>
        <v>0</v>
      </c>
      <c r="H81" s="20">
        <f>IF(Inputs!H$7="Y", 0, IF(H$11 = "", 0, IF(Inputs!H27 = "Y", H$11*Prices!$E25, 0)))*H$10</f>
        <v>0</v>
      </c>
      <c r="J81" s="90">
        <f t="shared" si="7"/>
        <v>1.4000000000000002E-3</v>
      </c>
      <c r="K81" s="23">
        <f t="shared" si="2"/>
        <v>1.4000000000000002E-3</v>
      </c>
      <c r="L81" s="23">
        <f t="shared" si="3"/>
        <v>1.4000000000000002E-3</v>
      </c>
      <c r="M81" s="23">
        <f t="shared" si="4"/>
        <v>1.4000000000000002E-3</v>
      </c>
      <c r="N81" s="23">
        <f t="shared" si="5"/>
        <v>1.4000000000000002E-3</v>
      </c>
      <c r="O81" s="23">
        <f t="shared" si="6"/>
        <v>1.4000000000000002E-3</v>
      </c>
    </row>
    <row r="82" spans="2:15" x14ac:dyDescent="0.25">
      <c r="C82" s="19" t="s">
        <v>99</v>
      </c>
      <c r="D82" s="20">
        <f>IF(Inputs!D$7="Y", 0, IF(D$11 = "", 0, IF(Inputs!D28 = "Y", D$11*Prices!$E26 * IF(Inputs!D27="Y",1-Prices!$L$21,1),IF(Inputs!D28="Monthly", D$11*Prices!$E26 * Prices!$L$30 * IF(Inputs!D27="Y",1-Prices!$L$21,1), 0))))*D$10</f>
        <v>0</v>
      </c>
      <c r="E82" s="20">
        <f>IF(Inputs!E$7="Y", 0, IF(E$11 = "", 0, IF(Inputs!E28 = "Y", E$11*Prices!$E26 * IF(Inputs!E27="Y",1-Prices!$L$21,1),IF(Inputs!E28="Monthly", E$11*Prices!$E26 * Prices!$L$30 * IF(Inputs!E27="Y",1-Prices!$L$21,1), 0))))*E$10</f>
        <v>0</v>
      </c>
      <c r="F82" s="20">
        <f>IF(Inputs!F$7="Y", 0, IF(F$11 = "", 0, IF(Inputs!F28 = "Y", F$11*Prices!$E26 * IF(Inputs!F27="Y",1-Prices!$L$21,1),IF(Inputs!F28="Monthly", F$11*Prices!$E26 * Prices!$L$30 * IF(Inputs!F27="Y",1-Prices!$L$21,1), 0))))*F$10</f>
        <v>0</v>
      </c>
      <c r="G82" s="20">
        <f>IF(Inputs!G$7="Y", 0, IF(G$11 = "", 0, IF(Inputs!G28 = "Y", G$11*Prices!$E26 * IF(Inputs!G27="Y",1-Prices!$L$21,1),IF(Inputs!G28="Monthly", G$11*Prices!$E26 * Prices!$L$30 * IF(Inputs!G27="Y",1-Prices!$L$21,1), 0))))*G$10</f>
        <v>0</v>
      </c>
      <c r="H82" s="20">
        <f>IF(Inputs!H$7="Y", 0, IF(H$11 = "", 0, IF(Inputs!H28 = "Y", H$11*Prices!$E26 * IF(Inputs!H27="Y",1-Prices!$L$21,1),IF(Inputs!H28="Monthly", H$11*Prices!$E26 * Prices!$L$30 * IF(Inputs!H27="Y",1-Prices!$L$21,1), 0))))*H$10</f>
        <v>0</v>
      </c>
      <c r="J82" s="90">
        <f t="shared" si="7"/>
        <v>1.5000000000000002E-3</v>
      </c>
      <c r="K82" s="23">
        <f t="shared" si="2"/>
        <v>1.5000000000000002E-3</v>
      </c>
      <c r="L82" s="23">
        <f t="shared" si="3"/>
        <v>1.5000000000000002E-3</v>
      </c>
      <c r="M82" s="23">
        <f t="shared" si="4"/>
        <v>1.5000000000000002E-3</v>
      </c>
      <c r="N82" s="23">
        <f t="shared" si="5"/>
        <v>1.5000000000000002E-3</v>
      </c>
      <c r="O82" s="23">
        <f t="shared" si="6"/>
        <v>1.5000000000000002E-3</v>
      </c>
    </row>
    <row r="83" spans="2:15" x14ac:dyDescent="0.25">
      <c r="C83" s="19" t="s">
        <v>150</v>
      </c>
      <c r="D83" s="20">
        <f>IF(Inputs!D$7="Y", 0, IF(D$11 = "", 0, IF(Inputs!D29 = "Y", D$11*Prices!$E27, 0)))*D$10</f>
        <v>0</v>
      </c>
      <c r="E83" s="20">
        <f>IF(Inputs!E$7="Y", 0, IF(E$11 = "", 0, IF(Inputs!E29 = "Y", E$11*Prices!$E27, 0)))*E$10</f>
        <v>0</v>
      </c>
      <c r="F83" s="20">
        <f>IF(Inputs!F$7="Y", 0, IF(F$11 = "", 0, IF(Inputs!F29 = "Y", F$11*Prices!$E27, 0)))*F$10</f>
        <v>0</v>
      </c>
      <c r="G83" s="20">
        <f>IF(Inputs!G$7="Y", 0, IF(G$11 = "", 0, IF(Inputs!G29 = "Y", G$11*Prices!$E27, 0)))*G$10</f>
        <v>0</v>
      </c>
      <c r="H83" s="20">
        <f>IF(Inputs!H$7="Y", 0, IF(H$11 = "", 0, IF(Inputs!H29 = "Y", H$11*Prices!$E27, 0)))*H$10</f>
        <v>0</v>
      </c>
      <c r="J83" s="90">
        <f t="shared" si="7"/>
        <v>1.6000000000000003E-3</v>
      </c>
      <c r="K83" s="23">
        <f t="shared" si="2"/>
        <v>1.6000000000000003E-3</v>
      </c>
      <c r="L83" s="23">
        <f t="shared" si="3"/>
        <v>1.6000000000000003E-3</v>
      </c>
      <c r="M83" s="23">
        <f t="shared" si="4"/>
        <v>1.6000000000000003E-3</v>
      </c>
      <c r="N83" s="23">
        <f t="shared" si="5"/>
        <v>1.6000000000000003E-3</v>
      </c>
      <c r="O83" s="23">
        <f t="shared" si="6"/>
        <v>1.6000000000000003E-3</v>
      </c>
    </row>
    <row r="84" spans="2:15" x14ac:dyDescent="0.25">
      <c r="C84" s="19" t="s">
        <v>98</v>
      </c>
      <c r="D84" s="20">
        <f>IF(Inputs!D$7="Y", 0, IF(D$11 = "", 0, IF(Inputs!D30 = "Y", D$11*Prices!$E28, 0)))*D$10</f>
        <v>0</v>
      </c>
      <c r="E84" s="20">
        <f>IF(Inputs!E$7="Y", 0, IF(E$11 = "", 0, IF(Inputs!E30 = "Y", E$11*Prices!$E28, 0)))*E$10</f>
        <v>0</v>
      </c>
      <c r="F84" s="20">
        <f>IF(Inputs!F$7="Y", 0, IF(F$11 = "", 0, IF(Inputs!F30 = "Y", F$11*Prices!$E28, 0)))*F$10</f>
        <v>0</v>
      </c>
      <c r="G84" s="20">
        <f>IF(Inputs!G$7="Y", 0, IF(G$11 = "", 0, IF(Inputs!G30 = "Y", G$11*Prices!$E28, 0)))*G$10</f>
        <v>0</v>
      </c>
      <c r="H84" s="20">
        <f>IF(Inputs!H$7="Y", 0, IF(H$11 = "", 0, IF(Inputs!H30 = "Y", H$11*Prices!$E28, 0)))*H$10</f>
        <v>0</v>
      </c>
      <c r="J84" s="90">
        <f t="shared" si="7"/>
        <v>1.7000000000000003E-3</v>
      </c>
      <c r="K84" s="23">
        <f t="shared" si="2"/>
        <v>1.7000000000000003E-3</v>
      </c>
      <c r="L84" s="23">
        <f t="shared" si="3"/>
        <v>1.7000000000000003E-3</v>
      </c>
      <c r="M84" s="23">
        <f t="shared" si="4"/>
        <v>1.7000000000000003E-3</v>
      </c>
      <c r="N84" s="23">
        <f t="shared" si="5"/>
        <v>1.7000000000000003E-3</v>
      </c>
      <c r="O84" s="23">
        <f t="shared" si="6"/>
        <v>1.7000000000000003E-3</v>
      </c>
    </row>
    <row r="85" spans="2:15" x14ac:dyDescent="0.25">
      <c r="C85" s="81" t="s">
        <v>96</v>
      </c>
      <c r="D85" s="84">
        <f>IF(Inputs!D$7="Y", 0, IF(D$11 = "", 0, IF(Inputs!D13 = "Y", D$11*Prices!$E29, IF(Inputs!D13="Monthly", D$11*Prices!$E29*Prices!$L$30,0))))*D$10</f>
        <v>0</v>
      </c>
      <c r="E85" s="84">
        <f>IF(Inputs!E$7="Y", 0, IF(E$11 = "", 0, IF(Inputs!E13 = "Y", E$11*Prices!$E29, IF(Inputs!E13="Monthly", E$11*Prices!$E29*Prices!$L$30,0))))*E$10</f>
        <v>0</v>
      </c>
      <c r="F85" s="84">
        <f>IF(Inputs!F$7="Y", 0, IF(F$11 = "", 0, IF(Inputs!F13 = "Y", F$11*Prices!$E29, IF(Inputs!F13="Monthly", F$11*Prices!$E29*Prices!$L$30,0))))*F$10</f>
        <v>0</v>
      </c>
      <c r="G85" s="84">
        <f>IF(Inputs!G$7="Y", 0, IF(G$11 = "", 0, IF(Inputs!G13 = "Y", G$11*Prices!$E29, IF(Inputs!G13="Monthly", G$11*Prices!$E29*Prices!$L$30,0))))*G$10</f>
        <v>0</v>
      </c>
      <c r="H85" s="84">
        <f>IF(Inputs!H$7="Y", 0, IF(H$11 = "", 0, IF(Inputs!H13 = "Y", H$11*Prices!$E29, IF(Inputs!H13="Monthly", H$11*Prices!$E29*Prices!$L$30,0))))*H$10</f>
        <v>0</v>
      </c>
      <c r="J85" s="90">
        <f t="shared" si="7"/>
        <v>1.8000000000000004E-3</v>
      </c>
      <c r="K85" s="23">
        <f>IF(Inputs!$C$4="Yes", 0, D74+D85+$J85)</f>
        <v>9600.0018</v>
      </c>
      <c r="L85" s="23">
        <f>IF(Inputs!$C$4="Yes", 0, E74+E85+$J85)</f>
        <v>1.8000000000000004E-3</v>
      </c>
      <c r="M85" s="23">
        <f>IF(Inputs!$C$4="Yes", 0, F74+F85+$J85)</f>
        <v>1.8000000000000004E-3</v>
      </c>
      <c r="N85" s="23">
        <f>IF(Inputs!$C$4="Yes", 0, G74+G85+$J85)</f>
        <v>1.8000000000000004E-3</v>
      </c>
      <c r="O85" s="23">
        <f>IF(Inputs!$C$4="Yes", 0, H74+H85+$J85)</f>
        <v>1.8000000000000004E-3</v>
      </c>
    </row>
    <row r="86" spans="2:15" x14ac:dyDescent="0.25">
      <c r="D86" s="1"/>
      <c r="E86" s="1"/>
      <c r="F86" s="1"/>
      <c r="G86" s="1"/>
      <c r="H86" s="1"/>
    </row>
    <row r="87" spans="2:15" x14ac:dyDescent="0.25">
      <c r="B87" s="6" t="s">
        <v>46</v>
      </c>
    </row>
    <row r="88" spans="2:15" x14ac:dyDescent="0.25">
      <c r="C88" s="17" t="s">
        <v>13</v>
      </c>
      <c r="D88" s="18">
        <f>D66</f>
        <v>0</v>
      </c>
      <c r="E88" s="18">
        <f t="shared" ref="E88:H88" si="8">E66</f>
        <v>0</v>
      </c>
      <c r="F88" s="18">
        <f t="shared" si="8"/>
        <v>0</v>
      </c>
      <c r="G88" s="18">
        <f t="shared" si="8"/>
        <v>0</v>
      </c>
      <c r="H88" s="18">
        <f t="shared" si="8"/>
        <v>0</v>
      </c>
      <c r="K88" s="21">
        <f>IF(COUNTIF(K$77:K$85,"")&gt;2,"",IFERROR(RANK(K77,K$77:K$85),8))</f>
        <v>9</v>
      </c>
      <c r="L88" s="21">
        <f t="shared" ref="L88:O88" si="9">IF(COUNTIF(L$77:L$85,"")&gt;2,"",IFERROR(RANK(L77,L$77:L$85),8))</f>
        <v>9</v>
      </c>
      <c r="M88" s="21">
        <f t="shared" si="9"/>
        <v>9</v>
      </c>
      <c r="N88" s="21">
        <f t="shared" si="9"/>
        <v>9</v>
      </c>
      <c r="O88" s="21">
        <f t="shared" si="9"/>
        <v>9</v>
      </c>
    </row>
    <row r="89" spans="2:15" x14ac:dyDescent="0.25">
      <c r="C89" s="17" t="s">
        <v>14</v>
      </c>
      <c r="D89" s="18">
        <f>IF(D67=0,0,D67-SUM(D15:D20))</f>
        <v>14000</v>
      </c>
      <c r="E89" s="18">
        <f t="shared" ref="E89:H89" si="10">IF(E67=0,0,E67-SUM(E15:E20))</f>
        <v>0</v>
      </c>
      <c r="F89" s="18">
        <f t="shared" si="10"/>
        <v>0</v>
      </c>
      <c r="G89" s="18">
        <f t="shared" si="10"/>
        <v>0</v>
      </c>
      <c r="H89" s="18">
        <f t="shared" si="10"/>
        <v>0</v>
      </c>
      <c r="K89" s="21">
        <f t="shared" ref="K89:O89" si="11">IF(COUNTIF(K$77:K$85,"")&gt;2,"",IFERROR(RANK(K78,K$77:K$85),8))</f>
        <v>1</v>
      </c>
      <c r="L89" s="21">
        <f t="shared" si="11"/>
        <v>8</v>
      </c>
      <c r="M89" s="21">
        <f t="shared" si="11"/>
        <v>8</v>
      </c>
      <c r="N89" s="21">
        <f t="shared" si="11"/>
        <v>8</v>
      </c>
      <c r="O89" s="21">
        <f t="shared" si="11"/>
        <v>8</v>
      </c>
    </row>
    <row r="90" spans="2:15" x14ac:dyDescent="0.25">
      <c r="C90" s="19" t="s">
        <v>15</v>
      </c>
      <c r="D90" s="20">
        <f>IF(D68=0,0,D68-SUM(D22:D24))</f>
        <v>0</v>
      </c>
      <c r="E90" s="20">
        <f>IF(E68=0,0,E68-SUM(E22:E24))</f>
        <v>0</v>
      </c>
      <c r="F90" s="20">
        <f>IF(F68=0,0,F68-SUM(F22:F24))</f>
        <v>0</v>
      </c>
      <c r="G90" s="20">
        <f>IF(G68=0,0,G68-SUM(G22:G24))</f>
        <v>0</v>
      </c>
      <c r="H90" s="20">
        <f>IF(H68=0,0,H68-SUM(H22:H24))</f>
        <v>0</v>
      </c>
      <c r="K90" s="21">
        <f t="shared" ref="K90:O90" si="12">IF(COUNTIF(K$77:K$85,"")&gt;2,"",IFERROR(RANK(K79,K$77:K$85),8))</f>
        <v>8</v>
      </c>
      <c r="L90" s="21">
        <f t="shared" si="12"/>
        <v>7</v>
      </c>
      <c r="M90" s="21">
        <f t="shared" si="12"/>
        <v>7</v>
      </c>
      <c r="N90" s="21">
        <f t="shared" si="12"/>
        <v>7</v>
      </c>
      <c r="O90" s="21">
        <f t="shared" si="12"/>
        <v>7</v>
      </c>
    </row>
    <row r="91" spans="2:15" x14ac:dyDescent="0.25">
      <c r="C91" s="19" t="s">
        <v>129</v>
      </c>
      <c r="D91" s="20">
        <f>IF(D69=0,0,D69-IF(Inputs!D25="Y", 0, SUM(D22:D24)))</f>
        <v>0</v>
      </c>
      <c r="E91" s="20">
        <f>IF(E69=0,0,E69-IF(Inputs!E25="Y", 0, SUM(E22:E24)))</f>
        <v>0</v>
      </c>
      <c r="F91" s="20">
        <f>IF(F69=0,0,F69-IF(Inputs!F25="Y", 0, SUM(F22:F24)))</f>
        <v>0</v>
      </c>
      <c r="G91" s="20">
        <f>IF(G69=0,0,G69-IF(Inputs!G25="Y", 0, SUM(G22:G24)))</f>
        <v>0</v>
      </c>
      <c r="H91" s="20">
        <f>IF(H69=0,0,H69-IF(Inputs!H25="Y", 0, SUM(H22:H24)))</f>
        <v>0</v>
      </c>
      <c r="K91" s="21">
        <f t="shared" ref="K91:O91" si="13">IF(COUNTIF(K$77:K$85,"")&gt;2,"",IFERROR(RANK(K80,K$77:K$85),8))</f>
        <v>7</v>
      </c>
      <c r="L91" s="21">
        <f t="shared" si="13"/>
        <v>6</v>
      </c>
      <c r="M91" s="21">
        <f t="shared" si="13"/>
        <v>6</v>
      </c>
      <c r="N91" s="21">
        <f t="shared" si="13"/>
        <v>6</v>
      </c>
      <c r="O91" s="21">
        <f t="shared" si="13"/>
        <v>6</v>
      </c>
    </row>
    <row r="92" spans="2:15" x14ac:dyDescent="0.25">
      <c r="C92" s="19" t="s">
        <v>16</v>
      </c>
      <c r="D92" s="20">
        <f>D70</f>
        <v>0</v>
      </c>
      <c r="E92" s="20">
        <f>E70</f>
        <v>0</v>
      </c>
      <c r="F92" s="20">
        <f>F70</f>
        <v>0</v>
      </c>
      <c r="G92" s="20">
        <f>G70</f>
        <v>0</v>
      </c>
      <c r="H92" s="20">
        <f>H70</f>
        <v>0</v>
      </c>
      <c r="K92" s="21">
        <f t="shared" ref="K92:O92" si="14">IF(COUNTIF(K$77:K$85,"")&gt;2,"",IFERROR(RANK(K81,K$77:K$85),8))</f>
        <v>6</v>
      </c>
      <c r="L92" s="21">
        <f t="shared" si="14"/>
        <v>5</v>
      </c>
      <c r="M92" s="21">
        <f t="shared" si="14"/>
        <v>5</v>
      </c>
      <c r="N92" s="21">
        <f t="shared" si="14"/>
        <v>5</v>
      </c>
      <c r="O92" s="21">
        <f t="shared" si="14"/>
        <v>5</v>
      </c>
    </row>
    <row r="93" spans="2:15" x14ac:dyDescent="0.25">
      <c r="C93" s="19" t="s">
        <v>99</v>
      </c>
      <c r="D93" s="20">
        <f>D71</f>
        <v>0</v>
      </c>
      <c r="E93" s="20">
        <f t="shared" ref="E93:H93" si="15">E71</f>
        <v>0</v>
      </c>
      <c r="F93" s="20">
        <f t="shared" si="15"/>
        <v>0</v>
      </c>
      <c r="G93" s="20">
        <f t="shared" si="15"/>
        <v>0</v>
      </c>
      <c r="H93" s="20">
        <f t="shared" si="15"/>
        <v>0</v>
      </c>
      <c r="K93" s="21">
        <f t="shared" ref="K93:O93" si="16">IF(COUNTIF(K$77:K$85,"")&gt;2,"",IFERROR(RANK(K82,K$77:K$85),8))</f>
        <v>5</v>
      </c>
      <c r="L93" s="21">
        <f t="shared" si="16"/>
        <v>4</v>
      </c>
      <c r="M93" s="21">
        <f t="shared" si="16"/>
        <v>4</v>
      </c>
      <c r="N93" s="21">
        <f t="shared" si="16"/>
        <v>4</v>
      </c>
      <c r="O93" s="21">
        <f t="shared" si="16"/>
        <v>4</v>
      </c>
    </row>
    <row r="94" spans="2:15" x14ac:dyDescent="0.25">
      <c r="C94" s="19" t="s">
        <v>150</v>
      </c>
      <c r="D94" s="20">
        <f>IF(D72=0,0,D72-IF(OR(Inputs!D25="Y",Inputs!D26="Y"), 0, D23))</f>
        <v>0</v>
      </c>
      <c r="E94" s="20">
        <f>IF(E72=0,0,E72-IF(OR(Inputs!E25="Y",Inputs!E26="Y"), 0, E23))</f>
        <v>0</v>
      </c>
      <c r="F94" s="20">
        <f>IF(F72=0,0,F72-IF(OR(Inputs!F25="Y",Inputs!F26="Y"), 0, F23))</f>
        <v>0</v>
      </c>
      <c r="G94" s="20">
        <f>IF(G72=0,0,G72-IF(OR(Inputs!G25="Y",Inputs!G26="Y"), 0, G23))</f>
        <v>0</v>
      </c>
      <c r="H94" s="20">
        <f>IF(H72=0,0,H72-IF(OR(Inputs!H25="Y",Inputs!H26="Y"), 0, H23))</f>
        <v>0</v>
      </c>
      <c r="K94" s="21">
        <f t="shared" ref="K94:O94" si="17">IF(COUNTIF(K$77:K$85,"")&gt;2,"",IFERROR(RANK(K83,K$77:K$85),8))</f>
        <v>4</v>
      </c>
      <c r="L94" s="21">
        <f t="shared" si="17"/>
        <v>3</v>
      </c>
      <c r="M94" s="21">
        <f t="shared" si="17"/>
        <v>3</v>
      </c>
      <c r="N94" s="21">
        <f t="shared" si="17"/>
        <v>3</v>
      </c>
      <c r="O94" s="21">
        <f t="shared" si="17"/>
        <v>3</v>
      </c>
    </row>
    <row r="95" spans="2:15" x14ac:dyDescent="0.25">
      <c r="C95" s="19" t="s">
        <v>98</v>
      </c>
      <c r="D95" s="20">
        <f t="shared" ref="D95:H95" si="18">D73</f>
        <v>0</v>
      </c>
      <c r="E95" s="20">
        <f t="shared" si="18"/>
        <v>0</v>
      </c>
      <c r="F95" s="20">
        <f t="shared" si="18"/>
        <v>0</v>
      </c>
      <c r="G95" s="20">
        <f t="shared" si="18"/>
        <v>0</v>
      </c>
      <c r="H95" s="20">
        <f t="shared" si="18"/>
        <v>0</v>
      </c>
      <c r="K95" s="21">
        <f>IF(COUNTIF(K$77:K$85,"")&gt;2,"",IFERROR(RANK(K84,K$77:K$85),8))</f>
        <v>3</v>
      </c>
      <c r="L95" s="21">
        <f t="shared" ref="L95:O95" si="19">IF(COUNTIF(L$77:L$85,"")&gt;2,"",IFERROR(RANK(L84,L$77:L$85),8))</f>
        <v>2</v>
      </c>
      <c r="M95" s="21">
        <f t="shared" si="19"/>
        <v>2</v>
      </c>
      <c r="N95" s="21">
        <f t="shared" si="19"/>
        <v>2</v>
      </c>
      <c r="O95" s="21">
        <f t="shared" si="19"/>
        <v>2</v>
      </c>
    </row>
    <row r="96" spans="2:15" x14ac:dyDescent="0.25">
      <c r="C96" s="81" t="s">
        <v>96</v>
      </c>
      <c r="D96" s="84">
        <f t="shared" ref="D96:H96" si="20">D74</f>
        <v>9600</v>
      </c>
      <c r="E96" s="84">
        <f t="shared" si="20"/>
        <v>0</v>
      </c>
      <c r="F96" s="84">
        <f t="shared" si="20"/>
        <v>0</v>
      </c>
      <c r="G96" s="84">
        <f t="shared" si="20"/>
        <v>0</v>
      </c>
      <c r="H96" s="84">
        <f t="shared" si="20"/>
        <v>0</v>
      </c>
      <c r="K96" s="21">
        <f t="shared" ref="K96:O96" si="21">IF(COUNTIF(K$77:K$85,"")&gt;2,"",IFERROR(RANK(K85,K$77:K$85),8))</f>
        <v>2</v>
      </c>
      <c r="L96" s="21">
        <f t="shared" si="21"/>
        <v>1</v>
      </c>
      <c r="M96" s="21">
        <f t="shared" si="21"/>
        <v>1</v>
      </c>
      <c r="N96" s="21">
        <f t="shared" si="21"/>
        <v>1</v>
      </c>
      <c r="O96" s="21">
        <f t="shared" si="21"/>
        <v>1</v>
      </c>
    </row>
    <row r="98" spans="1:8" x14ac:dyDescent="0.25">
      <c r="B98" s="6" t="s">
        <v>47</v>
      </c>
    </row>
    <row r="99" spans="1:8" x14ac:dyDescent="0.25">
      <c r="C99" s="28" t="s">
        <v>13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</row>
    <row r="100" spans="1:8" x14ac:dyDescent="0.25">
      <c r="C100" s="17" t="s">
        <v>14</v>
      </c>
      <c r="D100" s="18">
        <f>IF(D78=0,0,D78-SUM(D28:D33))</f>
        <v>0</v>
      </c>
      <c r="E100" s="18">
        <f t="shared" ref="E100:H100" si="22">IF(E78=0,0,E78-SUM(E28:E33))</f>
        <v>0</v>
      </c>
      <c r="F100" s="18">
        <f t="shared" si="22"/>
        <v>0</v>
      </c>
      <c r="G100" s="18">
        <f t="shared" si="22"/>
        <v>0</v>
      </c>
      <c r="H100" s="18">
        <f t="shared" si="22"/>
        <v>0</v>
      </c>
    </row>
    <row r="101" spans="1:8" x14ac:dyDescent="0.25">
      <c r="C101" s="19" t="s">
        <v>15</v>
      </c>
      <c r="D101" s="20">
        <f>IF(D79=0,0,D79-SUM(D35:D36))</f>
        <v>0</v>
      </c>
      <c r="E101" s="20">
        <f>IF(E79=0,0,E79-SUM(E35:E36))</f>
        <v>0</v>
      </c>
      <c r="F101" s="20">
        <f>IF(F79=0,0,F79-SUM(F35:F36))</f>
        <v>0</v>
      </c>
      <c r="G101" s="20">
        <f>IF(G79=0,0,G79-SUM(G35:G36))</f>
        <v>0</v>
      </c>
      <c r="H101" s="20">
        <f>IF(H79=0,0,H79-SUM(H35:H36))</f>
        <v>0</v>
      </c>
    </row>
    <row r="102" spans="1:8" x14ac:dyDescent="0.25">
      <c r="C102" s="19" t="s">
        <v>129</v>
      </c>
      <c r="D102" s="20">
        <f>IF(D80=0,0,D80-IF(Inputs!D25="Y", 0,SUM(D35:D36)))</f>
        <v>0</v>
      </c>
      <c r="E102" s="20">
        <f>IF(E80=0,0,E80-IF(Inputs!E25="Y", 0,SUM(E35:E36)))</f>
        <v>0</v>
      </c>
      <c r="F102" s="20">
        <f>IF(F80=0,0,F80-IF(Inputs!F25="Y", 0,SUM(F35:F36)))</f>
        <v>0</v>
      </c>
      <c r="G102" s="20">
        <f>IF(G80=0,0,G80-IF(Inputs!G25="Y", 0,SUM(G35:G36)))</f>
        <v>0</v>
      </c>
      <c r="H102" s="20">
        <f>IF(H80=0,0,H80-IF(Inputs!H25="Y", 0,SUM(H35:H36)))</f>
        <v>0</v>
      </c>
    </row>
    <row r="103" spans="1:8" x14ac:dyDescent="0.25">
      <c r="C103" s="19" t="s">
        <v>16</v>
      </c>
      <c r="D103" s="20">
        <f>D81</f>
        <v>0</v>
      </c>
      <c r="E103" s="20">
        <f>E81</f>
        <v>0</v>
      </c>
      <c r="F103" s="20">
        <f>F81</f>
        <v>0</v>
      </c>
      <c r="G103" s="20">
        <f>G81</f>
        <v>0</v>
      </c>
      <c r="H103" s="20">
        <f>H81</f>
        <v>0</v>
      </c>
    </row>
    <row r="104" spans="1:8" x14ac:dyDescent="0.25">
      <c r="C104" s="19" t="s">
        <v>99</v>
      </c>
      <c r="D104" s="20">
        <f t="shared" ref="D104:H104" si="23">D82</f>
        <v>0</v>
      </c>
      <c r="E104" s="20">
        <f t="shared" si="23"/>
        <v>0</v>
      </c>
      <c r="F104" s="20">
        <f t="shared" si="23"/>
        <v>0</v>
      </c>
      <c r="G104" s="20">
        <f t="shared" si="23"/>
        <v>0</v>
      </c>
      <c r="H104" s="20">
        <f t="shared" si="23"/>
        <v>0</v>
      </c>
    </row>
    <row r="105" spans="1:8" x14ac:dyDescent="0.25">
      <c r="C105" s="19" t="s">
        <v>150</v>
      </c>
      <c r="D105" s="20">
        <f>IF(D83=0,0,D83-IF(OR(Inputs!D25="Y",Inputs!D26="Y"), 0, D36))</f>
        <v>0</v>
      </c>
      <c r="E105" s="20">
        <f>IF(E83=0,0,E83-IF(OR(Inputs!E25="Y",Inputs!E26="Y"), 0, E36))</f>
        <v>0</v>
      </c>
      <c r="F105" s="20">
        <f>IF(F83=0,0,F83-IF(OR(Inputs!F25="Y",Inputs!F26="Y"), 0, F36))</f>
        <v>0</v>
      </c>
      <c r="G105" s="20">
        <f>IF(G83=0,0,G83-IF(OR(Inputs!G25="Y",Inputs!G26="Y"), 0, G36))</f>
        <v>0</v>
      </c>
      <c r="H105" s="20">
        <f>IF(H83=0,0,H83-IF(OR(Inputs!H25="Y",Inputs!H26="Y"), 0, H36))</f>
        <v>0</v>
      </c>
    </row>
    <row r="106" spans="1:8" x14ac:dyDescent="0.25">
      <c r="C106" s="19" t="s">
        <v>98</v>
      </c>
      <c r="D106" s="20">
        <f t="shared" ref="D106:H106" si="24">D84</f>
        <v>0</v>
      </c>
      <c r="E106" s="20">
        <f t="shared" si="24"/>
        <v>0</v>
      </c>
      <c r="F106" s="20">
        <f t="shared" si="24"/>
        <v>0</v>
      </c>
      <c r="G106" s="20">
        <f t="shared" si="24"/>
        <v>0</v>
      </c>
      <c r="H106" s="20">
        <f t="shared" si="24"/>
        <v>0</v>
      </c>
    </row>
    <row r="107" spans="1:8" x14ac:dyDescent="0.25">
      <c r="C107" s="81" t="s">
        <v>96</v>
      </c>
      <c r="D107" s="84">
        <f t="shared" ref="D107:H107" si="25">D85</f>
        <v>0</v>
      </c>
      <c r="E107" s="84">
        <f t="shared" si="25"/>
        <v>0</v>
      </c>
      <c r="F107" s="84">
        <f t="shared" si="25"/>
        <v>0</v>
      </c>
      <c r="G107" s="84">
        <f t="shared" si="25"/>
        <v>0</v>
      </c>
      <c r="H107" s="84">
        <f t="shared" si="25"/>
        <v>0</v>
      </c>
    </row>
    <row r="109" spans="1:8" x14ac:dyDescent="0.25">
      <c r="B109" s="6" t="s">
        <v>29</v>
      </c>
    </row>
    <row r="110" spans="1:8" x14ac:dyDescent="0.25">
      <c r="A110" s="88">
        <v>2</v>
      </c>
      <c r="C110" t="s">
        <v>25</v>
      </c>
      <c r="D110" s="1">
        <f>_xlfn.IFNA(SUM(INDEX(D$66:D$74, MATCH($A110, K$88:K$96, 0)), INDEX(D$77:D$85, MATCH($A110, K$88:K$96, 0)))*Prices!$L$5*-1, 0)</f>
        <v>-2880</v>
      </c>
      <c r="E110" s="1">
        <f>_xlfn.IFNA(SUM(INDEX(E$66:E$74, MATCH($A110, L$88:L$96, 0)), INDEX(E$77:E$85, MATCH($A110, L$88:L$96, 0)))*Prices!$L$5*-1, 0)</f>
        <v>0</v>
      </c>
      <c r="F110" s="1">
        <f>_xlfn.IFNA(SUM(INDEX(F$66:F$74, MATCH($A110, M$88:M$96, 0)), INDEX(F$77:F$85, MATCH($A110, M$88:M$96, 0)))*Prices!$L$5*-1, 0)</f>
        <v>0</v>
      </c>
      <c r="G110" s="1">
        <f>_xlfn.IFNA(SUM(INDEX(G$66:G$74, MATCH($A110, N$88:N$96, 0)), INDEX(G$77:G$85, MATCH($A110, N$88:N$96, 0)))*Prices!$L$5*-1, 0)</f>
        <v>0</v>
      </c>
      <c r="H110" s="1">
        <f>_xlfn.IFNA(SUM(INDEX(H$66:H$74, MATCH($A110, O$88:O$96, 0)), INDEX(H$77:H$85, MATCH($A110, O$88:O$96, 0)))*Prices!$L$5*-1, 0)</f>
        <v>0</v>
      </c>
    </row>
    <row r="111" spans="1:8" x14ac:dyDescent="0.25">
      <c r="A111" s="88">
        <v>3</v>
      </c>
      <c r="C111" t="s">
        <v>26</v>
      </c>
      <c r="D111" s="1">
        <f>_xlfn.IFNA(SUM(INDEX(D$66:D$74, MATCH($A111, K$88:K$96, 0)), INDEX(D$77:D$85, MATCH($A111, K$88:K$96, 0)))*Prices!$L$6*-1, 0)</f>
        <v>0</v>
      </c>
      <c r="E111" s="1">
        <f>_xlfn.IFNA(SUM(INDEX(E$66:E$74, MATCH($A111, L$88:L$96, 0)), INDEX(E$77:E$85, MATCH($A111, L$88:L$96, 0)))*Prices!$L$6*-1, 0)</f>
        <v>0</v>
      </c>
      <c r="F111" s="1">
        <f>_xlfn.IFNA(SUM(INDEX(F$66:F$74, MATCH($A111, M$88:M$96, 0)), INDEX(F$77:F$85, MATCH($A111, M$88:M$96, 0)))*Prices!$L$6*-1, 0)</f>
        <v>0</v>
      </c>
      <c r="G111" s="1">
        <f>_xlfn.IFNA(SUM(INDEX(G$66:G$74, MATCH($A111, N$88:N$96, 0)), INDEX(G$77:G$85, MATCH($A111, N$88:N$96, 0)))*Prices!$L$6*-1, 0)</f>
        <v>0</v>
      </c>
      <c r="H111" s="1">
        <f>_xlfn.IFNA(SUM(INDEX(H$66:H$74, MATCH($A111, O$88:O$96, 0)), INDEX(H$77:H$85, MATCH($A111, O$88:O$96, 0)))*Prices!$L$6*-1, 0)</f>
        <v>0</v>
      </c>
    </row>
    <row r="112" spans="1:8" x14ac:dyDescent="0.25">
      <c r="A112" s="88">
        <v>4</v>
      </c>
      <c r="C112" t="s">
        <v>100</v>
      </c>
      <c r="D112" s="1">
        <f>_xlfn.IFNA(SUM(INDEX(D$66:D$74, MATCH($A112, K$88:K$96, 0)), INDEX(D$77:D$85, MATCH($A112, K$88:K$96, 0)))*Prices!$L$6*-1, 0)</f>
        <v>0</v>
      </c>
      <c r="E112" s="1">
        <f>_xlfn.IFNA(SUM(INDEX(E$66:E$74, MATCH($A112, L$88:L$96, 0)), INDEX(E$77:E$85, MATCH($A112, L$88:L$96, 0)))*Prices!$L$6*-1, 0)</f>
        <v>0</v>
      </c>
      <c r="F112" s="1">
        <f>_xlfn.IFNA(SUM(INDEX(F$66:F$74, MATCH($A112, M$88:M$96, 0)), INDEX(F$77:F$85, MATCH($A112, M$88:M$96, 0)))*Prices!$L$6*-1, 0)</f>
        <v>0</v>
      </c>
      <c r="G112" s="1">
        <f>_xlfn.IFNA(SUM(INDEX(G$66:G$74, MATCH($A112, N$88:N$96, 0)), INDEX(G$77:G$85, MATCH($A112, N$88:N$96, 0)))*Prices!$L$6*-1, 0)</f>
        <v>0</v>
      </c>
      <c r="H112" s="1">
        <f>_xlfn.IFNA(SUM(INDEX(H$66:H$74, MATCH($A112, O$88:O$96, 0)), INDEX(H$77:H$85, MATCH($A112, O$88:O$96, 0)))*Prices!$L$6*-1, 0)</f>
        <v>0</v>
      </c>
    </row>
    <row r="113" spans="1:8" x14ac:dyDescent="0.25">
      <c r="A113" s="88">
        <v>5</v>
      </c>
      <c r="C113" t="s">
        <v>101</v>
      </c>
      <c r="D113" s="1">
        <f>_xlfn.IFNA(SUM(INDEX(D$66:D$74, MATCH($A113, K$88:K$96, 0)), INDEX(D$77:D$85, MATCH($A113, K$88:K$96, 0)))*Prices!$L$6*-1, 0)</f>
        <v>0</v>
      </c>
      <c r="E113" s="1">
        <f>_xlfn.IFNA(SUM(INDEX(E$66:E$74, MATCH($A113, L$88:L$96, 0)), INDEX(E$77:E$85, MATCH($A113, L$88:L$96, 0)))*Prices!$L$6*-1, 0)</f>
        <v>0</v>
      </c>
      <c r="F113" s="1">
        <f>_xlfn.IFNA(SUM(INDEX(F$66:F$74, MATCH($A113, M$88:M$96, 0)), INDEX(F$77:F$85, MATCH($A113, M$88:M$96, 0)))*Prices!$L$6*-1, 0)</f>
        <v>0</v>
      </c>
      <c r="G113" s="1">
        <f>_xlfn.IFNA(SUM(INDEX(G$66:G$74, MATCH($A113, N$88:N$96, 0)), INDEX(G$77:G$85, MATCH($A113, N$88:N$96, 0)))*Prices!$L$6*-1, 0)</f>
        <v>0</v>
      </c>
      <c r="H113" s="1">
        <f>_xlfn.IFNA(SUM(INDEX(H$66:H$74, MATCH($A113, O$88:O$96, 0)), INDEX(H$77:H$85, MATCH($A113, O$88:O$96, 0)))*Prices!$L$6*-1, 0)</f>
        <v>0</v>
      </c>
    </row>
    <row r="114" spans="1:8" x14ac:dyDescent="0.25">
      <c r="A114" s="88">
        <v>6</v>
      </c>
      <c r="C114" t="s">
        <v>102</v>
      </c>
      <c r="D114" s="1">
        <f>_xlfn.IFNA(SUM(INDEX(D$66:D$74, MATCH($A114, K$88:K$96, 0)), INDEX(D$77:D$85, MATCH($A114, K$88:K$96, 0)))*Prices!$L$6*-1, 0)</f>
        <v>0</v>
      </c>
      <c r="E114" s="1">
        <f>_xlfn.IFNA(SUM(INDEX(E$66:E$74, MATCH($A114, L$88:L$96, 0)), INDEX(E$77:E$85, MATCH($A114, L$88:L$96, 0)))*Prices!$L$6*-1, 0)</f>
        <v>0</v>
      </c>
      <c r="F114" s="1">
        <f>_xlfn.IFNA(SUM(INDEX(F$66:F$74, MATCH($A114, M$88:M$96, 0)), INDEX(F$77:F$85, MATCH($A114, M$88:M$96, 0)))*Prices!$L$6*-1, 0)</f>
        <v>0</v>
      </c>
      <c r="G114" s="1">
        <f>_xlfn.IFNA(SUM(INDEX(G$66:G$74, MATCH($A114, N$88:N$96, 0)), INDEX(G$77:G$85, MATCH($A114, N$88:N$96, 0)))*Prices!$L$6*-1, 0)</f>
        <v>0</v>
      </c>
      <c r="H114" s="1">
        <f>_xlfn.IFNA(SUM(INDEX(H$66:H$74, MATCH($A114, O$88:O$96, 0)), INDEX(H$77:H$85, MATCH($A114, O$88:O$96, 0)))*Prices!$L$6*-1, 0)</f>
        <v>0</v>
      </c>
    </row>
    <row r="115" spans="1:8" x14ac:dyDescent="0.25">
      <c r="A115" s="88">
        <v>7</v>
      </c>
      <c r="C115" t="s">
        <v>130</v>
      </c>
      <c r="D115" s="1">
        <f>_xlfn.IFNA(SUM(INDEX(D$66:D$74, MATCH($A115, K$88:K$96, 0)), INDEX(D$77:D$85, MATCH($A115, K$88:K$96, 0)))*Prices!$L$6*-1, 0)</f>
        <v>0</v>
      </c>
      <c r="E115" s="1">
        <f>_xlfn.IFNA(SUM(INDEX(E$66:E$74, MATCH($A115, L$88:L$96, 0)), INDEX(E$77:E$85, MATCH($A115, L$88:L$96, 0)))*Prices!$L$6*-1, 0)</f>
        <v>0</v>
      </c>
      <c r="F115" s="1">
        <f>_xlfn.IFNA(SUM(INDEX(F$66:F$74, MATCH($A115, M$88:M$96, 0)), INDEX(F$77:F$85, MATCH($A115, M$88:M$96, 0)))*Prices!$L$6*-1, 0)</f>
        <v>0</v>
      </c>
      <c r="G115" s="1">
        <f>_xlfn.IFNA(SUM(INDEX(G$66:G$74, MATCH($A115, N$88:N$96, 0)), INDEX(G$77:G$85, MATCH($A115, N$88:N$96, 0)))*Prices!$L$6*-1, 0)</f>
        <v>0</v>
      </c>
      <c r="H115" s="1">
        <f>_xlfn.IFNA(SUM(INDEX(H$66:H$74, MATCH($A115, O$88:O$96, 0)), INDEX(H$77:H$85, MATCH($A115, O$88:O$96, 0)))*Prices!$L$6*-1, 0)</f>
        <v>0</v>
      </c>
    </row>
    <row r="116" spans="1:8" x14ac:dyDescent="0.25">
      <c r="A116" s="88">
        <v>8</v>
      </c>
      <c r="C116" t="s">
        <v>151</v>
      </c>
      <c r="D116" s="1">
        <f>_xlfn.IFNA(SUM(INDEX(D$66:D$74, MATCH($A116, K$88:K$96, 0)), INDEX(D$77:D$85, MATCH($A116, K$88:K$96, 0)))*Prices!$L$6*-1, 0)</f>
        <v>0</v>
      </c>
      <c r="E116" s="1">
        <f>_xlfn.IFNA(SUM(INDEX(E$66:E$74, MATCH($A116, L$88:L$96, 0)), INDEX(E$77:E$85, MATCH($A116, L$88:L$96, 0)))*Prices!$L$6*-1, 0)</f>
        <v>0</v>
      </c>
      <c r="F116" s="1">
        <f>_xlfn.IFNA(SUM(INDEX(F$66:F$74, MATCH($A116, M$88:M$96, 0)), INDEX(F$77:F$85, MATCH($A116, M$88:M$96, 0)))*Prices!$L$6*-1, 0)</f>
        <v>0</v>
      </c>
      <c r="G116" s="1">
        <f>_xlfn.IFNA(SUM(INDEX(G$66:G$74, MATCH($A116, N$88:N$96, 0)), INDEX(G$77:G$85, MATCH($A116, N$88:N$96, 0)))*Prices!$L$6*-1, 0)</f>
        <v>0</v>
      </c>
      <c r="H116" s="1">
        <f>_xlfn.IFNA(SUM(INDEX(H$66:H$74, MATCH($A116, O$88:O$96, 0)), INDEX(H$77:H$85, MATCH($A116, O$88:O$96, 0)))*Prices!$L$6*-1, 0)</f>
        <v>0</v>
      </c>
    </row>
    <row r="118" spans="1:8" x14ac:dyDescent="0.25">
      <c r="B118" s="6" t="s">
        <v>112</v>
      </c>
      <c r="D118" s="7">
        <f>SUM(D40:D50, D53:D63, D66:D74, D77:D85, D110:D116)</f>
        <v>54720</v>
      </c>
      <c r="E118" s="7">
        <f>SUM(E40:E50, E53:E63, E66:E74, E77:E85, E110:E116)</f>
        <v>0</v>
      </c>
      <c r="F118" s="7">
        <f>SUM(F40:F50, F53:F63, F66:F74, F77:F85, F110:F116)</f>
        <v>0</v>
      </c>
      <c r="G118" s="7">
        <f>SUM(G40:G50, G53:G63, G66:G74, G77:G85, G110:G116)</f>
        <v>0</v>
      </c>
      <c r="H118" s="7">
        <f>SUM(H40:H50, H53:H63, H66:H74, H77:H85, H110:H116)</f>
        <v>0</v>
      </c>
    </row>
    <row r="119" spans="1:8" x14ac:dyDescent="0.25">
      <c r="D119" s="1"/>
    </row>
    <row r="120" spans="1:8" x14ac:dyDescent="0.25">
      <c r="B120" s="6" t="s">
        <v>42</v>
      </c>
      <c r="D120" s="1">
        <f>IF(D130=1, 0, IF(D130=2, $E$133, IF(D130=3, $E$134, IF(D130=4, $E$135, IF(D130=5, $E$136, "")))))</f>
        <v>0</v>
      </c>
      <c r="E120" s="1">
        <f t="shared" ref="E120:H120" si="26">IF(E130=1, 0, IF(E130=2, $E$133, IF(E130=3, $E$134, IF(E130=4, $E$135, IF(E130=5, $E$136, "")))))</f>
        <v>0</v>
      </c>
      <c r="F120" s="1">
        <f t="shared" si="26"/>
        <v>0</v>
      </c>
      <c r="G120" s="1">
        <f t="shared" si="26"/>
        <v>0</v>
      </c>
      <c r="H120" s="1">
        <f t="shared" si="26"/>
        <v>0</v>
      </c>
    </row>
    <row r="121" spans="1:8" x14ac:dyDescent="0.25">
      <c r="D121" s="1"/>
      <c r="E121" s="1"/>
      <c r="F121" s="1"/>
      <c r="G121" s="1"/>
      <c r="H121" s="1"/>
    </row>
    <row r="122" spans="1:8" x14ac:dyDescent="0.25">
      <c r="B122" s="6" t="s">
        <v>82</v>
      </c>
      <c r="D122" s="1">
        <f>IF(Inputs!$D$8 = "Y", Prices!$L$19, 0)*-1</f>
        <v>0</v>
      </c>
      <c r="E122" s="1">
        <v>0</v>
      </c>
      <c r="F122" s="1">
        <v>0</v>
      </c>
      <c r="G122" s="1">
        <v>0</v>
      </c>
      <c r="H122" s="1">
        <v>0</v>
      </c>
    </row>
    <row r="124" spans="1:8" x14ac:dyDescent="0.25">
      <c r="B124" s="6" t="s">
        <v>113</v>
      </c>
      <c r="D124" s="7">
        <f>SUM(D118, D120,D122)</f>
        <v>54720</v>
      </c>
      <c r="E124" s="7">
        <f t="shared" ref="E124:H124" si="27">SUM(E118, E120,E122)</f>
        <v>0</v>
      </c>
      <c r="F124" s="7">
        <f t="shared" si="27"/>
        <v>0</v>
      </c>
      <c r="G124" s="7">
        <f t="shared" si="27"/>
        <v>0</v>
      </c>
      <c r="H124" s="7">
        <f t="shared" si="27"/>
        <v>0</v>
      </c>
    </row>
    <row r="127" spans="1:8" s="21" customFormat="1" x14ac:dyDescent="0.25">
      <c r="B127" s="27"/>
      <c r="C127" s="21" t="s">
        <v>114</v>
      </c>
      <c r="D127" s="21">
        <f>IFERROR(_xlfn.RANK.EQ(D118,$D$118:$H$118),5)</f>
        <v>1</v>
      </c>
      <c r="E127" s="21">
        <f t="shared" ref="E127:H127" si="28">IFERROR(_xlfn.RANK.EQ(E118,$D$118:$H$118),5)</f>
        <v>2</v>
      </c>
      <c r="F127" s="21">
        <f t="shared" si="28"/>
        <v>2</v>
      </c>
      <c r="G127" s="21">
        <f t="shared" si="28"/>
        <v>2</v>
      </c>
      <c r="H127" s="21">
        <f t="shared" si="28"/>
        <v>2</v>
      </c>
    </row>
    <row r="128" spans="1:8" s="21" customFormat="1" x14ac:dyDescent="0.25">
      <c r="B128" s="27"/>
      <c r="D128" s="21">
        <v>0.1</v>
      </c>
      <c r="E128" s="21">
        <v>0.2</v>
      </c>
      <c r="F128" s="21">
        <v>0.3</v>
      </c>
      <c r="G128" s="21">
        <v>0.4</v>
      </c>
      <c r="H128" s="21">
        <v>0.5</v>
      </c>
    </row>
    <row r="129" spans="2:8" s="21" customFormat="1" x14ac:dyDescent="0.25">
      <c r="B129" s="27"/>
      <c r="D129" s="21">
        <f>SUM(D127:D128)</f>
        <v>1.1000000000000001</v>
      </c>
      <c r="E129" s="21">
        <f t="shared" ref="E129:H129" si="29">SUM(E127:E128)</f>
        <v>2.2000000000000002</v>
      </c>
      <c r="F129" s="21">
        <f t="shared" si="29"/>
        <v>2.2999999999999998</v>
      </c>
      <c r="G129" s="21">
        <f t="shared" si="29"/>
        <v>2.4</v>
      </c>
      <c r="H129" s="21">
        <f t="shared" si="29"/>
        <v>2.5</v>
      </c>
    </row>
    <row r="130" spans="2:8" s="21" customFormat="1" x14ac:dyDescent="0.25">
      <c r="B130" s="27"/>
      <c r="D130" s="21">
        <f>_xlfn.RANK.EQ(D129, $D$129:$H$129, 5)</f>
        <v>1</v>
      </c>
      <c r="E130" s="21">
        <f t="shared" ref="E130:H130" si="30">_xlfn.RANK.EQ(E129, $D$129:$H$129, 5)</f>
        <v>2</v>
      </c>
      <c r="F130" s="21">
        <f t="shared" si="30"/>
        <v>3</v>
      </c>
      <c r="G130" s="21">
        <f t="shared" si="30"/>
        <v>4</v>
      </c>
      <c r="H130" s="21">
        <f t="shared" si="30"/>
        <v>5</v>
      </c>
    </row>
    <row r="131" spans="2:8" s="21" customFormat="1" x14ac:dyDescent="0.25">
      <c r="B131" s="27"/>
    </row>
    <row r="132" spans="2:8" s="21" customFormat="1" x14ac:dyDescent="0.25">
      <c r="B132" s="27"/>
      <c r="C132" s="21" t="s">
        <v>115</v>
      </c>
    </row>
    <row r="133" spans="2:8" s="21" customFormat="1" x14ac:dyDescent="0.25">
      <c r="B133" s="27"/>
      <c r="D133" s="21" t="s">
        <v>116</v>
      </c>
      <c r="E133" s="98">
        <f>INDEX($D$118:$H$118, 1, MATCH(2, $D$130:$H$130, 0))*Prices!$L$10*-1</f>
        <v>0</v>
      </c>
    </row>
    <row r="134" spans="2:8" s="21" customFormat="1" x14ac:dyDescent="0.25">
      <c r="B134" s="27"/>
      <c r="D134" s="21" t="s">
        <v>117</v>
      </c>
      <c r="E134" s="23">
        <f>INDEX($D$118:$H$118, 1, MATCH(3, $D$130:$H$130, 0))*Prices!$L$11*-1</f>
        <v>0</v>
      </c>
    </row>
    <row r="135" spans="2:8" s="21" customFormat="1" x14ac:dyDescent="0.25">
      <c r="B135" s="27"/>
      <c r="D135" s="21" t="s">
        <v>118</v>
      </c>
      <c r="E135" s="23">
        <f>INDEX($D$118:$H$118, 1, MATCH(4, $D$130:$H$130, 0))*Prices!$L$11*-1</f>
        <v>0</v>
      </c>
    </row>
    <row r="136" spans="2:8" s="21" customFormat="1" x14ac:dyDescent="0.25">
      <c r="B136" s="27"/>
      <c r="D136" s="21" t="s">
        <v>119</v>
      </c>
      <c r="E136" s="23">
        <f>INDEX($D$118:$H$118, 1, MATCH(5, $D$130:$H$130, 0))*Prices!$L$11*-1</f>
        <v>0</v>
      </c>
    </row>
    <row r="140" spans="2:8" x14ac:dyDescent="0.25">
      <c r="F14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0"/>
  <sheetViews>
    <sheetView topLeftCell="A4" workbookViewId="0">
      <selection activeCell="C29" sqref="C29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17</v>
      </c>
    </row>
    <row r="3" spans="2:12" x14ac:dyDescent="0.25">
      <c r="B3" t="s">
        <v>111</v>
      </c>
      <c r="C3" s="1">
        <v>5000</v>
      </c>
      <c r="D3" s="1">
        <v>20000</v>
      </c>
      <c r="E3" s="1"/>
      <c r="F3" s="1"/>
      <c r="G3" s="1"/>
      <c r="H3" s="1"/>
      <c r="K3" s="6" t="s">
        <v>23</v>
      </c>
    </row>
    <row r="4" spans="2:12" x14ac:dyDescent="0.25">
      <c r="B4" t="s">
        <v>18</v>
      </c>
      <c r="C4" s="1">
        <v>5000</v>
      </c>
      <c r="D4" s="1">
        <v>0</v>
      </c>
      <c r="E4" s="1" t="s">
        <v>127</v>
      </c>
      <c r="F4" s="76">
        <v>0.6</v>
      </c>
      <c r="G4" s="76">
        <v>0.24</v>
      </c>
      <c r="H4" s="76">
        <v>0.2</v>
      </c>
      <c r="K4" t="s">
        <v>24</v>
      </c>
      <c r="L4" s="3">
        <v>0</v>
      </c>
    </row>
    <row r="5" spans="2:12" x14ac:dyDescent="0.25">
      <c r="E5" s="48" t="s">
        <v>83</v>
      </c>
      <c r="F5" s="48" t="s">
        <v>84</v>
      </c>
      <c r="G5" s="48" t="s">
        <v>85</v>
      </c>
      <c r="H5" s="48" t="s">
        <v>89</v>
      </c>
      <c r="K5" t="s">
        <v>25</v>
      </c>
      <c r="L5" s="3">
        <v>0.3</v>
      </c>
    </row>
    <row r="6" spans="2:12" x14ac:dyDescent="0.25">
      <c r="B6" s="15" t="s">
        <v>19</v>
      </c>
      <c r="C6" s="42">
        <f>$L$28*15000</f>
        <v>15000</v>
      </c>
      <c r="D6" s="42">
        <f>IF(Inputs!$C$3="Monthly",33000,30000)</f>
        <v>30000</v>
      </c>
      <c r="E6" s="38">
        <f>ROUND(IF(Inputs!$C$3="Monthly",0.4,0.27), 2)</f>
        <v>0.27</v>
      </c>
      <c r="F6" s="38">
        <f>ROUND($E6*F$4, 2)</f>
        <v>0.16</v>
      </c>
      <c r="G6" s="38">
        <f>ROUND($E6*G$4, 2)</f>
        <v>0.06</v>
      </c>
      <c r="H6" s="38">
        <f>MAX(ROUND($E6*H$4, 2) + IF(ROUND($E6*H$4, 2) = G6, -0.01, 0), 0.01)</f>
        <v>0.05</v>
      </c>
      <c r="K6" t="s">
        <v>26</v>
      </c>
      <c r="L6" s="3">
        <v>0.45</v>
      </c>
    </row>
    <row r="8" spans="2:12" x14ac:dyDescent="0.25">
      <c r="C8" s="43"/>
      <c r="D8" s="39"/>
      <c r="K8" s="6" t="s">
        <v>121</v>
      </c>
    </row>
    <row r="9" spans="2:12" x14ac:dyDescent="0.25">
      <c r="C9" s="46" t="s">
        <v>27</v>
      </c>
      <c r="E9" s="47"/>
      <c r="F9" s="47"/>
      <c r="G9" s="47"/>
      <c r="H9" s="47"/>
      <c r="K9" t="s">
        <v>120</v>
      </c>
      <c r="L9" s="3">
        <v>0</v>
      </c>
    </row>
    <row r="10" spans="2:12" x14ac:dyDescent="0.25">
      <c r="B10" s="17" t="s">
        <v>20</v>
      </c>
      <c r="C10" s="44">
        <f>$L$28*1000</f>
        <v>1000</v>
      </c>
      <c r="E10" s="40">
        <f>ROUND($L$28*0.04, 2)</f>
        <v>0.04</v>
      </c>
      <c r="F10" s="40">
        <f t="shared" ref="F10:H19" si="0">ROUND($E10*F$4, 2)</f>
        <v>0.02</v>
      </c>
      <c r="G10" s="40">
        <f t="shared" si="0"/>
        <v>0.01</v>
      </c>
      <c r="H10" s="40">
        <f>MAX(ROUND($E10*H$4, 2) + IF(ROUND($E10*H$4, 2) = G10, -0.01, 0), 0.01)</f>
        <v>0.01</v>
      </c>
      <c r="K10" t="s">
        <v>116</v>
      </c>
      <c r="L10" s="3">
        <v>0.45</v>
      </c>
    </row>
    <row r="11" spans="2:12" x14ac:dyDescent="0.25">
      <c r="B11" s="17" t="s">
        <v>8</v>
      </c>
      <c r="C11" s="44">
        <f>$L$28*4000</f>
        <v>4000</v>
      </c>
      <c r="E11" s="40">
        <f>ROUND(IF(Inputs!$C$3="Monthly",0.07,0.05), 2)</f>
        <v>0.05</v>
      </c>
      <c r="F11" s="40">
        <f t="shared" si="0"/>
        <v>0.03</v>
      </c>
      <c r="G11" s="40">
        <f t="shared" si="0"/>
        <v>0.01</v>
      </c>
      <c r="H11" s="40">
        <f t="shared" ref="H11:H14" si="1">MAX(ROUND($E11*H$4, 2) + IF(ROUND($E11*H$4, 2) = G11, -0.01, 0), 0.01)</f>
        <v>0.01</v>
      </c>
      <c r="K11" t="s">
        <v>117</v>
      </c>
      <c r="L11" s="3">
        <v>0.5</v>
      </c>
    </row>
    <row r="12" spans="2:12" x14ac:dyDescent="0.25">
      <c r="B12" s="17" t="s">
        <v>21</v>
      </c>
      <c r="C12" s="44">
        <f>$L$28*2000</f>
        <v>2000</v>
      </c>
      <c r="E12" s="40">
        <f>ROUND($L$28*0.04, 2)</f>
        <v>0.04</v>
      </c>
      <c r="F12" s="40">
        <f t="shared" si="0"/>
        <v>0.02</v>
      </c>
      <c r="G12" s="40">
        <f t="shared" si="0"/>
        <v>0.01</v>
      </c>
      <c r="H12" s="40">
        <f t="shared" si="1"/>
        <v>0.01</v>
      </c>
    </row>
    <row r="13" spans="2:12" x14ac:dyDescent="0.25">
      <c r="B13" s="17" t="s">
        <v>9</v>
      </c>
      <c r="C13" s="44">
        <f>$L$28*2000</f>
        <v>2000</v>
      </c>
      <c r="E13" s="40">
        <f>ROUND($L$28*0.04, 2)</f>
        <v>0.04</v>
      </c>
      <c r="F13" s="40">
        <f t="shared" si="0"/>
        <v>0.02</v>
      </c>
      <c r="G13" s="40">
        <f t="shared" si="0"/>
        <v>0.01</v>
      </c>
      <c r="H13" s="40">
        <f t="shared" si="1"/>
        <v>0.01</v>
      </c>
      <c r="K13" s="4"/>
    </row>
    <row r="14" spans="2:12" x14ac:dyDescent="0.25">
      <c r="B14" s="17" t="s">
        <v>10</v>
      </c>
      <c r="C14" s="44">
        <f>$L$28*6000</f>
        <v>6000</v>
      </c>
      <c r="E14" s="40">
        <f>ROUND(IF(Inputs!$C$3="Monthly",0.07,0.05), 2)</f>
        <v>0.05</v>
      </c>
      <c r="F14" s="40">
        <f t="shared" si="0"/>
        <v>0.03</v>
      </c>
      <c r="G14" s="40">
        <f t="shared" si="0"/>
        <v>0.01</v>
      </c>
      <c r="H14" s="40">
        <f t="shared" si="1"/>
        <v>0.01</v>
      </c>
      <c r="K14" s="58" t="s">
        <v>59</v>
      </c>
      <c r="L14" s="57">
        <v>1.2500000000000001E-2</v>
      </c>
    </row>
    <row r="15" spans="2:12" x14ac:dyDescent="0.25">
      <c r="B15" s="17" t="s">
        <v>77</v>
      </c>
      <c r="C15" s="44">
        <f>$L$28*4000</f>
        <v>4000</v>
      </c>
      <c r="E15" s="40">
        <f>ROUND(IF(Inputs!$C$3="Monthly",0.07,0.05), 2)</f>
        <v>0.05</v>
      </c>
      <c r="F15" s="40">
        <f t="shared" si="0"/>
        <v>0.03</v>
      </c>
      <c r="G15" s="40">
        <f t="shared" si="0"/>
        <v>0.01</v>
      </c>
      <c r="H15" s="40">
        <f>MAX(ROUND($E15*H$4, 2) + IF(ROUND($E15*H$4, 2) = G15, -0.01, 0), 0.01)</f>
        <v>0.01</v>
      </c>
      <c r="K15" s="4" t="s">
        <v>60</v>
      </c>
      <c r="L15" s="54">
        <v>43466</v>
      </c>
    </row>
    <row r="16" spans="2:12" x14ac:dyDescent="0.25">
      <c r="B16" s="17" t="s">
        <v>154</v>
      </c>
      <c r="C16" s="44">
        <f>$L$28*3500</f>
        <v>3500</v>
      </c>
      <c r="E16" s="108">
        <f>ROUND(IF(Inputs!$C$3="Monthly",0.07,0.05), 2)</f>
        <v>0.05</v>
      </c>
      <c r="F16" s="108">
        <f t="shared" si="0"/>
        <v>0.03</v>
      </c>
      <c r="G16" s="108">
        <f t="shared" si="0"/>
        <v>0.01</v>
      </c>
      <c r="H16" s="108">
        <f>MAX(ROUND($E16*H$4, 2) + IF(ROUND($E16*H$4, 2) = G16, -0.01, 0), 0.01)</f>
        <v>0.01</v>
      </c>
      <c r="K16" s="4"/>
      <c r="L16" s="54"/>
    </row>
    <row r="17" spans="2:12" x14ac:dyDescent="0.25">
      <c r="B17" s="19" t="s">
        <v>11</v>
      </c>
      <c r="C17" s="45">
        <f>$L$28*10000</f>
        <v>10000</v>
      </c>
      <c r="E17" s="41">
        <f>ROUND(IF(Inputs!$C$3="Monthly",0.25,0.18), 2)</f>
        <v>0.18</v>
      </c>
      <c r="F17" s="41">
        <f t="shared" si="0"/>
        <v>0.11</v>
      </c>
      <c r="G17" s="41">
        <f t="shared" si="0"/>
        <v>0.04</v>
      </c>
      <c r="H17" s="41">
        <f t="shared" ref="H17:H29" si="2">MAX(ROUND($E17*H$4, 2) + IF(ROUND($E17*H$4, 2) = G17, -0.01, 0), 0.01)</f>
        <v>0.03</v>
      </c>
      <c r="K17" s="4"/>
      <c r="L17" s="3"/>
    </row>
    <row r="18" spans="2:12" x14ac:dyDescent="0.25">
      <c r="B18" s="19" t="s">
        <v>149</v>
      </c>
      <c r="C18" s="45">
        <f>$L$28*10000</f>
        <v>10000</v>
      </c>
      <c r="E18" s="41">
        <f>ROUND(IF(Inputs!$C$3="Monthly",0.25,0.18), 2)</f>
        <v>0.18</v>
      </c>
      <c r="F18" s="41">
        <f t="shared" si="0"/>
        <v>0.11</v>
      </c>
      <c r="G18" s="41">
        <f t="shared" si="0"/>
        <v>0.04</v>
      </c>
      <c r="H18" s="109">
        <f t="shared" si="2"/>
        <v>0.03</v>
      </c>
    </row>
    <row r="19" spans="2:12" x14ac:dyDescent="0.25">
      <c r="B19" s="19" t="s">
        <v>155</v>
      </c>
      <c r="C19" s="45">
        <f>$L$28*1500</f>
        <v>1500</v>
      </c>
      <c r="E19" s="41">
        <f>ROUND($L$28*0, 2)</f>
        <v>0</v>
      </c>
      <c r="F19" s="41">
        <f t="shared" si="0"/>
        <v>0</v>
      </c>
      <c r="G19" s="41">
        <f t="shared" si="0"/>
        <v>0</v>
      </c>
      <c r="H19" s="109">
        <f t="shared" si="0"/>
        <v>0</v>
      </c>
      <c r="K19" s="6" t="s">
        <v>81</v>
      </c>
      <c r="L19" s="1">
        <v>3525</v>
      </c>
    </row>
    <row r="20" spans="2:12" x14ac:dyDescent="0.25">
      <c r="C20" s="43"/>
      <c r="E20" s="39"/>
      <c r="F20" s="39"/>
      <c r="G20" s="39"/>
      <c r="H20" s="39"/>
    </row>
    <row r="21" spans="2:12" x14ac:dyDescent="0.25">
      <c r="B21" s="17" t="s">
        <v>13</v>
      </c>
      <c r="C21" s="44">
        <f>$L$28*8500</f>
        <v>8500</v>
      </c>
      <c r="E21" s="40">
        <f>ROUND($L$28*0, 2)</f>
        <v>0</v>
      </c>
      <c r="F21" s="40">
        <f t="shared" ref="F21:G29" si="3">ROUND($E21*F$4, 2)</f>
        <v>0</v>
      </c>
      <c r="G21" s="40">
        <f t="shared" si="3"/>
        <v>0</v>
      </c>
      <c r="H21" s="108">
        <f>ROUND($E21*H$4, 2)</f>
        <v>0</v>
      </c>
      <c r="K21" s="6" t="s">
        <v>103</v>
      </c>
      <c r="L21" s="3">
        <v>0.3</v>
      </c>
    </row>
    <row r="22" spans="2:12" x14ac:dyDescent="0.25">
      <c r="B22" s="17" t="s">
        <v>14</v>
      </c>
      <c r="C22" s="44">
        <f>$L$28*33000</f>
        <v>33000</v>
      </c>
      <c r="E22" s="40">
        <f>ROUND(IF(Inputs!$C$3="Monthly",0.4,0.28), 2)</f>
        <v>0.28000000000000003</v>
      </c>
      <c r="F22" s="40">
        <f t="shared" si="3"/>
        <v>0.17</v>
      </c>
      <c r="G22" s="40">
        <f t="shared" si="3"/>
        <v>7.0000000000000007E-2</v>
      </c>
      <c r="H22" s="40">
        <f t="shared" si="2"/>
        <v>0.06</v>
      </c>
    </row>
    <row r="23" spans="2:12" x14ac:dyDescent="0.25">
      <c r="B23" s="19" t="s">
        <v>15</v>
      </c>
      <c r="C23" s="45">
        <f>$L$28*35000</f>
        <v>35000</v>
      </c>
      <c r="E23" s="41">
        <f>ROUND(IF(Inputs!$C$3="Monthly",0.42,0.29), 2)</f>
        <v>0.28999999999999998</v>
      </c>
      <c r="F23" s="41">
        <f t="shared" si="3"/>
        <v>0.17</v>
      </c>
      <c r="G23" s="41">
        <f t="shared" si="3"/>
        <v>7.0000000000000007E-2</v>
      </c>
      <c r="H23" s="41">
        <f t="shared" si="2"/>
        <v>0.06</v>
      </c>
    </row>
    <row r="24" spans="2:12" x14ac:dyDescent="0.25">
      <c r="B24" s="19" t="s">
        <v>129</v>
      </c>
      <c r="C24" s="45">
        <f>$L$28*35000</f>
        <v>35000</v>
      </c>
      <c r="E24" s="41">
        <f>ROUND(IF(Inputs!$C$3="Monthly",0.42,0.29), 2)</f>
        <v>0.28999999999999998</v>
      </c>
      <c r="F24" s="41">
        <f t="shared" si="3"/>
        <v>0.17</v>
      </c>
      <c r="G24" s="41">
        <f t="shared" si="3"/>
        <v>7.0000000000000007E-2</v>
      </c>
      <c r="H24" s="41">
        <f t="shared" si="2"/>
        <v>0.06</v>
      </c>
    </row>
    <row r="25" spans="2:12" x14ac:dyDescent="0.25">
      <c r="B25" s="19" t="s">
        <v>16</v>
      </c>
      <c r="C25" s="45">
        <f>$L$28*28000</f>
        <v>28000</v>
      </c>
      <c r="E25" s="41">
        <f>ROUND(IF(Inputs!$C$3="Monthly",0.25,0.18), 2)</f>
        <v>0.18</v>
      </c>
      <c r="F25" s="41">
        <f t="shared" si="3"/>
        <v>0.11</v>
      </c>
      <c r="G25" s="41">
        <f t="shared" si="3"/>
        <v>0.04</v>
      </c>
      <c r="H25" s="41">
        <f t="shared" si="2"/>
        <v>0.03</v>
      </c>
      <c r="K25" s="6" t="s">
        <v>125</v>
      </c>
      <c r="L25" s="96">
        <f>18000/15000</f>
        <v>1.2</v>
      </c>
    </row>
    <row r="26" spans="2:12" x14ac:dyDescent="0.25">
      <c r="B26" s="19" t="s">
        <v>99</v>
      </c>
      <c r="C26" s="45">
        <f>$L$28*33600</f>
        <v>33600</v>
      </c>
      <c r="E26" s="41">
        <f>ROUND($L$28*0.25, 2)</f>
        <v>0.25</v>
      </c>
      <c r="F26" s="41">
        <f t="shared" si="3"/>
        <v>0.15</v>
      </c>
      <c r="G26" s="41">
        <f t="shared" si="3"/>
        <v>0.06</v>
      </c>
      <c r="H26" s="41">
        <f t="shared" si="2"/>
        <v>0.05</v>
      </c>
    </row>
    <row r="27" spans="2:12" x14ac:dyDescent="0.25">
      <c r="B27" s="19" t="s">
        <v>150</v>
      </c>
      <c r="C27" s="45">
        <f>$L$28*28000</f>
        <v>28000</v>
      </c>
      <c r="E27" s="41">
        <f>ROUND(IF(Inputs!$C$3="Monthly",0.25,0.18), 2)</f>
        <v>0.18</v>
      </c>
      <c r="F27" s="41">
        <f t="shared" si="3"/>
        <v>0.11</v>
      </c>
      <c r="G27" s="41">
        <f t="shared" si="3"/>
        <v>0.04</v>
      </c>
      <c r="H27" s="41">
        <f t="shared" si="2"/>
        <v>0.03</v>
      </c>
    </row>
    <row r="28" spans="2:12" x14ac:dyDescent="0.25">
      <c r="B28" s="19" t="s">
        <v>98</v>
      </c>
      <c r="C28" s="45">
        <f>$L$28*20000</f>
        <v>20000</v>
      </c>
      <c r="E28" s="41">
        <f>ROUND($L$28*0.14, 2)</f>
        <v>0.14000000000000001</v>
      </c>
      <c r="F28" s="41">
        <f t="shared" si="3"/>
        <v>0.08</v>
      </c>
      <c r="G28" s="41">
        <f t="shared" si="3"/>
        <v>0.03</v>
      </c>
      <c r="H28" s="41">
        <f t="shared" si="2"/>
        <v>1.9999999999999997E-2</v>
      </c>
      <c r="K28" s="6" t="s">
        <v>126</v>
      </c>
      <c r="L28" s="97">
        <f>IF(Inputs!$C$3="Monthly",Prices!$L$25,1)</f>
        <v>1</v>
      </c>
    </row>
    <row r="29" spans="2:12" x14ac:dyDescent="0.25">
      <c r="B29" s="81" t="s">
        <v>96</v>
      </c>
      <c r="C29" s="82">
        <f>$L$28*IF(Inputs!$C$4 = "Yes", 6750, 9600)</f>
        <v>9600</v>
      </c>
      <c r="E29" s="83">
        <f>ROUND(IF(Inputs!$C$3="Monthly",0.6,0.42), 2)</f>
        <v>0.42</v>
      </c>
      <c r="F29" s="83">
        <f t="shared" si="3"/>
        <v>0.25</v>
      </c>
      <c r="G29" s="83">
        <f t="shared" si="3"/>
        <v>0.1</v>
      </c>
      <c r="H29" s="83">
        <f t="shared" si="2"/>
        <v>0.08</v>
      </c>
    </row>
    <row r="30" spans="2:12" x14ac:dyDescent="0.25">
      <c r="K30" t="s">
        <v>133</v>
      </c>
      <c r="L30" s="102">
        <f>IF(Inputs!$C$3="Quarterly",$L$25,1)</f>
        <v>1.2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C2" sqref="C2:C8"/>
    </sheetView>
  </sheetViews>
  <sheetFormatPr defaultRowHeight="15" x14ac:dyDescent="0.25"/>
  <cols>
    <col min="1" max="2" width="12.5703125" bestFit="1" customWidth="1"/>
    <col min="3" max="3" width="6" bestFit="1" customWidth="1"/>
    <col min="5" max="5" width="14.28515625" bestFit="1" customWidth="1"/>
    <col min="6" max="6" width="9.5703125" bestFit="1" customWidth="1"/>
    <col min="8" max="12" width="12.28515625" bestFit="1" customWidth="1"/>
  </cols>
  <sheetData>
    <row r="1" spans="1:18" x14ac:dyDescent="0.25">
      <c r="A1" s="6" t="s">
        <v>134</v>
      </c>
      <c r="B1" s="6" t="s">
        <v>135</v>
      </c>
      <c r="C1" s="6" t="s">
        <v>136</v>
      </c>
      <c r="E1" s="6" t="s">
        <v>59</v>
      </c>
      <c r="F1" s="3">
        <v>0.05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</row>
    <row r="2" spans="1:18" x14ac:dyDescent="0.25">
      <c r="A2" s="5">
        <v>0</v>
      </c>
      <c r="B2" s="5">
        <v>49999</v>
      </c>
      <c r="C2" s="2">
        <v>0.2</v>
      </c>
      <c r="E2" t="s">
        <v>137</v>
      </c>
      <c r="F2" s="54">
        <v>43831</v>
      </c>
      <c r="H2" s="5">
        <f>IF(Inputs!D$11 &gt; $B2, $A3-$A2, MAX(0, Inputs!D$11-$A2))</f>
        <v>50000</v>
      </c>
      <c r="I2" s="5">
        <f>IF(Inputs!E$11 &gt; $B2, $A3-$A2, MAX(0, Inputs!E$11-$A2))</f>
        <v>0</v>
      </c>
      <c r="J2" s="5">
        <f>IF(Inputs!F$11 &gt; $B2, $A3-$A2, MAX(0, Inputs!F$11-$A2))</f>
        <v>0</v>
      </c>
      <c r="K2" s="5">
        <f>IF(Inputs!G$11 &gt; $B2, $A3-$A2, MAX(0, Inputs!G$11-$A2))</f>
        <v>0</v>
      </c>
      <c r="L2" s="5">
        <f>IF(Inputs!H$11 &gt; $B2, $A3-$A2, MAX(0, Inputs!H$11-$A2))</f>
        <v>0</v>
      </c>
    </row>
    <row r="3" spans="1:18" x14ac:dyDescent="0.25">
      <c r="A3" s="5">
        <v>50000</v>
      </c>
      <c r="B3" s="5">
        <v>99999</v>
      </c>
      <c r="C3" s="2">
        <v>0.17</v>
      </c>
      <c r="H3" s="5">
        <f>IF(Inputs!D$11 &gt; $B3, $A4-$A3, MAX(0, Inputs!D$11-$A3))</f>
        <v>0</v>
      </c>
      <c r="I3" s="5">
        <f>IF(Inputs!E$11 &gt; $B3, $A4-$A3, MAX(0, Inputs!E$11-$A3))</f>
        <v>0</v>
      </c>
      <c r="J3" s="5">
        <f>IF(Inputs!F$11 &gt; $B3, $A4-$A3, MAX(0, Inputs!F$11-$A3))</f>
        <v>0</v>
      </c>
      <c r="K3" s="5">
        <f>IF(Inputs!G$11 &gt; $B3, $A4-$A3, MAX(0, Inputs!G$11-$A3))</f>
        <v>0</v>
      </c>
      <c r="L3" s="5">
        <f>IF(Inputs!H$11 &gt; $B3, $A4-$A3, MAX(0, Inputs!H$11-$A3))</f>
        <v>0</v>
      </c>
    </row>
    <row r="4" spans="1:18" x14ac:dyDescent="0.25">
      <c r="A4" s="5">
        <v>100000</v>
      </c>
      <c r="B4" s="5">
        <v>299999</v>
      </c>
      <c r="C4" s="2">
        <v>0.14000000000000001</v>
      </c>
      <c r="E4" t="s">
        <v>141</v>
      </c>
      <c r="F4" s="3">
        <v>0.8</v>
      </c>
      <c r="H4" s="5">
        <f>IF(Inputs!D$11 &gt; $B4, $A5-$A4, MAX(0, Inputs!D$11-$A4))</f>
        <v>0</v>
      </c>
      <c r="I4" s="5">
        <f>IF(Inputs!E$11 &gt; $B4, $A5-$A4, MAX(0, Inputs!E$11-$A4))</f>
        <v>0</v>
      </c>
      <c r="J4" s="5">
        <f>IF(Inputs!F$11 &gt; $B4, $A5-$A4, MAX(0, Inputs!F$11-$A4))</f>
        <v>0</v>
      </c>
      <c r="K4" s="5">
        <f>IF(Inputs!G$11 &gt; $B4, $A5-$A4, MAX(0, Inputs!G$11-$A4))</f>
        <v>0</v>
      </c>
      <c r="L4" s="5">
        <f>IF(Inputs!H$11 &gt; $B4, $A5-$A4, MAX(0, Inputs!H$11-$A4))</f>
        <v>0</v>
      </c>
    </row>
    <row r="5" spans="1:18" x14ac:dyDescent="0.25">
      <c r="A5" s="5">
        <v>300000</v>
      </c>
      <c r="B5" s="5">
        <v>499999</v>
      </c>
      <c r="C5" s="2">
        <v>0.11</v>
      </c>
      <c r="E5" t="s">
        <v>142</v>
      </c>
      <c r="F5" s="3">
        <v>0.1</v>
      </c>
      <c r="H5" s="5">
        <f>IF(Inputs!D$11 &gt; $B5, $A6-$A5, MAX(0, Inputs!D$11-$A5))</f>
        <v>0</v>
      </c>
      <c r="I5" s="5">
        <f>IF(Inputs!E$11 &gt; $B5, $A6-$A5, MAX(0, Inputs!E$11-$A5))</f>
        <v>0</v>
      </c>
      <c r="J5" s="5">
        <f>IF(Inputs!F$11 &gt; $B5, $A6-$A5, MAX(0, Inputs!F$11-$A5))</f>
        <v>0</v>
      </c>
      <c r="K5" s="5">
        <f>IF(Inputs!G$11 &gt; $B5, $A6-$A5, MAX(0, Inputs!G$11-$A5))</f>
        <v>0</v>
      </c>
      <c r="L5" s="5">
        <f>IF(Inputs!H$11 &gt; $B5, $A6-$A5, MAX(0, Inputs!H$11-$A5))</f>
        <v>0</v>
      </c>
    </row>
    <row r="6" spans="1:18" x14ac:dyDescent="0.25">
      <c r="A6" s="5">
        <v>500000</v>
      </c>
      <c r="B6" s="5">
        <v>999999</v>
      </c>
      <c r="C6" s="2">
        <v>7.0000000000000007E-2</v>
      </c>
      <c r="E6" t="s">
        <v>41</v>
      </c>
      <c r="F6" s="3">
        <v>0.1</v>
      </c>
      <c r="H6" s="5">
        <f>IF(Inputs!D$11 &gt; $B6, $A7-$A6, MAX(0, Inputs!D$11-$A6))</f>
        <v>0</v>
      </c>
      <c r="I6" s="5">
        <f>IF(Inputs!E$11 &gt; $B6, $A7-$A6, MAX(0, Inputs!E$11-$A6))</f>
        <v>0</v>
      </c>
      <c r="J6" s="5">
        <f>IF(Inputs!F$11 &gt; $B6, $A7-$A6, MAX(0, Inputs!F$11-$A6))</f>
        <v>0</v>
      </c>
      <c r="K6" s="5">
        <f>IF(Inputs!G$11 &gt; $B6, $A7-$A6, MAX(0, Inputs!G$11-$A6))</f>
        <v>0</v>
      </c>
      <c r="L6" s="5">
        <f>IF(Inputs!H$11 &gt; $B6, $A7-$A6, MAX(0, Inputs!H$11-$A6))</f>
        <v>0</v>
      </c>
    </row>
    <row r="7" spans="1:18" x14ac:dyDescent="0.25">
      <c r="A7" s="5">
        <v>1000000</v>
      </c>
      <c r="B7" s="5">
        <v>1999999</v>
      </c>
      <c r="C7" s="2">
        <v>0.06</v>
      </c>
      <c r="H7" s="5">
        <f>IF(Inputs!D$11 &gt; $B7, $A8-$A7, MAX(0, Inputs!D$11-$A7))</f>
        <v>0</v>
      </c>
      <c r="I7" s="5">
        <f>IF(Inputs!E$11 &gt; $B7, $A8-$A7, MAX(0, Inputs!E$11-$A7))</f>
        <v>0</v>
      </c>
      <c r="J7" s="5">
        <f>IF(Inputs!F$11 &gt; $B7, $A8-$A7, MAX(0, Inputs!F$11-$A7))</f>
        <v>0</v>
      </c>
      <c r="K7" s="5">
        <f>IF(Inputs!G$11 &gt; $B7, $A8-$A7, MAX(0, Inputs!G$11-$A7))</f>
        <v>0</v>
      </c>
      <c r="L7" s="5">
        <f>IF(Inputs!H$11 &gt; $B7, $A8-$A7, MAX(0, Inputs!H$11-$A7))</f>
        <v>0</v>
      </c>
    </row>
    <row r="8" spans="1:18" x14ac:dyDescent="0.25">
      <c r="A8" s="5">
        <v>2000000</v>
      </c>
      <c r="B8" s="5">
        <v>5000000</v>
      </c>
      <c r="C8" s="2">
        <v>0.04</v>
      </c>
      <c r="H8" s="5">
        <f>IF(Inputs!D$11 &gt; $B8, $A9-$A8, MAX(0, Inputs!D$11-$A8))</f>
        <v>0</v>
      </c>
      <c r="I8" s="5">
        <f>IF(Inputs!E$11 &gt; $B8, $A9-$A8, MAX(0, Inputs!E$11-$A8))</f>
        <v>0</v>
      </c>
      <c r="J8" s="5">
        <f>IF(Inputs!F$11 &gt; $B8, $A9-$A8, MAX(0, Inputs!F$11-$A8))</f>
        <v>0</v>
      </c>
      <c r="K8" s="5">
        <f>IF(Inputs!G$11 &gt; $B8, $A9-$A8, MAX(0, Inputs!G$11-$A8))</f>
        <v>0</v>
      </c>
      <c r="L8" s="5">
        <f>IF(Inputs!H$11 &gt; $B8, $A9-$A8, MAX(0, Inputs!H$11-$A8))</f>
        <v>0</v>
      </c>
    </row>
    <row r="10" spans="1:18" x14ac:dyDescent="0.25">
      <c r="H10" s="106">
        <f t="shared" ref="H10:H16" si="0">H2*$C2</f>
        <v>10000</v>
      </c>
      <c r="I10" s="106">
        <f t="shared" ref="I10:L10" si="1">I2*$C2</f>
        <v>0</v>
      </c>
      <c r="J10" s="106">
        <f t="shared" si="1"/>
        <v>0</v>
      </c>
      <c r="K10" s="106">
        <f t="shared" si="1"/>
        <v>0</v>
      </c>
      <c r="L10" s="106">
        <f t="shared" si="1"/>
        <v>0</v>
      </c>
    </row>
    <row r="11" spans="1:18" x14ac:dyDescent="0.25">
      <c r="H11" s="106">
        <f t="shared" si="0"/>
        <v>0</v>
      </c>
      <c r="I11" s="106">
        <f t="shared" ref="I11:L11" si="2">I3*$C3</f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N11" s="2"/>
      <c r="O11" s="2"/>
      <c r="P11" s="2"/>
      <c r="Q11" s="2"/>
      <c r="R11" s="2"/>
    </row>
    <row r="12" spans="1:18" x14ac:dyDescent="0.25">
      <c r="H12" s="106">
        <f t="shared" si="0"/>
        <v>0</v>
      </c>
      <c r="I12" s="106">
        <f t="shared" ref="I12:L12" si="3">I4*$C4</f>
        <v>0</v>
      </c>
      <c r="J12" s="106">
        <f t="shared" si="3"/>
        <v>0</v>
      </c>
      <c r="K12" s="106">
        <f t="shared" si="3"/>
        <v>0</v>
      </c>
      <c r="L12" s="106">
        <f t="shared" si="3"/>
        <v>0</v>
      </c>
    </row>
    <row r="13" spans="1:18" x14ac:dyDescent="0.25">
      <c r="H13" s="106">
        <f t="shared" si="0"/>
        <v>0</v>
      </c>
      <c r="I13" s="106">
        <f t="shared" ref="I13:L13" si="4">I5*$C5</f>
        <v>0</v>
      </c>
      <c r="J13" s="106">
        <f t="shared" si="4"/>
        <v>0</v>
      </c>
      <c r="K13" s="106">
        <f t="shared" si="4"/>
        <v>0</v>
      </c>
      <c r="L13" s="106">
        <f t="shared" si="4"/>
        <v>0</v>
      </c>
    </row>
    <row r="14" spans="1:18" x14ac:dyDescent="0.25">
      <c r="H14" s="106">
        <f t="shared" si="0"/>
        <v>0</v>
      </c>
      <c r="I14" s="106">
        <f t="shared" ref="I14:L14" si="5">I6*$C6</f>
        <v>0</v>
      </c>
      <c r="J14" s="106">
        <f t="shared" si="5"/>
        <v>0</v>
      </c>
      <c r="K14" s="106">
        <f t="shared" si="5"/>
        <v>0</v>
      </c>
      <c r="L14" s="106">
        <f t="shared" si="5"/>
        <v>0</v>
      </c>
    </row>
    <row r="15" spans="1:18" x14ac:dyDescent="0.25">
      <c r="E15" s="2"/>
      <c r="F15" s="103"/>
      <c r="H15" s="106">
        <f t="shared" si="0"/>
        <v>0</v>
      </c>
      <c r="I15" s="106">
        <f t="shared" ref="I15:L15" si="6">I7*$C7</f>
        <v>0</v>
      </c>
      <c r="J15" s="106">
        <f t="shared" si="6"/>
        <v>0</v>
      </c>
      <c r="K15" s="106">
        <f t="shared" si="6"/>
        <v>0</v>
      </c>
      <c r="L15" s="106">
        <f t="shared" si="6"/>
        <v>0</v>
      </c>
    </row>
    <row r="16" spans="1:18" x14ac:dyDescent="0.25">
      <c r="E16" s="2"/>
      <c r="F16" s="103"/>
      <c r="H16" s="106">
        <f t="shared" si="0"/>
        <v>0</v>
      </c>
      <c r="I16" s="106">
        <f t="shared" ref="I16:L16" si="7">I8*$C8</f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</row>
    <row r="17" spans="5:12" x14ac:dyDescent="0.25">
      <c r="E17" s="2"/>
      <c r="F17" s="103"/>
    </row>
    <row r="18" spans="5:12" x14ac:dyDescent="0.25">
      <c r="E18" s="2"/>
      <c r="F18" s="103"/>
    </row>
    <row r="19" spans="5:12" x14ac:dyDescent="0.25">
      <c r="E19" s="2"/>
      <c r="F19" s="103"/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</row>
    <row r="20" spans="5:12" x14ac:dyDescent="0.25">
      <c r="E20" s="2"/>
      <c r="F20" s="103"/>
      <c r="G20" t="s">
        <v>63</v>
      </c>
      <c r="H20" s="106">
        <f>IF(Inputs!D$10 = "Y", SUM(H10:H16), 0)</f>
        <v>0</v>
      </c>
      <c r="I20" s="106">
        <f>IF(Inputs!E$10 = "Y", SUM(I10:I16), 0)</f>
        <v>0</v>
      </c>
      <c r="J20" s="106">
        <f>IF(Inputs!F$10 = "Y", SUM(J10:J16), 0)</f>
        <v>0</v>
      </c>
      <c r="K20" s="106">
        <f>IF(Inputs!G$10 = "Y", SUM(K10:K16), 0)</f>
        <v>0</v>
      </c>
      <c r="L20" s="106">
        <f>IF(Inputs!H$10 = "Y", SUM(L10:L16), 0)</f>
        <v>0</v>
      </c>
    </row>
    <row r="21" spans="5:12" x14ac:dyDescent="0.25">
      <c r="E21" s="2"/>
      <c r="F21" s="103"/>
      <c r="G21" t="s">
        <v>123</v>
      </c>
      <c r="H21" s="106">
        <f>H20/12</f>
        <v>0</v>
      </c>
      <c r="I21" s="106">
        <f>I20/12</f>
        <v>0</v>
      </c>
      <c r="J21" s="106">
        <f>J20/12</f>
        <v>0</v>
      </c>
      <c r="K21" s="106">
        <f>K20/12</f>
        <v>0</v>
      </c>
      <c r="L21" s="106">
        <f>L20/12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</vt:lpstr>
      <vt:lpstr>Outputs_External</vt:lpstr>
      <vt:lpstr>Outputs_Internal</vt:lpstr>
      <vt:lpstr>Outputs_Timeline</vt:lpstr>
      <vt:lpstr>Calcs</vt:lpstr>
      <vt:lpstr>Prices</vt:lpstr>
      <vt:lpstr>MARA 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2019-07-11T15:33:23Z</dcterms:modified>
</cp:coreProperties>
</file>