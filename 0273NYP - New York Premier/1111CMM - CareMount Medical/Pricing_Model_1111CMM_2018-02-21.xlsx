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1111CMM - CareMount Medical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7" l="1"/>
  <c r="G26" i="7"/>
  <c r="I26" i="7" s="1"/>
  <c r="F26" i="7" l="1"/>
  <c r="W94" i="8" l="1"/>
  <c r="V94" i="8"/>
  <c r="W93" i="8"/>
  <c r="V93" i="8"/>
  <c r="W91" i="8"/>
  <c r="V91" i="8"/>
  <c r="W90" i="8"/>
  <c r="V90" i="8"/>
  <c r="W88" i="8"/>
  <c r="V88" i="8"/>
  <c r="W87" i="8"/>
  <c r="V87" i="8"/>
  <c r="W85" i="8"/>
  <c r="V85" i="8"/>
  <c r="W84" i="8"/>
  <c r="V84" i="8"/>
  <c r="W82" i="8"/>
  <c r="V82" i="8"/>
  <c r="W81" i="8"/>
  <c r="V81" i="8"/>
  <c r="W79" i="8"/>
  <c r="V79" i="8"/>
  <c r="W78" i="8"/>
  <c r="V78" i="8"/>
  <c r="W76" i="8"/>
  <c r="V76" i="8"/>
  <c r="W75" i="8"/>
  <c r="V75" i="8"/>
  <c r="W73" i="8"/>
  <c r="V73" i="8"/>
  <c r="W72" i="8"/>
  <c r="V72" i="8"/>
  <c r="W70" i="8"/>
  <c r="V70" i="8"/>
  <c r="W69" i="8"/>
  <c r="V69" i="8"/>
  <c r="W67" i="8"/>
  <c r="V67" i="8"/>
  <c r="W66" i="8"/>
  <c r="V66" i="8"/>
  <c r="W64" i="8"/>
  <c r="V64" i="8"/>
  <c r="W63" i="8"/>
  <c r="V63" i="8"/>
  <c r="W61" i="8"/>
  <c r="V61" i="8"/>
  <c r="W60" i="8"/>
  <c r="V60" i="8"/>
  <c r="W58" i="8"/>
  <c r="V58" i="8"/>
  <c r="W57" i="8"/>
  <c r="V57" i="8"/>
  <c r="W55" i="8"/>
  <c r="V55" i="8"/>
  <c r="W54" i="8"/>
  <c r="V54" i="8"/>
  <c r="W52" i="8"/>
  <c r="V52" i="8"/>
  <c r="W51" i="8"/>
  <c r="V51" i="8"/>
  <c r="W49" i="8"/>
  <c r="V49" i="8"/>
  <c r="W48" i="8"/>
  <c r="V48" i="8"/>
  <c r="W46" i="8"/>
  <c r="V46" i="8"/>
  <c r="W45" i="8"/>
  <c r="V45" i="8"/>
  <c r="W43" i="8"/>
  <c r="V43" i="8"/>
  <c r="W42" i="8"/>
  <c r="V42" i="8"/>
  <c r="W40" i="8"/>
  <c r="V40" i="8"/>
  <c r="W39" i="8"/>
  <c r="V39" i="8"/>
  <c r="W37" i="8"/>
  <c r="V37" i="8"/>
  <c r="W36" i="8"/>
  <c r="V36" i="8"/>
  <c r="W34" i="8"/>
  <c r="V34" i="8"/>
  <c r="W33" i="8"/>
  <c r="V33" i="8"/>
  <c r="W31" i="8"/>
  <c r="V31" i="8"/>
  <c r="W30" i="8"/>
  <c r="V30" i="8"/>
  <c r="W28" i="8"/>
  <c r="V28" i="8"/>
  <c r="W27" i="8"/>
  <c r="V27" i="8"/>
  <c r="W25" i="8"/>
  <c r="V25" i="8"/>
  <c r="W24" i="8"/>
  <c r="V24" i="8"/>
  <c r="W22" i="8"/>
  <c r="V22" i="8"/>
  <c r="W21" i="8"/>
  <c r="V21" i="8"/>
  <c r="W19" i="8"/>
  <c r="V19" i="8"/>
  <c r="W18" i="8"/>
  <c r="V18" i="8"/>
  <c r="W16" i="8"/>
  <c r="V16" i="8"/>
  <c r="W15" i="8"/>
  <c r="V15" i="8"/>
  <c r="W13" i="8"/>
  <c r="V13" i="8"/>
  <c r="W12" i="8"/>
  <c r="V12" i="8"/>
  <c r="W10" i="8"/>
  <c r="V10" i="8"/>
  <c r="W9" i="8"/>
  <c r="V9" i="8"/>
  <c r="W7" i="8"/>
  <c r="V7" i="8"/>
  <c r="W6" i="8"/>
  <c r="V6" i="8"/>
  <c r="I63" i="7"/>
  <c r="N63" i="7" s="1"/>
  <c r="H63" i="7"/>
  <c r="M63" i="7" s="1"/>
  <c r="G63" i="7"/>
  <c r="L63" i="7" s="1"/>
  <c r="F63" i="7"/>
  <c r="K63" i="7" s="1"/>
  <c r="I60" i="7"/>
  <c r="N60" i="7" s="1"/>
  <c r="H60" i="7"/>
  <c r="M60" i="7" s="1"/>
  <c r="G60" i="7"/>
  <c r="L60" i="7" s="1"/>
  <c r="F60" i="7"/>
  <c r="K60" i="7" s="1"/>
  <c r="H45" i="7"/>
  <c r="H44" i="7"/>
  <c r="H43" i="7"/>
  <c r="H42" i="7"/>
  <c r="H39" i="7"/>
  <c r="H38" i="7"/>
  <c r="H37" i="7"/>
  <c r="H36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5" i="7"/>
  <c r="H25" i="7"/>
  <c r="I24" i="7"/>
  <c r="N24" i="7" s="1"/>
  <c r="H24" i="7"/>
  <c r="I23" i="7"/>
  <c r="H23" i="7"/>
  <c r="H18" i="7"/>
  <c r="H17" i="7"/>
  <c r="H16" i="7"/>
  <c r="H15" i="7"/>
  <c r="H13" i="7"/>
  <c r="H12" i="7"/>
  <c r="H10" i="7"/>
  <c r="H9" i="7"/>
  <c r="H8" i="7"/>
  <c r="N45" i="7"/>
  <c r="N42" i="7"/>
  <c r="N39" i="7"/>
  <c r="N36" i="7"/>
  <c r="N33" i="7"/>
  <c r="N23" i="7"/>
  <c r="N8" i="7"/>
  <c r="D9" i="1" l="1"/>
  <c r="K3" i="8" l="1"/>
  <c r="J3" i="8"/>
  <c r="I3" i="8"/>
  <c r="H3" i="8"/>
  <c r="H5" i="7"/>
  <c r="H4" i="1" l="1"/>
  <c r="G4" i="1"/>
  <c r="F4" i="1"/>
  <c r="E4" i="1"/>
  <c r="D4" i="1"/>
  <c r="H61" i="1" l="1"/>
  <c r="G61" i="1"/>
  <c r="F61" i="1"/>
  <c r="E61" i="1"/>
  <c r="D61" i="1"/>
  <c r="F4" i="8" l="1"/>
  <c r="F5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S6" i="8"/>
  <c r="T6" i="8"/>
  <c r="U6" i="8"/>
  <c r="S7" i="8"/>
  <c r="T7" i="8"/>
  <c r="U7" i="8"/>
  <c r="S9" i="8"/>
  <c r="T9" i="8"/>
  <c r="U9" i="8"/>
  <c r="S10" i="8"/>
  <c r="T10" i="8"/>
  <c r="U10" i="8"/>
  <c r="S12" i="8"/>
  <c r="T12" i="8"/>
  <c r="U12" i="8"/>
  <c r="S13" i="8"/>
  <c r="T13" i="8"/>
  <c r="U13" i="8"/>
  <c r="S15" i="8"/>
  <c r="T15" i="8"/>
  <c r="U15" i="8"/>
  <c r="S16" i="8"/>
  <c r="T16" i="8"/>
  <c r="U16" i="8"/>
  <c r="S18" i="8"/>
  <c r="T18" i="8"/>
  <c r="U18" i="8"/>
  <c r="S19" i="8"/>
  <c r="T19" i="8"/>
  <c r="U19" i="8"/>
  <c r="S21" i="8"/>
  <c r="T21" i="8"/>
  <c r="U21" i="8"/>
  <c r="S22" i="8"/>
  <c r="T22" i="8"/>
  <c r="U22" i="8"/>
  <c r="S24" i="8"/>
  <c r="T24" i="8"/>
  <c r="U24" i="8"/>
  <c r="S25" i="8"/>
  <c r="T25" i="8"/>
  <c r="U25" i="8"/>
  <c r="S27" i="8"/>
  <c r="T27" i="8"/>
  <c r="U27" i="8"/>
  <c r="S28" i="8"/>
  <c r="T28" i="8"/>
  <c r="U28" i="8"/>
  <c r="S30" i="8"/>
  <c r="T30" i="8"/>
  <c r="U30" i="8"/>
  <c r="S31" i="8"/>
  <c r="T31" i="8"/>
  <c r="U31" i="8"/>
  <c r="S33" i="8"/>
  <c r="T33" i="8"/>
  <c r="U33" i="8"/>
  <c r="S34" i="8"/>
  <c r="T34" i="8"/>
  <c r="U34" i="8"/>
  <c r="S36" i="8"/>
  <c r="T36" i="8"/>
  <c r="U36" i="8"/>
  <c r="S37" i="8"/>
  <c r="T37" i="8"/>
  <c r="U37" i="8"/>
  <c r="S39" i="8"/>
  <c r="T39" i="8"/>
  <c r="U39" i="8"/>
  <c r="S40" i="8"/>
  <c r="T40" i="8"/>
  <c r="U40" i="8"/>
  <c r="S42" i="8"/>
  <c r="T42" i="8"/>
  <c r="U42" i="8"/>
  <c r="S43" i="8"/>
  <c r="T43" i="8"/>
  <c r="U43" i="8"/>
  <c r="S45" i="8"/>
  <c r="T45" i="8"/>
  <c r="U45" i="8"/>
  <c r="S46" i="8"/>
  <c r="T46" i="8"/>
  <c r="U46" i="8"/>
  <c r="S48" i="8"/>
  <c r="T48" i="8"/>
  <c r="U48" i="8"/>
  <c r="S49" i="8"/>
  <c r="T49" i="8"/>
  <c r="U49" i="8"/>
  <c r="S51" i="8"/>
  <c r="T51" i="8"/>
  <c r="U51" i="8"/>
  <c r="S52" i="8"/>
  <c r="T52" i="8"/>
  <c r="U52" i="8"/>
  <c r="S54" i="8"/>
  <c r="T54" i="8"/>
  <c r="U54" i="8"/>
  <c r="S55" i="8"/>
  <c r="T55" i="8"/>
  <c r="U55" i="8"/>
  <c r="S57" i="8"/>
  <c r="T57" i="8"/>
  <c r="U57" i="8"/>
  <c r="S58" i="8"/>
  <c r="T58" i="8"/>
  <c r="U58" i="8"/>
  <c r="S60" i="8"/>
  <c r="T60" i="8"/>
  <c r="U60" i="8"/>
  <c r="S61" i="8"/>
  <c r="T61" i="8"/>
  <c r="U61" i="8"/>
  <c r="S63" i="8"/>
  <c r="T63" i="8"/>
  <c r="U63" i="8"/>
  <c r="S64" i="8"/>
  <c r="T64" i="8"/>
  <c r="U64" i="8"/>
  <c r="S66" i="8"/>
  <c r="T66" i="8"/>
  <c r="U66" i="8"/>
  <c r="S67" i="8"/>
  <c r="T67" i="8"/>
  <c r="U67" i="8"/>
  <c r="S69" i="8"/>
  <c r="T69" i="8"/>
  <c r="U69" i="8"/>
  <c r="S70" i="8"/>
  <c r="T70" i="8"/>
  <c r="U70" i="8"/>
  <c r="S72" i="8"/>
  <c r="T72" i="8"/>
  <c r="U72" i="8"/>
  <c r="S73" i="8"/>
  <c r="T73" i="8"/>
  <c r="U73" i="8"/>
  <c r="S75" i="8"/>
  <c r="T75" i="8"/>
  <c r="U75" i="8"/>
  <c r="S76" i="8"/>
  <c r="T76" i="8"/>
  <c r="U76" i="8"/>
  <c r="S78" i="8"/>
  <c r="T78" i="8"/>
  <c r="U78" i="8"/>
  <c r="S79" i="8"/>
  <c r="T79" i="8"/>
  <c r="U79" i="8"/>
  <c r="S81" i="8"/>
  <c r="T81" i="8"/>
  <c r="U81" i="8"/>
  <c r="S82" i="8"/>
  <c r="T82" i="8"/>
  <c r="U82" i="8"/>
  <c r="S84" i="8"/>
  <c r="T84" i="8"/>
  <c r="U84" i="8"/>
  <c r="S85" i="8"/>
  <c r="T85" i="8"/>
  <c r="U85" i="8"/>
  <c r="S87" i="8"/>
  <c r="T87" i="8"/>
  <c r="U87" i="8"/>
  <c r="S88" i="8"/>
  <c r="T88" i="8"/>
  <c r="U88" i="8"/>
  <c r="S90" i="8"/>
  <c r="T90" i="8"/>
  <c r="U90" i="8"/>
  <c r="S91" i="8"/>
  <c r="T91" i="8"/>
  <c r="U91" i="8"/>
  <c r="S93" i="8"/>
  <c r="T93" i="8"/>
  <c r="U93" i="8"/>
  <c r="S94" i="8"/>
  <c r="T94" i="8"/>
  <c r="U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4" i="7"/>
  <c r="G45" i="7"/>
  <c r="G44" i="7"/>
  <c r="G43" i="7"/>
  <c r="G42" i="7"/>
  <c r="D42" i="7"/>
  <c r="G33" i="7"/>
  <c r="G32" i="7"/>
  <c r="G31" i="7"/>
  <c r="G30" i="7"/>
  <c r="G29" i="7"/>
  <c r="G28" i="7"/>
  <c r="G27" i="7"/>
  <c r="G25" i="7"/>
  <c r="G24" i="7"/>
  <c r="G23" i="7"/>
  <c r="D24" i="7"/>
  <c r="D33" i="7"/>
  <c r="D5" i="8" l="1"/>
  <c r="K4" i="8"/>
  <c r="I4" i="8"/>
  <c r="J4" i="8"/>
  <c r="H4" i="8"/>
  <c r="M24" i="7"/>
  <c r="F45" i="7"/>
  <c r="F44" i="7"/>
  <c r="F43" i="7"/>
  <c r="F42" i="7"/>
  <c r="K42" i="7" s="1"/>
  <c r="M42" i="7"/>
  <c r="M33" i="7"/>
  <c r="F23" i="7"/>
  <c r="F32" i="7"/>
  <c r="F24" i="7"/>
  <c r="K24" i="7" s="1"/>
  <c r="F27" i="7"/>
  <c r="F31" i="7"/>
  <c r="F30" i="7"/>
  <c r="D6" i="8"/>
  <c r="C33" i="5" s="1"/>
  <c r="L42" i="7"/>
  <c r="F28" i="7"/>
  <c r="F25" i="7"/>
  <c r="F29" i="7"/>
  <c r="F33" i="7"/>
  <c r="K33" i="7" s="1"/>
  <c r="L24" i="7"/>
  <c r="L33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35" i="1"/>
  <c r="J5" i="8" l="1"/>
  <c r="I5" i="8"/>
  <c r="H5" i="8"/>
  <c r="K5" i="8"/>
  <c r="E6" i="8"/>
  <c r="D8" i="5"/>
  <c r="D7" i="8"/>
  <c r="D18" i="7"/>
  <c r="D14" i="7"/>
  <c r="N14" i="7" s="1"/>
  <c r="D11" i="7"/>
  <c r="N11" i="7" s="1"/>
  <c r="D15" i="7"/>
  <c r="N15" i="7" s="1"/>
  <c r="D10" i="7"/>
  <c r="N10" i="7" s="1"/>
  <c r="D12" i="7"/>
  <c r="N12" i="7" s="1"/>
  <c r="D16" i="7"/>
  <c r="N16" i="7" s="1"/>
  <c r="D13" i="7"/>
  <c r="N13" i="7" s="1"/>
  <c r="D17" i="7"/>
  <c r="N17" i="7" s="1"/>
  <c r="H62" i="1"/>
  <c r="G62" i="1"/>
  <c r="F62" i="1"/>
  <c r="F74" i="1" s="1"/>
  <c r="E62" i="1"/>
  <c r="D62" i="1"/>
  <c r="D74" i="1" s="1"/>
  <c r="D63" i="1"/>
  <c r="E63" i="1"/>
  <c r="F63" i="1"/>
  <c r="G63" i="1"/>
  <c r="H63" i="1"/>
  <c r="L18" i="7" l="1"/>
  <c r="N18" i="7"/>
  <c r="J7" i="8"/>
  <c r="K7" i="8"/>
  <c r="I7" i="8"/>
  <c r="H7" i="8"/>
  <c r="E7" i="8"/>
  <c r="F6" i="8"/>
  <c r="D8" i="8"/>
  <c r="H75" i="1"/>
  <c r="G74" i="1"/>
  <c r="H74" i="1"/>
  <c r="G75" i="1"/>
  <c r="F75" i="1"/>
  <c r="D75" i="1"/>
  <c r="E74" i="1"/>
  <c r="E75" i="1"/>
  <c r="E20" i="5"/>
  <c r="F20" i="5"/>
  <c r="G20" i="5"/>
  <c r="K8" i="8" l="1"/>
  <c r="J8" i="8"/>
  <c r="I8" i="8"/>
  <c r="H8" i="8"/>
  <c r="E8" i="8"/>
  <c r="F7" i="8"/>
  <c r="F45" i="8"/>
  <c r="D37" i="7"/>
  <c r="N37" i="7" s="1"/>
  <c r="D9" i="8"/>
  <c r="D20" i="5"/>
  <c r="D38" i="7"/>
  <c r="N38" i="7" s="1"/>
  <c r="G73" i="1"/>
  <c r="F73" i="1"/>
  <c r="E73" i="1"/>
  <c r="D73" i="1"/>
  <c r="H4" i="5"/>
  <c r="F4" i="5"/>
  <c r="E4" i="5"/>
  <c r="D5" i="7" s="1"/>
  <c r="N5" i="7" s="1"/>
  <c r="D4" i="5"/>
  <c r="H64" i="1"/>
  <c r="G64" i="1"/>
  <c r="F64" i="1"/>
  <c r="E64" i="1"/>
  <c r="D60" i="7"/>
  <c r="D64" i="1"/>
  <c r="H10" i="1"/>
  <c r="G10" i="1"/>
  <c r="F10" i="1"/>
  <c r="E10" i="1"/>
  <c r="H9" i="1"/>
  <c r="G9" i="1"/>
  <c r="F9" i="1"/>
  <c r="E9" i="1"/>
  <c r="D6" i="1"/>
  <c r="D10" i="1"/>
  <c r="G4" i="5"/>
  <c r="H6" i="1"/>
  <c r="G6" i="1"/>
  <c r="F6" i="1"/>
  <c r="E6" i="1"/>
  <c r="E22" i="1" s="1"/>
  <c r="E9" i="8" l="1"/>
  <c r="F8" i="8"/>
  <c r="D4" i="7"/>
  <c r="H9" i="8" s="1"/>
  <c r="K5" i="7"/>
  <c r="L5" i="7"/>
  <c r="M5" i="7"/>
  <c r="F46" i="8"/>
  <c r="D10" i="8"/>
  <c r="F76" i="1"/>
  <c r="D76" i="1"/>
  <c r="G76" i="1"/>
  <c r="O79" i="1"/>
  <c r="H20" i="5"/>
  <c r="H76" i="1"/>
  <c r="L67" i="1"/>
  <c r="K79" i="1"/>
  <c r="L79" i="1"/>
  <c r="M79" i="1"/>
  <c r="N79" i="1"/>
  <c r="O67" i="1"/>
  <c r="N67" i="1"/>
  <c r="M67" i="1"/>
  <c r="K67" i="1"/>
  <c r="D8" i="7"/>
  <c r="D9" i="7"/>
  <c r="N9" i="7" s="1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48" i="1"/>
  <c r="D7" i="5" s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K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D9" i="5" l="1"/>
  <c r="D88" i="1"/>
  <c r="H6" i="8"/>
  <c r="N4" i="7"/>
  <c r="K10" i="8"/>
  <c r="I10" i="8"/>
  <c r="H10" i="8"/>
  <c r="J10" i="8"/>
  <c r="E10" i="8"/>
  <c r="F9" i="8"/>
  <c r="K4" i="7"/>
  <c r="I6" i="8" s="1"/>
  <c r="K8" i="7"/>
  <c r="L8" i="7"/>
  <c r="D39" i="7"/>
  <c r="F47" i="8"/>
  <c r="L4" i="7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E23" i="5"/>
  <c r="D28" i="7"/>
  <c r="N28" i="7" s="1"/>
  <c r="D29" i="7"/>
  <c r="N29" i="7" s="1"/>
  <c r="D31" i="7"/>
  <c r="N31" i="7" s="1"/>
  <c r="D30" i="7"/>
  <c r="N30" i="7" s="1"/>
  <c r="D32" i="7"/>
  <c r="N32" i="7" s="1"/>
  <c r="D25" i="7"/>
  <c r="N25" i="7" s="1"/>
  <c r="D26" i="7"/>
  <c r="N26" i="7" s="1"/>
  <c r="D27" i="7"/>
  <c r="N27" i="7" s="1"/>
  <c r="D23" i="7"/>
  <c r="K23" i="7" s="1"/>
  <c r="H80" i="1"/>
  <c r="E81" i="1"/>
  <c r="D62" i="7"/>
  <c r="E80" i="1"/>
  <c r="D61" i="7"/>
  <c r="D63" i="7"/>
  <c r="D80" i="1"/>
  <c r="D82" i="1"/>
  <c r="D45" i="7" s="1"/>
  <c r="D21" i="5"/>
  <c r="L36" i="7"/>
  <c r="L9" i="7"/>
  <c r="M36" i="7"/>
  <c r="M9" i="7"/>
  <c r="K9" i="7"/>
  <c r="M4" i="7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I9" i="8" l="1"/>
  <c r="J11" i="8"/>
  <c r="H11" i="8"/>
  <c r="K11" i="8"/>
  <c r="I11" i="8"/>
  <c r="E11" i="8"/>
  <c r="F10" i="8"/>
  <c r="K9" i="8"/>
  <c r="K6" i="8"/>
  <c r="J9" i="8"/>
  <c r="J6" i="8"/>
  <c r="F48" i="8"/>
  <c r="D12" i="8"/>
  <c r="K45" i="7"/>
  <c r="M45" i="7"/>
  <c r="L45" i="7"/>
  <c r="D43" i="7"/>
  <c r="D44" i="7"/>
  <c r="N44" i="7" s="1"/>
  <c r="M23" i="7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L26" i="7"/>
  <c r="K26" i="7"/>
  <c r="M29" i="7"/>
  <c r="K29" i="7"/>
  <c r="L29" i="7"/>
  <c r="M27" i="7"/>
  <c r="L27" i="7"/>
  <c r="K27" i="7"/>
  <c r="M30" i="7"/>
  <c r="L30" i="7"/>
  <c r="K30" i="7"/>
  <c r="D85" i="1"/>
  <c r="M18" i="7"/>
  <c r="K18" i="7"/>
  <c r="D86" i="1"/>
  <c r="E86" i="1"/>
  <c r="E85" i="1"/>
  <c r="F86" i="1"/>
  <c r="F85" i="1"/>
  <c r="G86" i="1"/>
  <c r="G85" i="1"/>
  <c r="H86" i="1"/>
  <c r="H85" i="1"/>
  <c r="K43" i="7" l="1"/>
  <c r="N43" i="7"/>
  <c r="J12" i="8"/>
  <c r="K12" i="8"/>
  <c r="I12" i="8"/>
  <c r="H12" i="8"/>
  <c r="E12" i="8"/>
  <c r="F11" i="8"/>
  <c r="F49" i="8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K39" i="7"/>
  <c r="M17" i="7"/>
  <c r="K13" i="7"/>
  <c r="M16" i="7"/>
  <c r="L15" i="7"/>
  <c r="L12" i="7"/>
  <c r="M14" i="7"/>
  <c r="K11" i="7"/>
  <c r="M11" i="7"/>
  <c r="L11" i="7"/>
  <c r="L16" i="7"/>
  <c r="K16" i="7"/>
  <c r="M39" i="7"/>
  <c r="K17" i="7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K37" i="7"/>
  <c r="M12" i="7"/>
  <c r="K15" i="7"/>
  <c r="M8" i="7"/>
  <c r="G26" i="5"/>
  <c r="F26" i="5"/>
  <c r="H26" i="5"/>
  <c r="E26" i="5"/>
  <c r="D26" i="5"/>
  <c r="I62" i="7" l="1"/>
  <c r="N62" i="7" s="1"/>
  <c r="F62" i="7"/>
  <c r="K62" i="7" s="1"/>
  <c r="H62" i="7"/>
  <c r="M62" i="7" s="1"/>
  <c r="G62" i="7"/>
  <c r="L62" i="7" s="1"/>
  <c r="H61" i="7"/>
  <c r="M61" i="7" s="1"/>
  <c r="I61" i="7"/>
  <c r="N61" i="7" s="1"/>
  <c r="F61" i="7"/>
  <c r="K61" i="7" s="1"/>
  <c r="G61" i="7"/>
  <c r="L61" i="7" s="1"/>
  <c r="K13" i="8"/>
  <c r="H13" i="8"/>
  <c r="J13" i="8"/>
  <c r="I13" i="8"/>
  <c r="E13" i="8"/>
  <c r="F12" i="8"/>
  <c r="F50" i="8"/>
  <c r="D14" i="8"/>
  <c r="D48" i="7"/>
  <c r="D97" i="1"/>
  <c r="D99" i="1" s="1"/>
  <c r="F97" i="1"/>
  <c r="F99" i="1" s="1"/>
  <c r="G97" i="1"/>
  <c r="H97" i="1"/>
  <c r="E97" i="1"/>
  <c r="G48" i="7" l="1"/>
  <c r="I48" i="7"/>
  <c r="H48" i="7"/>
  <c r="M48" i="7" s="1"/>
  <c r="F48" i="7"/>
  <c r="K48" i="7" s="1"/>
  <c r="L48" i="7"/>
  <c r="N48" i="7"/>
  <c r="K14" i="8"/>
  <c r="I14" i="8"/>
  <c r="J14" i="8"/>
  <c r="H14" i="8"/>
  <c r="E14" i="8"/>
  <c r="F13" i="8"/>
  <c r="F51" i="8"/>
  <c r="D15" i="8"/>
  <c r="E99" i="1"/>
  <c r="H99" i="1"/>
  <c r="G99" i="1"/>
  <c r="F50" i="7" l="1"/>
  <c r="H49" i="7"/>
  <c r="H50" i="7"/>
  <c r="F49" i="7"/>
  <c r="G50" i="7"/>
  <c r="G49" i="7"/>
  <c r="J15" i="8"/>
  <c r="H15" i="8"/>
  <c r="I15" i="8"/>
  <c r="K15" i="8"/>
  <c r="E15" i="8"/>
  <c r="F14" i="8"/>
  <c r="F52" i="8"/>
  <c r="D16" i="8"/>
  <c r="F100" i="1"/>
  <c r="G100" i="1"/>
  <c r="H100" i="1"/>
  <c r="E100" i="1"/>
  <c r="D100" i="1"/>
  <c r="D90" i="1" s="1"/>
  <c r="I50" i="7" l="1"/>
  <c r="I49" i="7"/>
  <c r="J16" i="8"/>
  <c r="I16" i="8"/>
  <c r="K16" i="8"/>
  <c r="H16" i="8"/>
  <c r="E16" i="8"/>
  <c r="F15" i="8"/>
  <c r="F53" i="8"/>
  <c r="D17" i="8"/>
  <c r="E103" i="1"/>
  <c r="E106" i="1"/>
  <c r="H90" i="1" s="1"/>
  <c r="E104" i="1"/>
  <c r="E105" i="1"/>
  <c r="K17" i="8" l="1"/>
  <c r="I17" i="8"/>
  <c r="J17" i="8"/>
  <c r="H17" i="8"/>
  <c r="E17" i="8"/>
  <c r="F16" i="8"/>
  <c r="F54" i="8"/>
  <c r="D18" i="8"/>
  <c r="E90" i="1"/>
  <c r="E27" i="5" s="1"/>
  <c r="F90" i="1"/>
  <c r="F27" i="5" s="1"/>
  <c r="D27" i="5"/>
  <c r="G90" i="1"/>
  <c r="H27" i="5"/>
  <c r="H94" i="1"/>
  <c r="H92" i="1" s="1"/>
  <c r="H28" i="5" s="1"/>
  <c r="H30" i="5" s="1"/>
  <c r="H35" i="5" l="1"/>
  <c r="K18" i="8"/>
  <c r="I18" i="8"/>
  <c r="H18" i="8"/>
  <c r="J18" i="8"/>
  <c r="E18" i="8"/>
  <c r="F17" i="8"/>
  <c r="F55" i="8"/>
  <c r="D19" i="8"/>
  <c r="E94" i="1"/>
  <c r="E92" i="1" s="1"/>
  <c r="E28" i="5" s="1"/>
  <c r="E30" i="5" s="1"/>
  <c r="E35" i="5" s="1"/>
  <c r="F94" i="1"/>
  <c r="F92" i="1" s="1"/>
  <c r="F28" i="5" s="1"/>
  <c r="F30" i="5" s="1"/>
  <c r="F35" i="5" s="1"/>
  <c r="D94" i="1"/>
  <c r="G27" i="5"/>
  <c r="D49" i="7" s="1"/>
  <c r="G94" i="1"/>
  <c r="G92" i="1" s="1"/>
  <c r="G28" i="5" s="1"/>
  <c r="G30" i="5" s="1"/>
  <c r="D92" i="1" l="1"/>
  <c r="D28" i="5" s="1"/>
  <c r="L49" i="7"/>
  <c r="M49" i="7"/>
  <c r="K49" i="7"/>
  <c r="N49" i="7"/>
  <c r="J19" i="8"/>
  <c r="I19" i="8"/>
  <c r="H19" i="8"/>
  <c r="K19" i="8"/>
  <c r="E19" i="8"/>
  <c r="F18" i="8"/>
  <c r="F56" i="8"/>
  <c r="D20" i="8"/>
  <c r="G35" i="5"/>
  <c r="D30" i="5" l="1"/>
  <c r="D35" i="5" s="1"/>
  <c r="C40" i="5" s="1"/>
  <c r="D50" i="7"/>
  <c r="N50" i="7" s="1"/>
  <c r="N52" i="7" s="1"/>
  <c r="J20" i="8"/>
  <c r="K20" i="8"/>
  <c r="H20" i="8"/>
  <c r="I20" i="8"/>
  <c r="D21" i="8"/>
  <c r="E20" i="8"/>
  <c r="F19" i="8"/>
  <c r="D52" i="7"/>
  <c r="M89" i="8" s="1"/>
  <c r="F57" i="8"/>
  <c r="L50" i="7" l="1"/>
  <c r="L52" i="7" s="1"/>
  <c r="O54" i="8" s="1"/>
  <c r="Q93" i="8"/>
  <c r="Q88" i="8"/>
  <c r="Q12" i="8"/>
  <c r="Q52" i="8"/>
  <c r="Q90" i="8"/>
  <c r="Q7" i="8"/>
  <c r="Q54" i="8"/>
  <c r="Q6" i="8"/>
  <c r="K50" i="7"/>
  <c r="K52" i="7" s="1"/>
  <c r="N17" i="8" s="1"/>
  <c r="M50" i="7"/>
  <c r="M52" i="7" s="1"/>
  <c r="P91" i="8" s="1"/>
  <c r="Q19" i="8"/>
  <c r="Q14" i="8"/>
  <c r="Q18" i="8"/>
  <c r="Q78" i="8"/>
  <c r="Q10" i="8"/>
  <c r="Q56" i="8"/>
  <c r="Q92" i="8"/>
  <c r="Q9" i="8"/>
  <c r="Q17" i="8"/>
  <c r="Q51" i="8"/>
  <c r="Q81" i="8"/>
  <c r="Q89" i="8"/>
  <c r="Q94" i="8"/>
  <c r="Q46" i="8"/>
  <c r="Q82" i="8"/>
  <c r="Q8" i="8"/>
  <c r="Q80" i="8"/>
  <c r="Q3" i="8"/>
  <c r="Q11" i="8"/>
  <c r="Q45" i="8"/>
  <c r="Q53" i="8"/>
  <c r="Q83" i="8"/>
  <c r="Q91" i="8"/>
  <c r="Q15" i="8"/>
  <c r="Q49" i="8"/>
  <c r="Q79" i="8"/>
  <c r="Q87" i="8"/>
  <c r="Q57" i="8"/>
  <c r="Q16" i="8"/>
  <c r="Q4" i="8"/>
  <c r="Q50" i="8"/>
  <c r="Q86" i="8"/>
  <c r="Q48" i="8"/>
  <c r="Q84" i="8"/>
  <c r="Q5" i="8"/>
  <c r="Q13" i="8"/>
  <c r="Q47" i="8"/>
  <c r="Q55" i="8"/>
  <c r="Q85" i="8"/>
  <c r="P94" i="8"/>
  <c r="P93" i="8"/>
  <c r="P79" i="8"/>
  <c r="P57" i="8"/>
  <c r="P19" i="8"/>
  <c r="P17" i="8"/>
  <c r="P80" i="8"/>
  <c r="P56" i="8"/>
  <c r="P15" i="8"/>
  <c r="P10" i="8"/>
  <c r="P46" i="8"/>
  <c r="P18" i="8"/>
  <c r="E21" i="8"/>
  <c r="F20" i="8"/>
  <c r="Q20" i="8" s="1"/>
  <c r="K21" i="8"/>
  <c r="I21" i="8"/>
  <c r="J21" i="8"/>
  <c r="H21" i="8"/>
  <c r="M51" i="8"/>
  <c r="M11" i="8"/>
  <c r="M18" i="8"/>
  <c r="N85" i="8"/>
  <c r="O7" i="8"/>
  <c r="O55" i="8"/>
  <c r="O17" i="8"/>
  <c r="O52" i="8"/>
  <c r="O56" i="8"/>
  <c r="O50" i="8"/>
  <c r="O48" i="8"/>
  <c r="O46" i="8"/>
  <c r="O12" i="8"/>
  <c r="O92" i="8"/>
  <c r="O16" i="8"/>
  <c r="O14" i="8"/>
  <c r="O84" i="8"/>
  <c r="O6" i="8"/>
  <c r="O19" i="8"/>
  <c r="O91" i="8"/>
  <c r="O47" i="8"/>
  <c r="O82" i="8"/>
  <c r="O3" i="8"/>
  <c r="O86" i="8"/>
  <c r="O78" i="8"/>
  <c r="O49" i="8"/>
  <c r="O45" i="8"/>
  <c r="N9" i="8"/>
  <c r="N4" i="8"/>
  <c r="N89" i="8"/>
  <c r="N54" i="8"/>
  <c r="N50" i="8"/>
  <c r="N15" i="8"/>
  <c r="N16" i="8"/>
  <c r="N81" i="8"/>
  <c r="M3" i="8"/>
  <c r="N7" i="8"/>
  <c r="N10" i="8"/>
  <c r="M84" i="8"/>
  <c r="M19" i="8"/>
  <c r="N48" i="8"/>
  <c r="N47" i="8"/>
  <c r="N53" i="8"/>
  <c r="M52" i="8"/>
  <c r="M14" i="8"/>
  <c r="M54" i="8"/>
  <c r="M6" i="8"/>
  <c r="M86" i="8"/>
  <c r="M9" i="8"/>
  <c r="M55" i="8"/>
  <c r="M91" i="8"/>
  <c r="M87" i="8"/>
  <c r="M83" i="8"/>
  <c r="M5" i="8"/>
  <c r="M4" i="8"/>
  <c r="M80" i="8"/>
  <c r="M7" i="8"/>
  <c r="M94" i="8"/>
  <c r="M88" i="8"/>
  <c r="M15" i="8"/>
  <c r="M48" i="8"/>
  <c r="M50" i="8"/>
  <c r="M12" i="8"/>
  <c r="M78" i="8"/>
  <c r="M8" i="8"/>
  <c r="M10" i="8"/>
  <c r="M49" i="8"/>
  <c r="M93" i="8"/>
  <c r="M17" i="8"/>
  <c r="M20" i="8"/>
  <c r="M79" i="8"/>
  <c r="M16" i="8"/>
  <c r="M82" i="8"/>
  <c r="M92" i="8"/>
  <c r="M47" i="8"/>
  <c r="M46" i="8"/>
  <c r="M56" i="8"/>
  <c r="M90" i="8"/>
  <c r="M13" i="8"/>
  <c r="M45" i="8"/>
  <c r="M81" i="8"/>
  <c r="M85" i="8"/>
  <c r="M53" i="8"/>
  <c r="M57" i="8"/>
  <c r="F58" i="8"/>
  <c r="Q58" i="8" s="1"/>
  <c r="D22" i="8"/>
  <c r="P11" i="8" l="1"/>
  <c r="P78" i="8"/>
  <c r="P13" i="8"/>
  <c r="P92" i="8"/>
  <c r="P49" i="8"/>
  <c r="P85" i="8"/>
  <c r="P14" i="8"/>
  <c r="P82" i="8"/>
  <c r="P16" i="8"/>
  <c r="P3" i="8"/>
  <c r="P51" i="8"/>
  <c r="P87" i="8"/>
  <c r="N18" i="8"/>
  <c r="N93" i="8"/>
  <c r="N91" i="8"/>
  <c r="N82" i="8"/>
  <c r="N3" i="8"/>
  <c r="N56" i="8"/>
  <c r="N49" i="8"/>
  <c r="N78" i="8"/>
  <c r="N92" i="8"/>
  <c r="N13" i="8"/>
  <c r="N87" i="8"/>
  <c r="N46" i="8"/>
  <c r="O57" i="8"/>
  <c r="N57" i="8"/>
  <c r="N14" i="8"/>
  <c r="N11" i="8"/>
  <c r="T11" i="8" s="1"/>
  <c r="N84" i="8"/>
  <c r="N86" i="8"/>
  <c r="N12" i="8"/>
  <c r="N20" i="8"/>
  <c r="T20" i="8" s="1"/>
  <c r="N19" i="8"/>
  <c r="N55" i="8"/>
  <c r="N51" i="8"/>
  <c r="O11" i="8"/>
  <c r="O4" i="8"/>
  <c r="O13" i="8"/>
  <c r="U14" i="8" s="1"/>
  <c r="O20" i="8"/>
  <c r="O94" i="8"/>
  <c r="O5" i="8"/>
  <c r="O10" i="8"/>
  <c r="O93" i="8"/>
  <c r="O88" i="8"/>
  <c r="O90" i="8"/>
  <c r="O83" i="8"/>
  <c r="O80" i="8"/>
  <c r="D53" i="7"/>
  <c r="N45" i="8"/>
  <c r="N5" i="8"/>
  <c r="T5" i="8" s="1"/>
  <c r="N6" i="8"/>
  <c r="N90" i="8"/>
  <c r="N88" i="8"/>
  <c r="N52" i="8"/>
  <c r="N79" i="8"/>
  <c r="N83" i="8"/>
  <c r="N80" i="8"/>
  <c r="N8" i="8"/>
  <c r="N94" i="8"/>
  <c r="O18" i="8"/>
  <c r="U20" i="8" s="1"/>
  <c r="O85" i="8"/>
  <c r="O8" i="8"/>
  <c r="U8" i="8" s="1"/>
  <c r="O9" i="8"/>
  <c r="O81" i="8"/>
  <c r="O89" i="8"/>
  <c r="O79" i="8"/>
  <c r="O15" i="8"/>
  <c r="U17" i="8" s="1"/>
  <c r="O53" i="8"/>
  <c r="O87" i="8"/>
  <c r="O51" i="8"/>
  <c r="P9" i="8"/>
  <c r="P50" i="8"/>
  <c r="P86" i="8"/>
  <c r="P5" i="8"/>
  <c r="P48" i="8"/>
  <c r="P84" i="8"/>
  <c r="P4" i="8"/>
  <c r="P45" i="8"/>
  <c r="P53" i="8"/>
  <c r="P81" i="8"/>
  <c r="P89" i="8"/>
  <c r="P6" i="8"/>
  <c r="P12" i="8"/>
  <c r="P54" i="8"/>
  <c r="P7" i="8"/>
  <c r="P8" i="8"/>
  <c r="P52" i="8"/>
  <c r="P88" i="8"/>
  <c r="P90" i="8"/>
  <c r="P47" i="8"/>
  <c r="P55" i="8"/>
  <c r="P83" i="8"/>
  <c r="P20" i="8"/>
  <c r="P58" i="8"/>
  <c r="K22" i="8"/>
  <c r="I22" i="8"/>
  <c r="J22" i="8"/>
  <c r="H22" i="8"/>
  <c r="E22" i="8"/>
  <c r="F21" i="8"/>
  <c r="S5" i="8"/>
  <c r="U5" i="8"/>
  <c r="T17" i="8"/>
  <c r="S20" i="8"/>
  <c r="S11" i="8"/>
  <c r="S8" i="8"/>
  <c r="S14" i="8"/>
  <c r="S17" i="8"/>
  <c r="N58" i="8"/>
  <c r="M58" i="8"/>
  <c r="O58" i="8"/>
  <c r="F59" i="8"/>
  <c r="D23" i="8"/>
  <c r="T8" i="8" l="1"/>
  <c r="U11" i="8"/>
  <c r="T14" i="8"/>
  <c r="Q59" i="8"/>
  <c r="P59" i="8"/>
  <c r="Q21" i="8"/>
  <c r="P21" i="8"/>
  <c r="E23" i="8"/>
  <c r="F22" i="8"/>
  <c r="N21" i="8"/>
  <c r="M21" i="8"/>
  <c r="O21" i="8"/>
  <c r="J23" i="8"/>
  <c r="H23" i="8"/>
  <c r="I23" i="8"/>
  <c r="K23" i="8"/>
  <c r="O59" i="8"/>
  <c r="N59" i="8"/>
  <c r="M59" i="8"/>
  <c r="F60" i="8"/>
  <c r="D24" i="8"/>
  <c r="Q22" i="8" l="1"/>
  <c r="P22" i="8"/>
  <c r="Q60" i="8"/>
  <c r="P60" i="8"/>
  <c r="M22" i="8"/>
  <c r="N22" i="8"/>
  <c r="O22" i="8"/>
  <c r="J24" i="8"/>
  <c r="K24" i="8"/>
  <c r="I24" i="8"/>
  <c r="H24" i="8"/>
  <c r="E24" i="8"/>
  <c r="F23" i="8"/>
  <c r="O60" i="8"/>
  <c r="N60" i="8"/>
  <c r="M60" i="8"/>
  <c r="F61" i="8"/>
  <c r="D25" i="8"/>
  <c r="Q61" i="8" l="1"/>
  <c r="P61" i="8"/>
  <c r="Q23" i="8"/>
  <c r="P23" i="8"/>
  <c r="N23" i="8"/>
  <c r="T23" i="8" s="1"/>
  <c r="M23" i="8"/>
  <c r="S23" i="8" s="1"/>
  <c r="O23" i="8"/>
  <c r="U23" i="8" s="1"/>
  <c r="K25" i="8"/>
  <c r="I25" i="8"/>
  <c r="J25" i="8"/>
  <c r="H25" i="8"/>
  <c r="E25" i="8"/>
  <c r="F24" i="8"/>
  <c r="O61" i="8"/>
  <c r="N61" i="8"/>
  <c r="M61" i="8"/>
  <c r="F62" i="8"/>
  <c r="D26" i="8"/>
  <c r="Q62" i="8" l="1"/>
  <c r="P62" i="8"/>
  <c r="Q24" i="8"/>
  <c r="P24" i="8"/>
  <c r="N24" i="8"/>
  <c r="M24" i="8"/>
  <c r="O24" i="8"/>
  <c r="E26" i="8"/>
  <c r="F25" i="8"/>
  <c r="K26" i="8"/>
  <c r="I26" i="8"/>
  <c r="H26" i="8"/>
  <c r="J26" i="8"/>
  <c r="F63" i="8"/>
  <c r="O62" i="8"/>
  <c r="N62" i="8"/>
  <c r="M62" i="8"/>
  <c r="D27" i="8"/>
  <c r="Q63" i="8" l="1"/>
  <c r="P63" i="8"/>
  <c r="Q25" i="8"/>
  <c r="P25" i="8"/>
  <c r="N25" i="8"/>
  <c r="O25" i="8"/>
  <c r="M25" i="8"/>
  <c r="J27" i="8"/>
  <c r="I27" i="8"/>
  <c r="H27" i="8"/>
  <c r="K27" i="8"/>
  <c r="E27" i="8"/>
  <c r="F26" i="8"/>
  <c r="M63" i="8"/>
  <c r="O63" i="8"/>
  <c r="N63" i="8"/>
  <c r="F64" i="8"/>
  <c r="D28" i="8"/>
  <c r="Q26" i="8" l="1"/>
  <c r="P26" i="8"/>
  <c r="Q64" i="8"/>
  <c r="P64" i="8"/>
  <c r="J28" i="8"/>
  <c r="H28" i="8"/>
  <c r="K28" i="8"/>
  <c r="I28" i="8"/>
  <c r="O26" i="8"/>
  <c r="U26" i="8" s="1"/>
  <c r="M26" i="8"/>
  <c r="S26" i="8" s="1"/>
  <c r="N26" i="8"/>
  <c r="T26" i="8" s="1"/>
  <c r="E28" i="8"/>
  <c r="F27" i="8"/>
  <c r="M64" i="8"/>
  <c r="O64" i="8"/>
  <c r="N64" i="8"/>
  <c r="F65" i="8"/>
  <c r="D29" i="8"/>
  <c r="Q65" i="8" l="1"/>
  <c r="P65" i="8"/>
  <c r="Q27" i="8"/>
  <c r="P27" i="8"/>
  <c r="M27" i="8"/>
  <c r="O27" i="8"/>
  <c r="N27" i="8"/>
  <c r="K29" i="8"/>
  <c r="I29" i="8"/>
  <c r="J29" i="8"/>
  <c r="H29" i="8"/>
  <c r="E29" i="8"/>
  <c r="F28" i="8"/>
  <c r="M65" i="8"/>
  <c r="O65" i="8"/>
  <c r="N65" i="8"/>
  <c r="F66" i="8"/>
  <c r="D30" i="8"/>
  <c r="Q66" i="8" l="1"/>
  <c r="P66" i="8"/>
  <c r="Q28" i="8"/>
  <c r="P28" i="8"/>
  <c r="O28" i="8"/>
  <c r="N28" i="8"/>
  <c r="M28" i="8"/>
  <c r="K30" i="8"/>
  <c r="I30" i="8"/>
  <c r="J30" i="8"/>
  <c r="H30" i="8"/>
  <c r="E30" i="8"/>
  <c r="F29" i="8"/>
  <c r="F67" i="8"/>
  <c r="O66" i="8"/>
  <c r="N66" i="8"/>
  <c r="M66" i="8"/>
  <c r="D31" i="8"/>
  <c r="Q67" i="8" l="1"/>
  <c r="P67" i="8"/>
  <c r="Q29" i="8"/>
  <c r="P29" i="8"/>
  <c r="O29" i="8"/>
  <c r="U29" i="8" s="1"/>
  <c r="M29" i="8"/>
  <c r="S29" i="8" s="1"/>
  <c r="N29" i="8"/>
  <c r="T29" i="8" s="1"/>
  <c r="J31" i="8"/>
  <c r="I31" i="8"/>
  <c r="H31" i="8"/>
  <c r="K31" i="8"/>
  <c r="E31" i="8"/>
  <c r="F30" i="8"/>
  <c r="F68" i="8"/>
  <c r="N67" i="8"/>
  <c r="O67" i="8"/>
  <c r="M67" i="8"/>
  <c r="D32" i="8"/>
  <c r="Q68" i="8" l="1"/>
  <c r="P68" i="8"/>
  <c r="Q30" i="8"/>
  <c r="P30" i="8"/>
  <c r="M30" i="8"/>
  <c r="O30" i="8"/>
  <c r="N30" i="8"/>
  <c r="J32" i="8"/>
  <c r="H32" i="8"/>
  <c r="I32" i="8"/>
  <c r="K32" i="8"/>
  <c r="E32" i="8"/>
  <c r="F31" i="8"/>
  <c r="F69" i="8"/>
  <c r="O68" i="8"/>
  <c r="N68" i="8"/>
  <c r="M68" i="8"/>
  <c r="D33" i="8"/>
  <c r="Q31" i="8" l="1"/>
  <c r="P31" i="8"/>
  <c r="Q69" i="8"/>
  <c r="P69" i="8"/>
  <c r="O31" i="8"/>
  <c r="N31" i="8"/>
  <c r="M31" i="8"/>
  <c r="K33" i="8"/>
  <c r="I33" i="8"/>
  <c r="J33" i="8"/>
  <c r="H33" i="8"/>
  <c r="E33" i="8"/>
  <c r="F32" i="8"/>
  <c r="F70" i="8"/>
  <c r="M69" i="8"/>
  <c r="O69" i="8"/>
  <c r="N69" i="8"/>
  <c r="D34" i="8"/>
  <c r="Q32" i="8" l="1"/>
  <c r="P32" i="8"/>
  <c r="Q70" i="8"/>
  <c r="P70" i="8"/>
  <c r="M32" i="8"/>
  <c r="S32" i="8" s="1"/>
  <c r="O32" i="8"/>
  <c r="U32" i="8" s="1"/>
  <c r="N32" i="8"/>
  <c r="T32" i="8" s="1"/>
  <c r="K34" i="8"/>
  <c r="I34" i="8"/>
  <c r="J34" i="8"/>
  <c r="H34" i="8"/>
  <c r="E34" i="8"/>
  <c r="F33" i="8"/>
  <c r="F71" i="8"/>
  <c r="O70" i="8"/>
  <c r="M70" i="8"/>
  <c r="N70" i="8"/>
  <c r="D35" i="8"/>
  <c r="Q71" i="8" l="1"/>
  <c r="P71" i="8"/>
  <c r="Q33" i="8"/>
  <c r="P33" i="8"/>
  <c r="O33" i="8"/>
  <c r="M33" i="8"/>
  <c r="N33" i="8"/>
  <c r="E35" i="8"/>
  <c r="F34" i="8"/>
  <c r="J35" i="8"/>
  <c r="I35" i="8"/>
  <c r="H35" i="8"/>
  <c r="K35" i="8"/>
  <c r="F72" i="8"/>
  <c r="N71" i="8"/>
  <c r="O71" i="8"/>
  <c r="M71" i="8"/>
  <c r="D36" i="8"/>
  <c r="Q72" i="8" l="1"/>
  <c r="P72" i="8"/>
  <c r="Q34" i="8"/>
  <c r="P34" i="8"/>
  <c r="N34" i="8"/>
  <c r="O34" i="8"/>
  <c r="M34" i="8"/>
  <c r="J36" i="8"/>
  <c r="H36" i="8"/>
  <c r="K36" i="8"/>
  <c r="I36" i="8"/>
  <c r="E36" i="8"/>
  <c r="F35" i="8"/>
  <c r="F73" i="8"/>
  <c r="M72" i="8"/>
  <c r="O72" i="8"/>
  <c r="N72" i="8"/>
  <c r="D37" i="8"/>
  <c r="Q73" i="8" l="1"/>
  <c r="P73" i="8"/>
  <c r="Q35" i="8"/>
  <c r="P35" i="8"/>
  <c r="N35" i="8"/>
  <c r="T35" i="8" s="1"/>
  <c r="M35" i="8"/>
  <c r="S35" i="8" s="1"/>
  <c r="O35" i="8"/>
  <c r="U35" i="8" s="1"/>
  <c r="E37" i="8"/>
  <c r="F36" i="8"/>
  <c r="K37" i="8"/>
  <c r="I37" i="8"/>
  <c r="J37" i="8"/>
  <c r="H37" i="8"/>
  <c r="F74" i="8"/>
  <c r="O73" i="8"/>
  <c r="N73" i="8"/>
  <c r="M73" i="8"/>
  <c r="D38" i="8"/>
  <c r="Q74" i="8" l="1"/>
  <c r="P74" i="8"/>
  <c r="Q36" i="8"/>
  <c r="P36" i="8"/>
  <c r="N36" i="8"/>
  <c r="O36" i="8"/>
  <c r="M36" i="8"/>
  <c r="K38" i="8"/>
  <c r="I38" i="8"/>
  <c r="H38" i="8"/>
  <c r="J38" i="8"/>
  <c r="E38" i="8"/>
  <c r="F37" i="8"/>
  <c r="F75" i="8"/>
  <c r="M74" i="8"/>
  <c r="O74" i="8"/>
  <c r="N74" i="8"/>
  <c r="D39" i="8"/>
  <c r="Q75" i="8" l="1"/>
  <c r="P75" i="8"/>
  <c r="Q37" i="8"/>
  <c r="P37" i="8"/>
  <c r="N37" i="8"/>
  <c r="M37" i="8"/>
  <c r="O37" i="8"/>
  <c r="J39" i="8"/>
  <c r="I39" i="8"/>
  <c r="K39" i="8"/>
  <c r="H39" i="8"/>
  <c r="E39" i="8"/>
  <c r="F38" i="8"/>
  <c r="F76" i="8"/>
  <c r="M75" i="8"/>
  <c r="O75" i="8"/>
  <c r="N75" i="8"/>
  <c r="D40" i="8"/>
  <c r="Q76" i="8" l="1"/>
  <c r="P76" i="8"/>
  <c r="Q38" i="8"/>
  <c r="P38" i="8"/>
  <c r="O38" i="8"/>
  <c r="U38" i="8" s="1"/>
  <c r="M38" i="8"/>
  <c r="S38" i="8" s="1"/>
  <c r="N38" i="8"/>
  <c r="T38" i="8" s="1"/>
  <c r="J40" i="8"/>
  <c r="H40" i="8"/>
  <c r="K40" i="8"/>
  <c r="I40" i="8"/>
  <c r="E40" i="8"/>
  <c r="F39" i="8"/>
  <c r="O76" i="8"/>
  <c r="M76" i="8"/>
  <c r="N76" i="8"/>
  <c r="F77" i="8"/>
  <c r="D41" i="8"/>
  <c r="Q77" i="8" l="1"/>
  <c r="P77" i="8"/>
  <c r="Q39" i="8"/>
  <c r="P39" i="8"/>
  <c r="O39" i="8"/>
  <c r="M39" i="8"/>
  <c r="N39" i="8"/>
  <c r="K41" i="8"/>
  <c r="I41" i="8"/>
  <c r="J41" i="8"/>
  <c r="H41" i="8"/>
  <c r="E41" i="8"/>
  <c r="F40" i="8"/>
  <c r="M77" i="8"/>
  <c r="O77" i="8"/>
  <c r="N77" i="8"/>
  <c r="D42" i="8"/>
  <c r="Q40" i="8" l="1"/>
  <c r="P40" i="8"/>
  <c r="M40" i="8"/>
  <c r="O40" i="8"/>
  <c r="N40" i="8"/>
  <c r="K42" i="8"/>
  <c r="I42" i="8"/>
  <c r="H42" i="8"/>
  <c r="J42" i="8"/>
  <c r="E42" i="8"/>
  <c r="F41" i="8"/>
  <c r="D43" i="8"/>
  <c r="Q41" i="8" l="1"/>
  <c r="P41" i="8"/>
  <c r="N41" i="8"/>
  <c r="T41" i="8" s="1"/>
  <c r="M41" i="8"/>
  <c r="S41" i="8" s="1"/>
  <c r="O41" i="8"/>
  <c r="U41" i="8" s="1"/>
  <c r="J43" i="8"/>
  <c r="I43" i="8"/>
  <c r="H43" i="8"/>
  <c r="K43" i="8"/>
  <c r="F42" i="8"/>
  <c r="E43" i="8"/>
  <c r="D44" i="8"/>
  <c r="E44" i="8" l="1"/>
  <c r="F43" i="8"/>
  <c r="Q42" i="8"/>
  <c r="P42" i="8"/>
  <c r="J44" i="8"/>
  <c r="H44" i="8"/>
  <c r="K44" i="8"/>
  <c r="I44" i="8"/>
  <c r="O42" i="8"/>
  <c r="N42" i="8"/>
  <c r="M42" i="8"/>
  <c r="D45" i="8"/>
  <c r="Q43" i="8" l="1"/>
  <c r="M43" i="8"/>
  <c r="P43" i="8"/>
  <c r="O43" i="8"/>
  <c r="N43" i="8"/>
  <c r="E45" i="8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4" i="8"/>
  <c r="K45" i="8"/>
  <c r="I45" i="8"/>
  <c r="J45" i="8"/>
  <c r="H45" i="8"/>
  <c r="D46" i="8"/>
  <c r="Q44" i="8" l="1"/>
  <c r="P44" i="8"/>
  <c r="M44" i="8"/>
  <c r="S44" i="8" s="1"/>
  <c r="O44" i="8"/>
  <c r="U44" i="8" s="1"/>
  <c r="N44" i="8"/>
  <c r="T44" i="8" s="1"/>
  <c r="F1" i="8"/>
  <c r="K46" i="8"/>
  <c r="I46" i="8"/>
  <c r="J46" i="8"/>
  <c r="H46" i="8"/>
  <c r="D47" i="8"/>
  <c r="J47" i="8" l="1"/>
  <c r="H47" i="8"/>
  <c r="I47" i="8"/>
  <c r="K47" i="8"/>
  <c r="D48" i="8"/>
  <c r="S47" i="8"/>
  <c r="T47" i="8"/>
  <c r="U47" i="8"/>
  <c r="J48" i="8" l="1"/>
  <c r="H48" i="8"/>
  <c r="I48" i="8"/>
  <c r="K48" i="8"/>
  <c r="D49" i="8"/>
  <c r="K49" i="8" l="1"/>
  <c r="I49" i="8"/>
  <c r="J49" i="8"/>
  <c r="H49" i="8"/>
  <c r="D50" i="8"/>
  <c r="K50" i="8" l="1"/>
  <c r="I50" i="8"/>
  <c r="J50" i="8"/>
  <c r="H50" i="8"/>
  <c r="S50" i="8" s="1"/>
  <c r="D51" i="8"/>
  <c r="T50" i="8"/>
  <c r="U50" i="8"/>
  <c r="J51" i="8" l="1"/>
  <c r="I51" i="8"/>
  <c r="H51" i="8"/>
  <c r="K51" i="8"/>
  <c r="D52" i="8"/>
  <c r="J52" i="8" l="1"/>
  <c r="H52" i="8"/>
  <c r="K52" i="8"/>
  <c r="I52" i="8"/>
  <c r="D53" i="8"/>
  <c r="K53" i="8" l="1"/>
  <c r="I53" i="8"/>
  <c r="J53" i="8"/>
  <c r="H53" i="8"/>
  <c r="S53" i="8" s="1"/>
  <c r="D54" i="8"/>
  <c r="T53" i="8"/>
  <c r="U53" i="8"/>
  <c r="K54" i="8" l="1"/>
  <c r="I54" i="8"/>
  <c r="H54" i="8"/>
  <c r="J54" i="8"/>
  <c r="D55" i="8"/>
  <c r="J55" i="8" l="1"/>
  <c r="I55" i="8"/>
  <c r="K55" i="8"/>
  <c r="H55" i="8"/>
  <c r="D56" i="8"/>
  <c r="J56" i="8" l="1"/>
  <c r="H56" i="8"/>
  <c r="S56" i="8" s="1"/>
  <c r="K56" i="8"/>
  <c r="I56" i="8"/>
  <c r="T56" i="8" s="1"/>
  <c r="D57" i="8"/>
  <c r="U56" i="8"/>
  <c r="K57" i="8" l="1"/>
  <c r="I57" i="8"/>
  <c r="J57" i="8"/>
  <c r="H57" i="8"/>
  <c r="D58" i="8"/>
  <c r="K58" i="8" l="1"/>
  <c r="I58" i="8"/>
  <c r="H58" i="8"/>
  <c r="J58" i="8"/>
  <c r="D59" i="8"/>
  <c r="J59" i="8" l="1"/>
  <c r="I59" i="8"/>
  <c r="T59" i="8" s="1"/>
  <c r="H59" i="8"/>
  <c r="S59" i="8" s="1"/>
  <c r="K59" i="8"/>
  <c r="D60" i="8"/>
  <c r="U59" i="8"/>
  <c r="J60" i="8" l="1"/>
  <c r="H60" i="8"/>
  <c r="K60" i="8"/>
  <c r="I60" i="8"/>
  <c r="D61" i="8"/>
  <c r="K61" i="8" l="1"/>
  <c r="I61" i="8"/>
  <c r="J61" i="8"/>
  <c r="H61" i="8"/>
  <c r="D62" i="8"/>
  <c r="K62" i="8" l="1"/>
  <c r="I62" i="8"/>
  <c r="H62" i="8"/>
  <c r="S62" i="8" s="1"/>
  <c r="J62" i="8"/>
  <c r="U62" i="8" s="1"/>
  <c r="D63" i="8"/>
  <c r="T62" i="8"/>
  <c r="J63" i="8" l="1"/>
  <c r="H63" i="8"/>
  <c r="I63" i="8"/>
  <c r="K63" i="8"/>
  <c r="D64" i="8"/>
  <c r="J64" i="8" l="1"/>
  <c r="H64" i="8"/>
  <c r="I64" i="8"/>
  <c r="K64" i="8"/>
  <c r="D65" i="8"/>
  <c r="K65" i="8" l="1"/>
  <c r="I65" i="8"/>
  <c r="J65" i="8"/>
  <c r="H65" i="8"/>
  <c r="S65" i="8" s="1"/>
  <c r="D66" i="8"/>
  <c r="T65" i="8"/>
  <c r="U65" i="8"/>
  <c r="K66" i="8" l="1"/>
  <c r="I66" i="8"/>
  <c r="J66" i="8"/>
  <c r="H66" i="8"/>
  <c r="D67" i="8"/>
  <c r="J67" i="8" l="1"/>
  <c r="I67" i="8"/>
  <c r="K67" i="8"/>
  <c r="H67" i="8"/>
  <c r="D68" i="8"/>
  <c r="J68" i="8" l="1"/>
  <c r="H68" i="8"/>
  <c r="K68" i="8"/>
  <c r="I68" i="8"/>
  <c r="T68" i="8" s="1"/>
  <c r="D69" i="8"/>
  <c r="S68" i="8"/>
  <c r="U68" i="8"/>
  <c r="K69" i="8" l="1"/>
  <c r="I69" i="8"/>
  <c r="H69" i="8"/>
  <c r="J69" i="8"/>
  <c r="D70" i="8"/>
  <c r="K70" i="8" l="1"/>
  <c r="I70" i="8"/>
  <c r="H70" i="8"/>
  <c r="J70" i="8"/>
  <c r="D71" i="8"/>
  <c r="J71" i="8" l="1"/>
  <c r="I71" i="8"/>
  <c r="K71" i="8"/>
  <c r="H71" i="8"/>
  <c r="S71" i="8" s="1"/>
  <c r="D72" i="8"/>
  <c r="T71" i="8"/>
  <c r="U71" i="8"/>
  <c r="J72" i="8" l="1"/>
  <c r="H72" i="8"/>
  <c r="K72" i="8"/>
  <c r="I72" i="8"/>
  <c r="D73" i="8"/>
  <c r="K73" i="8" l="1"/>
  <c r="I73" i="8"/>
  <c r="J73" i="8"/>
  <c r="H73" i="8"/>
  <c r="D74" i="8"/>
  <c r="K74" i="8" l="1"/>
  <c r="I74" i="8"/>
  <c r="H74" i="8"/>
  <c r="S74" i="8" s="1"/>
  <c r="J74" i="8"/>
  <c r="U74" i="8" s="1"/>
  <c r="D75" i="8"/>
  <c r="T74" i="8"/>
  <c r="J75" i="8" l="1"/>
  <c r="I75" i="8"/>
  <c r="H75" i="8"/>
  <c r="K75" i="8"/>
  <c r="D76" i="8"/>
  <c r="J76" i="8" l="1"/>
  <c r="H76" i="8"/>
  <c r="K76" i="8"/>
  <c r="I76" i="8"/>
  <c r="D77" i="8"/>
  <c r="K77" i="8" l="1"/>
  <c r="I77" i="8"/>
  <c r="J77" i="8"/>
  <c r="H77" i="8"/>
  <c r="S77" i="8" s="1"/>
  <c r="D78" i="8"/>
  <c r="T77" i="8"/>
  <c r="U77" i="8"/>
  <c r="K78" i="8" l="1"/>
  <c r="I78" i="8"/>
  <c r="H78" i="8"/>
  <c r="J78" i="8"/>
  <c r="D79" i="8"/>
  <c r="J79" i="8" l="1"/>
  <c r="H79" i="8"/>
  <c r="I79" i="8"/>
  <c r="K79" i="8"/>
  <c r="D80" i="8"/>
  <c r="J80" i="8" l="1"/>
  <c r="U80" i="8" s="1"/>
  <c r="H80" i="8"/>
  <c r="S80" i="8" s="1"/>
  <c r="K80" i="8"/>
  <c r="I80" i="8"/>
  <c r="T80" i="8" s="1"/>
  <c r="D81" i="8"/>
  <c r="K81" i="8" l="1"/>
  <c r="I81" i="8"/>
  <c r="J81" i="8"/>
  <c r="H81" i="8"/>
  <c r="D82" i="8"/>
  <c r="K82" i="8" l="1"/>
  <c r="I82" i="8"/>
  <c r="H82" i="8"/>
  <c r="J82" i="8"/>
  <c r="D83" i="8"/>
  <c r="J83" i="8" l="1"/>
  <c r="I83" i="8"/>
  <c r="K83" i="8"/>
  <c r="H83" i="8"/>
  <c r="S83" i="8" s="1"/>
  <c r="D84" i="8"/>
  <c r="T83" i="8"/>
  <c r="U83" i="8"/>
  <c r="J84" i="8" l="1"/>
  <c r="H84" i="8"/>
  <c r="K84" i="8"/>
  <c r="I84" i="8"/>
  <c r="D85" i="8"/>
  <c r="K85" i="8" l="1"/>
  <c r="I85" i="8"/>
  <c r="H85" i="8"/>
  <c r="J85" i="8"/>
  <c r="D86" i="8"/>
  <c r="K86" i="8" l="1"/>
  <c r="I86" i="8"/>
  <c r="H86" i="8"/>
  <c r="J86" i="8"/>
  <c r="D87" i="8"/>
  <c r="S86" i="8"/>
  <c r="T86" i="8"/>
  <c r="U86" i="8"/>
  <c r="J87" i="8" l="1"/>
  <c r="I87" i="8"/>
  <c r="K87" i="8"/>
  <c r="H87" i="8"/>
  <c r="D88" i="8"/>
  <c r="J88" i="8" l="1"/>
  <c r="H88" i="8"/>
  <c r="I88" i="8"/>
  <c r="K88" i="8"/>
  <c r="D89" i="8"/>
  <c r="K89" i="8" l="1"/>
  <c r="I89" i="8"/>
  <c r="J89" i="8"/>
  <c r="U89" i="8" s="1"/>
  <c r="H89" i="8"/>
  <c r="S89" i="8" s="1"/>
  <c r="D90" i="8"/>
  <c r="T89" i="8"/>
  <c r="K90" i="8" l="1"/>
  <c r="I90" i="8"/>
  <c r="H90" i="8"/>
  <c r="J90" i="8"/>
  <c r="D91" i="8"/>
  <c r="J91" i="8" l="1"/>
  <c r="I91" i="8"/>
  <c r="H91" i="8"/>
  <c r="K91" i="8"/>
  <c r="D92" i="8"/>
  <c r="J92" i="8" l="1"/>
  <c r="U92" i="8" s="1"/>
  <c r="L55" i="7" s="1"/>
  <c r="H92" i="8"/>
  <c r="K92" i="8"/>
  <c r="I92" i="8"/>
  <c r="T92" i="8" s="1"/>
  <c r="K55" i="7" s="1"/>
  <c r="D93" i="8"/>
  <c r="S92" i="8"/>
  <c r="C39" i="5" s="1"/>
  <c r="K93" i="8" l="1"/>
  <c r="I93" i="8"/>
  <c r="J93" i="8"/>
  <c r="H93" i="8"/>
  <c r="D55" i="7"/>
  <c r="D94" i="8"/>
  <c r="K94" i="8" l="1"/>
  <c r="I94" i="8"/>
  <c r="J94" i="8"/>
  <c r="H94" i="8"/>
  <c r="K56" i="7"/>
  <c r="L56" i="7"/>
  <c r="W83" i="8" l="1"/>
  <c r="W53" i="8"/>
  <c r="W35" i="8"/>
  <c r="W29" i="8"/>
  <c r="W11" i="8"/>
  <c r="W44" i="8"/>
  <c r="W38" i="8"/>
  <c r="W20" i="8"/>
  <c r="W14" i="8"/>
  <c r="W26" i="8"/>
  <c r="W59" i="8" l="1"/>
  <c r="W32" i="8"/>
  <c r="W5" i="8"/>
  <c r="W77" i="8"/>
  <c r="W62" i="8"/>
  <c r="W92" i="8"/>
  <c r="W8" i="8"/>
  <c r="W68" i="8"/>
  <c r="W86" i="8"/>
  <c r="W23" i="8"/>
  <c r="W47" i="8"/>
  <c r="W71" i="8"/>
  <c r="W50" i="8"/>
  <c r="W80" i="8"/>
  <c r="W56" i="8"/>
  <c r="W74" i="8"/>
  <c r="W17" i="8"/>
  <c r="W41" i="8"/>
  <c r="W65" i="8"/>
  <c r="W89" i="8"/>
  <c r="V92" i="8"/>
  <c r="V74" i="8"/>
  <c r="V68" i="8"/>
  <c r="V26" i="8"/>
  <c r="V77" i="8"/>
  <c r="V83" i="8"/>
  <c r="V47" i="8"/>
  <c r="V29" i="8"/>
  <c r="V23" i="8"/>
  <c r="V11" i="8"/>
  <c r="V41" i="8" l="1"/>
  <c r="V20" i="8"/>
  <c r="N55" i="7"/>
  <c r="N56" i="7" s="1"/>
  <c r="V59" i="8"/>
  <c r="V89" i="8"/>
  <c r="V65" i="8"/>
  <c r="V14" i="8"/>
  <c r="V38" i="8"/>
  <c r="V62" i="8"/>
  <c r="V86" i="8"/>
  <c r="V5" i="8"/>
  <c r="V50" i="8"/>
  <c r="V71" i="8"/>
  <c r="V44" i="8"/>
  <c r="V17" i="8"/>
  <c r="V35" i="8"/>
  <c r="V53" i="8"/>
  <c r="V8" i="8"/>
  <c r="V32" i="8"/>
  <c r="V56" i="8"/>
  <c r="V80" i="8"/>
  <c r="M55" i="7" l="1"/>
  <c r="M56" i="7" s="1"/>
</calcChain>
</file>

<file path=xl/sharedStrings.xml><?xml version="1.0" encoding="utf-8"?>
<sst xmlns="http://schemas.openxmlformats.org/spreadsheetml/2006/main" count="285" uniqueCount="108">
  <si>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</si>
  <si>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</si>
  <si>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</si>
  <si>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</si>
  <si>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</si>
  <si>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</si>
  <si>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</si>
  <si>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Collaborative Member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</si>
  <si>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</si>
  <si>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</si>
  <si>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</si>
  <si>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</si>
  <si>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</si>
  <si>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</si>
  <si>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</si>
  <si>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</si>
  <si>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</si>
  <si>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</si>
  <si>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</si>
  <si>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</si>
  <si>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</si>
  <si>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</si>
  <si>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</si>
  <si>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</si>
  <si>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</si>
  <si>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</si>
  <si>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</si>
  <si>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</si>
  <si>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</si>
  <si>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</si>
  <si>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</si>
  <si>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</si>
  <si>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</si>
  <si>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</si>
  <si>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</si>
  <si>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</si>
  <si>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</si>
  <si>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</si>
  <si>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</si>
  <si>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</si>
  <si>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</si>
  <si>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</si>
  <si>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</si>
  <si>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</si>
  <si>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</si>
  <si>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</si>
  <si>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</si>
  <si>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</si>
  <si>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</si>
  <si>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</si>
  <si>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</si>
  <si>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</si>
  <si>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</si>
  <si>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</si>
  <si>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</si>
  <si>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</si>
  <si>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</si>
  <si>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</si>
  <si>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</si>
  <si>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</si>
  <si>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</si>
  <si>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</si>
  <si>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</si>
  <si>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</si>
  <si>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</si>
  <si>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</si>
  <si>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</si>
  <si>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</si>
  <si>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</si>
  <si>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</si>
  <si>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</si>
  <si>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</si>
  <si>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</si>
  <si>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</si>
  <si>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</si>
  <si>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</si>
  <si>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</si>
  <si>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</si>
  <si>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</si>
  <si>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</si>
  <si>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</si>
  <si>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</si>
  <si>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</si>
  <si>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</si>
  <si>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</si>
  <si>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</si>
  <si>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</si>
  <si>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</si>
  <si>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</si>
  <si>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</si>
  <si>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</si>
  <si>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</si>
  <si>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</si>
  <si>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</si>
  <si>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</si>
  <si>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</si>
  <si>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</si>
  <si>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</si>
  <si>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</si>
  <si>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</si>
  <si>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</si>
  <si>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Exisitng Collaborative Member Discount</t>
  </si>
  <si>
    <t>Expires</t>
  </si>
  <si>
    <t>Existing Collaborative Discount</t>
  </si>
  <si>
    <t>Existing Collborative Discount</t>
  </si>
  <si>
    <t>Medical Conditions</t>
  </si>
  <si>
    <t>MI Royalties</t>
  </si>
  <si>
    <t>Other Royalties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</si>
</sst>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7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8" fontId="0" fillId="0" borderId="0" xfId="0" applyNumberFormat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tabSelected="1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E30" sqref="E30"/>
    </sheetView>
  </sheetViews>
  <sheetFormatPr defaultRowHeight="15" x14ac:dyDescent="0.25"/>
  <cols>
    <col min="1" max="1" width="5.140625" customWidth="1"/>
    <col min="2" max="2" width="21.42578125" customWidth="1"/>
    <col min="3" max="3" width="18" style="68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58" t="s">
        <v>82</v>
      </c>
      <c r="C1" s="74">
        <v>43101</v>
      </c>
    </row>
    <row r="2" spans="2:12" x14ac:dyDescent="0.25">
      <c r="B2" s="70" t="s">
        <v>96</v>
      </c>
      <c r="C2" s="75">
        <v>36</v>
      </c>
    </row>
    <row r="3" spans="2:12" x14ac:dyDescent="0.25">
      <c r="B3" s="71"/>
      <c r="C3" s="76"/>
      <c r="D3" s="13" t="s">
        <v>21</v>
      </c>
      <c r="E3" s="13" t="s">
        <v>22</v>
      </c>
      <c r="F3" s="13" t="s">
        <v>23</v>
      </c>
      <c r="G3" s="13" t="s">
        <v>24</v>
      </c>
      <c r="H3" s="14" t="s">
        <v>25</v>
      </c>
    </row>
    <row r="4" spans="2:12" ht="18" customHeight="1" x14ac:dyDescent="0.25">
      <c r="B4" s="72" t="s">
        <v>6</v>
      </c>
      <c r="D4" s="56" t="s">
        <v>4</v>
      </c>
      <c r="E4" s="56"/>
      <c r="F4" s="56"/>
      <c r="G4" s="56"/>
      <c r="H4" s="56"/>
      <c r="L4" t="s">
        <v>4</v>
      </c>
    </row>
    <row r="5" spans="2:12" ht="18" customHeight="1" x14ac:dyDescent="0.25">
      <c r="B5" s="72" t="s">
        <v>7</v>
      </c>
      <c r="D5" s="56" t="s">
        <v>44</v>
      </c>
      <c r="E5" s="56"/>
      <c r="F5" s="56"/>
      <c r="G5" s="56"/>
      <c r="H5" s="56"/>
      <c r="L5" t="s">
        <v>44</v>
      </c>
    </row>
    <row r="6" spans="2:12" ht="18" customHeight="1" x14ac:dyDescent="0.25">
      <c r="B6" s="72" t="s">
        <v>8</v>
      </c>
      <c r="D6" s="56" t="s">
        <v>44</v>
      </c>
      <c r="E6" s="56"/>
      <c r="F6" s="56"/>
      <c r="G6" s="56"/>
      <c r="H6" s="56"/>
    </row>
    <row r="7" spans="2:12" ht="18" customHeight="1" x14ac:dyDescent="0.25">
      <c r="B7" s="72" t="s">
        <v>5</v>
      </c>
      <c r="D7" s="56">
        <v>50000</v>
      </c>
      <c r="E7" s="56"/>
      <c r="F7" s="56"/>
      <c r="G7" s="56"/>
      <c r="H7" s="56"/>
    </row>
    <row r="8" spans="2:12" ht="18" customHeight="1" x14ac:dyDescent="0.25">
      <c r="B8" s="72" t="s">
        <v>9</v>
      </c>
      <c r="D8" s="56" t="s">
        <v>4</v>
      </c>
      <c r="E8" s="56"/>
      <c r="F8" s="56"/>
      <c r="G8" s="56"/>
      <c r="H8" s="56"/>
    </row>
    <row r="9" spans="2:12" ht="18" customHeight="1" x14ac:dyDescent="0.25">
      <c r="B9" s="72" t="s">
        <v>10</v>
      </c>
      <c r="D9" s="56" t="s">
        <v>4</v>
      </c>
      <c r="E9" s="56"/>
      <c r="F9" s="56"/>
      <c r="G9" s="56"/>
      <c r="H9" s="56"/>
    </row>
    <row r="10" spans="2:12" ht="18" customHeight="1" x14ac:dyDescent="0.25">
      <c r="B10" s="72" t="s">
        <v>11</v>
      </c>
      <c r="D10" s="56" t="s">
        <v>4</v>
      </c>
      <c r="E10" s="56"/>
      <c r="F10" s="56"/>
      <c r="G10" s="56"/>
      <c r="H10" s="56"/>
    </row>
    <row r="11" spans="2:12" ht="18" customHeight="1" x14ac:dyDescent="0.25">
      <c r="B11" s="72" t="s">
        <v>33</v>
      </c>
      <c r="D11" s="56" t="s">
        <v>4</v>
      </c>
      <c r="E11" s="56"/>
      <c r="F11" s="56"/>
      <c r="G11" s="56"/>
      <c r="H11" s="56"/>
    </row>
    <row r="12" spans="2:12" ht="18" customHeight="1" x14ac:dyDescent="0.25">
      <c r="B12" s="72" t="s">
        <v>12</v>
      </c>
      <c r="D12" s="56" t="s">
        <v>4</v>
      </c>
      <c r="E12" s="56"/>
      <c r="F12" s="56"/>
      <c r="G12" s="56"/>
      <c r="H12" s="56"/>
    </row>
    <row r="13" spans="2:12" ht="18" customHeight="1" x14ac:dyDescent="0.25">
      <c r="B13" s="72" t="s">
        <v>13</v>
      </c>
      <c r="D13" s="56" t="s">
        <v>4</v>
      </c>
      <c r="E13" s="56"/>
      <c r="F13" s="56"/>
      <c r="G13" s="56"/>
      <c r="H13" s="56"/>
    </row>
    <row r="14" spans="2:12" ht="18" customHeight="1" x14ac:dyDescent="0.25">
      <c r="B14" s="72" t="s">
        <v>105</v>
      </c>
      <c r="D14" s="56" t="s">
        <v>4</v>
      </c>
      <c r="E14" s="56"/>
      <c r="F14" s="56"/>
      <c r="G14" s="56"/>
      <c r="H14" s="56"/>
    </row>
    <row r="15" spans="2:12" ht="18" customHeight="1" x14ac:dyDescent="0.25">
      <c r="B15" s="72" t="s">
        <v>14</v>
      </c>
      <c r="D15" s="56" t="s">
        <v>4</v>
      </c>
      <c r="E15" s="56"/>
      <c r="F15" s="56"/>
      <c r="G15" s="56"/>
      <c r="H15" s="56"/>
    </row>
    <row r="16" spans="2:12" ht="18" customHeight="1" x14ac:dyDescent="0.25">
      <c r="B16" s="72" t="s">
        <v>15</v>
      </c>
      <c r="D16" s="56" t="s">
        <v>4</v>
      </c>
      <c r="E16" s="56"/>
      <c r="F16" s="56"/>
      <c r="G16" s="56"/>
      <c r="H16" s="56"/>
    </row>
    <row r="17" spans="2:8" ht="18" customHeight="1" x14ac:dyDescent="0.25">
      <c r="B17" s="72" t="s">
        <v>16</v>
      </c>
      <c r="D17" s="56" t="s">
        <v>4</v>
      </c>
      <c r="E17" s="56"/>
      <c r="F17" s="56"/>
      <c r="G17" s="56"/>
      <c r="H17" s="56"/>
    </row>
    <row r="18" spans="2:8" ht="18" customHeight="1" x14ac:dyDescent="0.25">
      <c r="B18" s="72" t="s">
        <v>17</v>
      </c>
      <c r="D18" s="56" t="s">
        <v>4</v>
      </c>
      <c r="E18" s="56"/>
      <c r="F18" s="56"/>
      <c r="G18" s="56"/>
      <c r="H18" s="56"/>
    </row>
    <row r="19" spans="2:8" ht="18" customHeight="1" x14ac:dyDescent="0.25">
      <c r="B19" s="72" t="s">
        <v>18</v>
      </c>
      <c r="D19" s="56" t="s">
        <v>44</v>
      </c>
      <c r="E19" s="56"/>
      <c r="F19" s="56"/>
      <c r="G19" s="56"/>
      <c r="H19" s="56"/>
    </row>
    <row r="20" spans="2:8" ht="18" customHeight="1" x14ac:dyDescent="0.25">
      <c r="B20" s="72" t="s">
        <v>19</v>
      </c>
      <c r="D20" s="56" t="s">
        <v>44</v>
      </c>
      <c r="E20" s="56"/>
      <c r="F20" s="56"/>
      <c r="G20" s="56"/>
      <c r="H20" s="56"/>
    </row>
    <row r="21" spans="2:8" ht="18" customHeight="1" x14ac:dyDescent="0.25">
      <c r="B21" s="73" t="s">
        <v>20</v>
      </c>
      <c r="C21" s="69"/>
      <c r="D21" s="57" t="s">
        <v>44</v>
      </c>
      <c r="E21" s="57"/>
      <c r="F21" s="57"/>
      <c r="G21" s="57"/>
      <c r="H21" s="57"/>
    </row>
  </sheetData>
  <dataValidations count="2">
    <dataValidation type="list" allowBlank="1" showInputMessage="1" showErrorMessage="1" sqref="D4:H6 D8:H21">
      <formula1>$L$4:$L$5</formula1>
    </dataValidation>
    <dataValidation type="whole" operator="greaterThan" allowBlank="1" showInputMessage="1" showErrorMessage="1" sqref="D7:H7">
      <formula1>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57</v>
      </c>
    </row>
    <row r="7" spans="2:21" x14ac:dyDescent="0.25">
      <c r="C7" s="15" t="s">
        <v>2</v>
      </c>
      <c r="D7" s="16">
        <f>SUM(Calcs!D35, Calcs!D48)</f>
        <v>15000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6750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32</v>
      </c>
      <c r="D9" s="18">
        <f>SUM(Calcs!D37, Calcs!D50)</f>
        <v>1000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11</v>
      </c>
      <c r="D10" s="18">
        <f>SUM(Calcs!D38, Calcs!D51)</f>
        <v>4000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33</v>
      </c>
      <c r="D11" s="18">
        <f>SUM(Calcs!D39, Calcs!D52)</f>
        <v>2000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12</v>
      </c>
      <c r="D12" s="18">
        <f>SUM(Calcs!D40, Calcs!D53)</f>
        <v>2000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13</v>
      </c>
      <c r="D13" s="18">
        <f>SUM(Calcs!D41, Calcs!D54)</f>
        <v>6000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105</v>
      </c>
      <c r="D14" s="18">
        <f>SUM(Calcs!D42, Calcs!D55)</f>
        <v>4000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</v>
      </c>
      <c r="D15" s="20">
        <f>SUM(Calcs!D43, Calcs!D56)</f>
        <v>10000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15</v>
      </c>
      <c r="D16" s="20">
        <f>SUM(Calcs!D44, Calcs!D57)</f>
        <v>5000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34</v>
      </c>
      <c r="D17" s="20">
        <f>SUM(Calcs!D45, Calcs!D58)</f>
        <v>5000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58</v>
      </c>
    </row>
    <row r="20" spans="2:21" x14ac:dyDescent="0.25">
      <c r="C20" t="s">
        <v>17</v>
      </c>
      <c r="D20" s="1">
        <f>SUM(Calcs!D61, Calcs!D67)</f>
        <v>8500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18</v>
      </c>
      <c r="D21" s="1">
        <f>SUM(Calcs!D62, Calcs!D68)</f>
        <v>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19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20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59</v>
      </c>
    </row>
    <row r="26" spans="2:21" x14ac:dyDescent="0.25">
      <c r="C26" t="s">
        <v>60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53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8" spans="2:21" x14ac:dyDescent="0.25">
      <c r="C28" t="s">
        <v>103</v>
      </c>
      <c r="D28" s="1">
        <f>Calcs!D92</f>
        <v>0</v>
      </c>
      <c r="E28" s="1">
        <f>Calcs!E92</f>
        <v>0</v>
      </c>
      <c r="F28" s="1">
        <f>Calcs!F92</f>
        <v>0</v>
      </c>
      <c r="G28" s="1">
        <f>Calcs!G92</f>
        <v>0</v>
      </c>
      <c r="H28" s="1">
        <f>Calcs!H92</f>
        <v>0</v>
      </c>
      <c r="I28" s="1"/>
      <c r="J28" s="1"/>
      <c r="K28" s="1"/>
      <c r="M28" s="1"/>
      <c r="O28" s="3"/>
      <c r="P28" s="3"/>
      <c r="Q28" s="3"/>
      <c r="S28" s="1"/>
      <c r="T28" s="1"/>
      <c r="U28" s="1"/>
    </row>
    <row r="30" spans="2:21" x14ac:dyDescent="0.25">
      <c r="B30" s="6" t="s">
        <v>61</v>
      </c>
      <c r="D30" s="7">
        <f>SUM(D7:D17, D20:D23, D26:D28)</f>
        <v>69250</v>
      </c>
      <c r="E30" s="7">
        <f t="shared" ref="E30:H30" si="0">SUM(E7:E17, E20:E23, E26:E28)</f>
        <v>0</v>
      </c>
      <c r="F30" s="7">
        <f t="shared" si="0"/>
        <v>0</v>
      </c>
      <c r="G30" s="7">
        <f t="shared" si="0"/>
        <v>0</v>
      </c>
      <c r="H30" s="7">
        <f t="shared" si="0"/>
        <v>0</v>
      </c>
      <c r="I30" s="7"/>
      <c r="J30" s="7"/>
      <c r="K30" s="7"/>
      <c r="M30" s="1"/>
      <c r="S30" s="1"/>
      <c r="T30" s="1"/>
      <c r="U30" s="1"/>
    </row>
    <row r="31" spans="2:21" x14ac:dyDescent="0.25">
      <c r="D31" s="7"/>
      <c r="E31" s="7"/>
      <c r="F31" s="7"/>
      <c r="G31" s="7"/>
      <c r="H31" s="7"/>
      <c r="I31" s="7"/>
      <c r="J31" s="7"/>
      <c r="K31" s="7"/>
      <c r="M31" s="1"/>
      <c r="S31" s="1"/>
      <c r="T31" s="1"/>
      <c r="U31" s="1"/>
    </row>
    <row r="32" spans="2:21" x14ac:dyDescent="0.25">
      <c r="B32" s="6" t="s">
        <v>98</v>
      </c>
      <c r="D32" s="7"/>
      <c r="E32" s="7"/>
      <c r="F32" s="7"/>
      <c r="G32" s="7"/>
      <c r="H32" s="7"/>
      <c r="I32" s="7"/>
      <c r="J32" s="7"/>
      <c r="K32" s="7"/>
      <c r="M32" s="1"/>
      <c r="O32" s="8"/>
      <c r="P32" s="8"/>
      <c r="Q32" s="8"/>
      <c r="S32" s="1"/>
      <c r="T32" s="1"/>
      <c r="U32" s="1"/>
    </row>
    <row r="33" spans="2:21" x14ac:dyDescent="0.25">
      <c r="C33" s="66">
        <f>INDEX(Outputs_Timeline!$D$3:$D$94,MATCH(Inputs!$C$1,Outputs_Timeline!$B$3:$B$94,0),1)</f>
        <v>1</v>
      </c>
    </row>
    <row r="35" spans="2:21" x14ac:dyDescent="0.25">
      <c r="B35" s="6" t="s">
        <v>97</v>
      </c>
      <c r="D35" s="7">
        <f>(D30/12*Inputs!$C$2+D4)*$C$33</f>
        <v>212750</v>
      </c>
      <c r="E35" s="7">
        <f>(E30/12*Inputs!$C$2+E4)*$C$33</f>
        <v>0</v>
      </c>
      <c r="F35" s="7">
        <f>(F30/12*Inputs!$C$2+F4)*$C$33</f>
        <v>0</v>
      </c>
      <c r="G35" s="7">
        <f>(G30/12*Inputs!$C$2+G4)*$C$33</f>
        <v>0</v>
      </c>
      <c r="H35" s="7">
        <f>(H30/12*Inputs!$C$2+H4)*$C$33</f>
        <v>0</v>
      </c>
      <c r="I35" s="7"/>
      <c r="J35" s="7"/>
      <c r="K35" s="7"/>
      <c r="M35" s="1"/>
      <c r="S35" s="1"/>
      <c r="T35" s="1"/>
      <c r="U35" s="1"/>
    </row>
    <row r="37" spans="2:21" x14ac:dyDescent="0.25">
      <c r="D37" s="7"/>
      <c r="E37" s="7"/>
      <c r="F37" s="7"/>
      <c r="G37" s="7"/>
      <c r="H37" s="7"/>
      <c r="I37" s="7"/>
      <c r="J37" s="7"/>
      <c r="K37" s="7"/>
      <c r="L37" s="7"/>
      <c r="M37" s="1"/>
      <c r="S37" s="8"/>
      <c r="T37" s="8"/>
      <c r="U37" s="8"/>
    </row>
    <row r="38" spans="2:21" x14ac:dyDescent="0.25">
      <c r="B38" s="6" t="s">
        <v>94</v>
      </c>
    </row>
    <row r="39" spans="2:21" x14ac:dyDescent="0.25">
      <c r="C39" s="7">
        <f>SUM(Outputs_Timeline!S:S)</f>
        <v>212750</v>
      </c>
    </row>
    <row r="40" spans="2:21" x14ac:dyDescent="0.25">
      <c r="C40" s="53">
        <f>SUM(D35:H35)</f>
        <v>212750</v>
      </c>
      <c r="D40" s="1"/>
      <c r="G40" s="1"/>
    </row>
    <row r="41" spans="2:21" x14ac:dyDescent="0.25">
      <c r="D41" s="1"/>
      <c r="E41" s="1"/>
      <c r="F41" s="1"/>
    </row>
    <row r="42" spans="2:21" x14ac:dyDescent="0.25">
      <c r="D42" s="2"/>
      <c r="E42" s="1"/>
      <c r="F42" s="1"/>
    </row>
    <row r="43" spans="2:21" x14ac:dyDescent="0.25">
      <c r="D43" s="2"/>
      <c r="E43" s="2"/>
      <c r="F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6" sqref="F26:I26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2" width="10.5703125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1" t="s">
        <v>81</v>
      </c>
      <c r="G1" s="51"/>
      <c r="H1" s="51"/>
      <c r="I1" s="51"/>
    </row>
    <row r="2" spans="2:14" x14ac:dyDescent="0.25">
      <c r="D2" s="9" t="s">
        <v>66</v>
      </c>
      <c r="F2" s="9" t="s">
        <v>62</v>
      </c>
      <c r="G2" s="9" t="s">
        <v>63</v>
      </c>
      <c r="H2" s="9" t="s">
        <v>106</v>
      </c>
      <c r="I2" s="9" t="s">
        <v>107</v>
      </c>
      <c r="J2" s="9"/>
      <c r="K2" s="9" t="s">
        <v>62</v>
      </c>
      <c r="L2" s="9" t="s">
        <v>63</v>
      </c>
      <c r="M2" s="9" t="s">
        <v>106</v>
      </c>
      <c r="N2" s="9" t="s">
        <v>107</v>
      </c>
    </row>
    <row r="3" spans="2:14" x14ac:dyDescent="0.25">
      <c r="B3" s="6" t="s">
        <v>0</v>
      </c>
    </row>
    <row r="4" spans="2:14" x14ac:dyDescent="0.25">
      <c r="C4" t="s">
        <v>99</v>
      </c>
      <c r="D4" s="1">
        <f>SUMIF(Inputs!$D$4:$H$4, "Y", Outputs_External!D4:'Outputs_External'!H4)</f>
        <v>5000</v>
      </c>
      <c r="E4" s="3"/>
      <c r="F4" s="77">
        <v>0.5</v>
      </c>
      <c r="G4" s="77">
        <v>0.5</v>
      </c>
      <c r="H4" s="52">
        <f>1-SUM(F4:G4)</f>
        <v>0</v>
      </c>
      <c r="I4" s="52"/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100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I5" s="52"/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76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15000</v>
      </c>
      <c r="E8" s="3"/>
      <c r="F8" s="79">
        <v>0.4</v>
      </c>
      <c r="G8" s="79">
        <v>0.6</v>
      </c>
      <c r="H8" s="35">
        <f t="shared" ref="H8:H18" si="1">1-SUM(F8:G8)</f>
        <v>0</v>
      </c>
      <c r="I8" s="35">
        <v>0</v>
      </c>
      <c r="K8" s="16">
        <f>F8*$D8</f>
        <v>6000</v>
      </c>
      <c r="L8" s="16">
        <f>G8*$D8</f>
        <v>9000</v>
      </c>
      <c r="M8" s="16">
        <f t="shared" ref="M8:N18" si="2">H8*$D8</f>
        <v>0</v>
      </c>
      <c r="N8" s="16">
        <f t="shared" si="2"/>
        <v>0</v>
      </c>
    </row>
    <row r="9" spans="2:14" x14ac:dyDescent="0.25">
      <c r="C9" s="15" t="s">
        <v>3</v>
      </c>
      <c r="D9" s="16">
        <f>SUM(Calcs!D10:H10)</f>
        <v>6750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1350</v>
      </c>
      <c r="L9" s="16">
        <f t="shared" ref="L9:L17" si="4">G9*$D9</f>
        <v>5400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32</v>
      </c>
      <c r="D10" s="18">
        <f>SUM(Calcs!D11:H11)</f>
        <v>1000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100</v>
      </c>
      <c r="L10" s="18">
        <f t="shared" si="4"/>
        <v>900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11</v>
      </c>
      <c r="D11" s="18">
        <f>SUM(Calcs!D12:H12)</f>
        <v>4000</v>
      </c>
      <c r="E11" s="3"/>
      <c r="F11" s="78">
        <v>0.45</v>
      </c>
      <c r="G11" s="78">
        <v>0.45</v>
      </c>
      <c r="H11" s="37">
        <v>0</v>
      </c>
      <c r="I11" s="37">
        <v>0.1</v>
      </c>
      <c r="K11" s="18">
        <f t="shared" si="3"/>
        <v>1800</v>
      </c>
      <c r="L11" s="18">
        <f t="shared" si="4"/>
        <v>1800</v>
      </c>
      <c r="M11" s="18">
        <f t="shared" si="2"/>
        <v>0</v>
      </c>
      <c r="N11" s="18">
        <f t="shared" si="2"/>
        <v>400</v>
      </c>
    </row>
    <row r="12" spans="2:14" x14ac:dyDescent="0.25">
      <c r="C12" s="17" t="s">
        <v>33</v>
      </c>
      <c r="D12" s="18">
        <f>SUM(Calcs!D13:H13)</f>
        <v>2000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1800</v>
      </c>
      <c r="L12" s="18">
        <f t="shared" si="4"/>
        <v>200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12</v>
      </c>
      <c r="D13" s="18">
        <f>SUM(Calcs!D14:H14)</f>
        <v>2000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200</v>
      </c>
      <c r="L13" s="18">
        <f t="shared" si="4"/>
        <v>1800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13</v>
      </c>
      <c r="D14" s="18">
        <f>SUM(Calcs!D15:H15)</f>
        <v>6000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600</v>
      </c>
      <c r="L14" s="18">
        <f t="shared" si="4"/>
        <v>600</v>
      </c>
      <c r="M14" s="18">
        <f t="shared" si="2"/>
        <v>4800</v>
      </c>
      <c r="N14" s="18">
        <f t="shared" si="2"/>
        <v>0</v>
      </c>
    </row>
    <row r="15" spans="2:14" x14ac:dyDescent="0.25">
      <c r="C15" s="17" t="s">
        <v>105</v>
      </c>
      <c r="D15" s="18">
        <f>SUM(Calcs!D16:H16)</f>
        <v>4000</v>
      </c>
      <c r="F15" s="78">
        <v>0.6</v>
      </c>
      <c r="G15" s="78">
        <v>0.4</v>
      </c>
      <c r="H15" s="37">
        <f t="shared" si="1"/>
        <v>0</v>
      </c>
      <c r="I15" s="37">
        <v>0</v>
      </c>
      <c r="K15" s="18">
        <f t="shared" si="3"/>
        <v>2400</v>
      </c>
      <c r="L15" s="18">
        <f t="shared" si="4"/>
        <v>1600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14</v>
      </c>
      <c r="D16" s="20">
        <f>SUM(Calcs!D17:H17)</f>
        <v>10000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1000</v>
      </c>
      <c r="L16" s="20">
        <f t="shared" si="4"/>
        <v>9000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15</v>
      </c>
      <c r="D17" s="20">
        <f>SUM(Calcs!D18:H18)</f>
        <v>5000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500</v>
      </c>
      <c r="L17" s="20">
        <f t="shared" si="4"/>
        <v>4500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34</v>
      </c>
      <c r="D18" s="20">
        <f>SUM(Calcs!D19:H19)</f>
        <v>5000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500</v>
      </c>
      <c r="L18" s="20">
        <f>G18*$D18</f>
        <v>4500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  <c r="N19" s="9"/>
    </row>
    <row r="20" spans="2:14" x14ac:dyDescent="0.25">
      <c r="G20" s="49" t="s">
        <v>78</v>
      </c>
      <c r="H20" s="10">
        <v>0.1</v>
      </c>
      <c r="I20" s="10"/>
      <c r="K20" s="9"/>
      <c r="L20" s="9"/>
      <c r="M20" s="9"/>
      <c r="N20" s="9"/>
    </row>
    <row r="21" spans="2:14" x14ac:dyDescent="0.25">
      <c r="F21" s="11"/>
      <c r="G21" s="11"/>
      <c r="H21" s="11"/>
      <c r="I21" s="11"/>
      <c r="K21" s="9"/>
      <c r="L21" s="9"/>
      <c r="M21" s="9"/>
      <c r="N21" s="9"/>
    </row>
    <row r="22" spans="2:14" x14ac:dyDescent="0.25">
      <c r="B22" s="6" t="s">
        <v>77</v>
      </c>
      <c r="F22" s="11"/>
      <c r="G22" s="11"/>
      <c r="H22" s="11"/>
      <c r="I22" s="11"/>
      <c r="K22" s="9"/>
      <c r="L22" s="9"/>
      <c r="M22" s="9"/>
      <c r="N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 t="shared" ref="M23:N33" si="7">H23*$D23</f>
        <v>0</v>
      </c>
      <c r="N23" s="16">
        <f t="shared" si="7"/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8">(1-G24)*F9/SUM(F9,H9)</f>
        <v>9.9999999999999978E-2</v>
      </c>
      <c r="G24" s="36">
        <f t="shared" si="5"/>
        <v>0.9</v>
      </c>
      <c r="H24" s="36">
        <f t="shared" ref="H24:H33" si="9">IF(H9=0, 0,(1-G24)*H9/SUM(F9,H9))</f>
        <v>0</v>
      </c>
      <c r="I24" s="36">
        <f t="shared" ref="I24:I33" si="10">IF(I9=0, 0,(1-G24)*I9/SUM(F9,I9))</f>
        <v>0</v>
      </c>
      <c r="K24" s="29">
        <f t="shared" ref="K24:K33" si="11">F24*$D24</f>
        <v>0</v>
      </c>
      <c r="L24" s="29">
        <f t="shared" si="6"/>
        <v>0</v>
      </c>
      <c r="M24" s="29">
        <f t="shared" si="7"/>
        <v>0</v>
      </c>
      <c r="N24" s="29">
        <f t="shared" si="7"/>
        <v>0</v>
      </c>
    </row>
    <row r="25" spans="2:14" x14ac:dyDescent="0.25">
      <c r="C25" s="17" t="s">
        <v>32</v>
      </c>
      <c r="D25" s="18">
        <f>SUM(Calcs!D24:H24)</f>
        <v>0</v>
      </c>
      <c r="E25" s="3"/>
      <c r="F25" s="37">
        <f t="shared" si="8"/>
        <v>0</v>
      </c>
      <c r="G25" s="37">
        <f t="shared" si="5"/>
        <v>1</v>
      </c>
      <c r="H25" s="37">
        <f t="shared" si="9"/>
        <v>0</v>
      </c>
      <c r="I25" s="37">
        <f t="shared" si="10"/>
        <v>0</v>
      </c>
      <c r="K25" s="18">
        <f t="shared" si="11"/>
        <v>0</v>
      </c>
      <c r="L25" s="18">
        <f t="shared" si="6"/>
        <v>0</v>
      </c>
      <c r="M25" s="18">
        <f t="shared" si="7"/>
        <v>0</v>
      </c>
      <c r="N25" s="18">
        <f t="shared" si="7"/>
        <v>0</v>
      </c>
    </row>
    <row r="26" spans="2:14" x14ac:dyDescent="0.25">
      <c r="C26" s="17" t="s">
        <v>11</v>
      </c>
      <c r="D26" s="18">
        <f>SUM(Calcs!D25:H25)</f>
        <v>0</v>
      </c>
      <c r="E26" s="3"/>
      <c r="F26" s="37">
        <f>(1-G26)*F11/SUM(F11,H11, I11)</f>
        <v>0.36818181818181811</v>
      </c>
      <c r="G26" s="37">
        <f t="shared" si="5"/>
        <v>0.55000000000000004</v>
      </c>
      <c r="H26" s="37">
        <f>IF(H11=0, 0,(1-G26)*H11/SUM(F11,H11))</f>
        <v>0</v>
      </c>
      <c r="I26" s="37">
        <f t="shared" si="10"/>
        <v>8.1818181818181804E-2</v>
      </c>
      <c r="K26" s="18">
        <f t="shared" si="11"/>
        <v>0</v>
      </c>
      <c r="L26" s="18">
        <f t="shared" si="6"/>
        <v>0</v>
      </c>
      <c r="M26" s="18">
        <f t="shared" si="7"/>
        <v>0</v>
      </c>
      <c r="N26" s="18">
        <f t="shared" si="7"/>
        <v>0</v>
      </c>
    </row>
    <row r="27" spans="2:14" x14ac:dyDescent="0.25">
      <c r="C27" s="17" t="s">
        <v>33</v>
      </c>
      <c r="D27" s="18">
        <f>SUM(Calcs!D26:H26)</f>
        <v>0</v>
      </c>
      <c r="F27" s="37">
        <f t="shared" si="8"/>
        <v>0.8</v>
      </c>
      <c r="G27" s="37">
        <f t="shared" si="5"/>
        <v>0.2</v>
      </c>
      <c r="H27" s="37">
        <f t="shared" si="9"/>
        <v>0</v>
      </c>
      <c r="I27" s="37">
        <f t="shared" si="10"/>
        <v>0</v>
      </c>
      <c r="K27" s="18">
        <f t="shared" si="11"/>
        <v>0</v>
      </c>
      <c r="L27" s="18">
        <f t="shared" si="6"/>
        <v>0</v>
      </c>
      <c r="M27" s="18">
        <f t="shared" si="7"/>
        <v>0</v>
      </c>
      <c r="N27" s="18">
        <f t="shared" si="7"/>
        <v>0</v>
      </c>
    </row>
    <row r="28" spans="2:14" x14ac:dyDescent="0.25">
      <c r="C28" s="17" t="s">
        <v>12</v>
      </c>
      <c r="D28" s="18">
        <f>SUM(Calcs!D27:H27)</f>
        <v>0</v>
      </c>
      <c r="F28" s="37">
        <f t="shared" si="8"/>
        <v>0</v>
      </c>
      <c r="G28" s="37">
        <f t="shared" si="5"/>
        <v>1</v>
      </c>
      <c r="H28" s="37">
        <f t="shared" si="9"/>
        <v>0</v>
      </c>
      <c r="I28" s="37">
        <f t="shared" si="10"/>
        <v>0</v>
      </c>
      <c r="K28" s="18">
        <f t="shared" si="11"/>
        <v>0</v>
      </c>
      <c r="L28" s="18">
        <f t="shared" si="6"/>
        <v>0</v>
      </c>
      <c r="M28" s="18">
        <f t="shared" si="7"/>
        <v>0</v>
      </c>
      <c r="N28" s="18">
        <f t="shared" si="7"/>
        <v>0</v>
      </c>
    </row>
    <row r="29" spans="2:14" x14ac:dyDescent="0.25">
      <c r="C29" s="17" t="s">
        <v>13</v>
      </c>
      <c r="D29" s="18">
        <f>SUM(Calcs!D28:H28)</f>
        <v>0</v>
      </c>
      <c r="F29" s="37">
        <f t="shared" si="8"/>
        <v>8.8888888888888906E-2</v>
      </c>
      <c r="G29" s="37">
        <f t="shared" si="5"/>
        <v>0.2</v>
      </c>
      <c r="H29" s="37">
        <f t="shared" si="9"/>
        <v>0.71111111111111125</v>
      </c>
      <c r="I29" s="37">
        <f t="shared" si="10"/>
        <v>0</v>
      </c>
      <c r="K29" s="18">
        <f t="shared" si="11"/>
        <v>0</v>
      </c>
      <c r="L29" s="18">
        <f t="shared" si="6"/>
        <v>0</v>
      </c>
      <c r="M29" s="18">
        <f t="shared" si="7"/>
        <v>0</v>
      </c>
      <c r="N29" s="18">
        <f t="shared" si="7"/>
        <v>0</v>
      </c>
    </row>
    <row r="30" spans="2:14" x14ac:dyDescent="0.25">
      <c r="C30" s="17" t="s">
        <v>105</v>
      </c>
      <c r="D30" s="18">
        <f>SUM(Calcs!D29:H29)</f>
        <v>0</v>
      </c>
      <c r="F30" s="37">
        <f t="shared" si="8"/>
        <v>0.5</v>
      </c>
      <c r="G30" s="37">
        <f t="shared" si="5"/>
        <v>0.5</v>
      </c>
      <c r="H30" s="37">
        <f t="shared" si="9"/>
        <v>0</v>
      </c>
      <c r="I30" s="37">
        <f t="shared" si="10"/>
        <v>0</v>
      </c>
      <c r="K30" s="18">
        <f t="shared" si="11"/>
        <v>0</v>
      </c>
      <c r="L30" s="18">
        <f t="shared" si="6"/>
        <v>0</v>
      </c>
      <c r="M30" s="18">
        <f t="shared" si="7"/>
        <v>0</v>
      </c>
      <c r="N30" s="18">
        <f t="shared" si="7"/>
        <v>0</v>
      </c>
    </row>
    <row r="31" spans="2:14" x14ac:dyDescent="0.25">
      <c r="C31" s="19" t="s">
        <v>14</v>
      </c>
      <c r="D31" s="20">
        <f>SUM(Calcs!D30:H30)</f>
        <v>0</v>
      </c>
      <c r="F31" s="38">
        <f t="shared" si="8"/>
        <v>0</v>
      </c>
      <c r="G31" s="38">
        <f t="shared" si="5"/>
        <v>1</v>
      </c>
      <c r="H31" s="38">
        <f t="shared" si="9"/>
        <v>0</v>
      </c>
      <c r="I31" s="38">
        <f t="shared" si="10"/>
        <v>0</v>
      </c>
      <c r="K31" s="20">
        <f t="shared" si="11"/>
        <v>0</v>
      </c>
      <c r="L31" s="20">
        <f t="shared" si="6"/>
        <v>0</v>
      </c>
      <c r="M31" s="20">
        <f t="shared" si="7"/>
        <v>0</v>
      </c>
      <c r="N31" s="20">
        <f t="shared" si="7"/>
        <v>0</v>
      </c>
    </row>
    <row r="32" spans="2:14" x14ac:dyDescent="0.25">
      <c r="C32" s="19" t="s">
        <v>15</v>
      </c>
      <c r="D32" s="20">
        <f>SUM(Calcs!D31:H31)</f>
        <v>0</v>
      </c>
      <c r="F32" s="38">
        <f t="shared" si="8"/>
        <v>0</v>
      </c>
      <c r="G32" s="38">
        <f t="shared" si="5"/>
        <v>1</v>
      </c>
      <c r="H32" s="38">
        <f t="shared" si="9"/>
        <v>0</v>
      </c>
      <c r="I32" s="38">
        <f t="shared" si="10"/>
        <v>0</v>
      </c>
      <c r="K32" s="20">
        <f t="shared" si="11"/>
        <v>0</v>
      </c>
      <c r="L32" s="20">
        <f t="shared" si="6"/>
        <v>0</v>
      </c>
      <c r="M32" s="20">
        <f t="shared" si="7"/>
        <v>0</v>
      </c>
      <c r="N32" s="20">
        <f t="shared" si="7"/>
        <v>0</v>
      </c>
    </row>
    <row r="33" spans="2:14" x14ac:dyDescent="0.25">
      <c r="C33" s="28" t="s">
        <v>34</v>
      </c>
      <c r="D33" s="29">
        <f>SUM(Calcs!D32:H32)</f>
        <v>0</v>
      </c>
      <c r="F33" s="36">
        <f t="shared" si="8"/>
        <v>0</v>
      </c>
      <c r="G33" s="36">
        <f t="shared" si="5"/>
        <v>1</v>
      </c>
      <c r="H33" s="36">
        <f t="shared" si="9"/>
        <v>0</v>
      </c>
      <c r="I33" s="36">
        <f t="shared" si="10"/>
        <v>0</v>
      </c>
      <c r="K33" s="29">
        <f t="shared" si="11"/>
        <v>0</v>
      </c>
      <c r="L33" s="29">
        <f t="shared" si="6"/>
        <v>0</v>
      </c>
      <c r="M33" s="29">
        <f t="shared" si="7"/>
        <v>0</v>
      </c>
      <c r="N33" s="29">
        <f t="shared" si="7"/>
        <v>0</v>
      </c>
    </row>
    <row r="34" spans="2:14" x14ac:dyDescent="0.25">
      <c r="F34" s="11"/>
      <c r="G34" s="11"/>
      <c r="H34" s="11"/>
      <c r="I34" s="11"/>
      <c r="K34" s="9"/>
      <c r="L34" s="9"/>
      <c r="M34" s="9"/>
      <c r="N34" s="9"/>
    </row>
    <row r="35" spans="2:14" x14ac:dyDescent="0.25">
      <c r="B35" s="6" t="s">
        <v>69</v>
      </c>
      <c r="F35" s="11"/>
      <c r="G35" s="11"/>
      <c r="H35" s="11"/>
      <c r="I35" s="11"/>
      <c r="K35" s="9"/>
      <c r="L35" s="9"/>
      <c r="M35" s="9"/>
      <c r="N35" s="9"/>
    </row>
    <row r="36" spans="2:14" x14ac:dyDescent="0.25">
      <c r="C36" s="17" t="s">
        <v>17</v>
      </c>
      <c r="D36" s="18">
        <f>SUM(Calcs!D73:H73)</f>
        <v>8500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7650</v>
      </c>
      <c r="L36" s="18">
        <f t="shared" si="12"/>
        <v>850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18</v>
      </c>
      <c r="D37" s="18">
        <f>SUM(Calcs!D74:H74)</f>
        <v>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0</v>
      </c>
      <c r="L37" s="18">
        <f t="shared" si="12"/>
        <v>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19</v>
      </c>
      <c r="D38" s="20">
        <f>SUM(Calcs!D75:H75)</f>
        <v>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0</v>
      </c>
      <c r="L38" s="20">
        <f t="shared" si="12"/>
        <v>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20</v>
      </c>
      <c r="D39" s="20">
        <f>SUM(Calcs!D76:H76)</f>
        <v>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  <c r="N40" s="9"/>
    </row>
    <row r="41" spans="2:14" x14ac:dyDescent="0.25">
      <c r="B41" s="6" t="s">
        <v>79</v>
      </c>
      <c r="F41" s="11"/>
      <c r="G41" s="11"/>
      <c r="H41" s="11"/>
      <c r="I41" s="11"/>
      <c r="K41" s="9"/>
      <c r="L41" s="9"/>
      <c r="M41" s="9"/>
      <c r="N41" s="9"/>
    </row>
    <row r="42" spans="2:14" x14ac:dyDescent="0.25">
      <c r="C42" s="28" t="s">
        <v>17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 t="shared" ref="M42:N45" si="15">H42*$D42</f>
        <v>0</v>
      </c>
      <c r="N42" s="29">
        <f t="shared" si="15"/>
        <v>0</v>
      </c>
    </row>
    <row r="43" spans="2:14" x14ac:dyDescent="0.25">
      <c r="C43" s="17" t="s">
        <v>18</v>
      </c>
      <c r="D43" s="18">
        <f>SUM(Calcs!D80:H80)</f>
        <v>0</v>
      </c>
      <c r="F43" s="30">
        <f>IFERROR((1-G43)*F37/SUM(F37,H37),0)</f>
        <v>0.8</v>
      </c>
      <c r="G43" s="30">
        <f t="shared" ref="G43:G45" si="16"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si="15"/>
        <v>0</v>
      </c>
      <c r="N43" s="18">
        <f t="shared" si="15"/>
        <v>0</v>
      </c>
    </row>
    <row r="44" spans="2:14" x14ac:dyDescent="0.25">
      <c r="C44" s="19" t="s">
        <v>19</v>
      </c>
      <c r="D44" s="20">
        <f>SUM(Calcs!D81:H81)</f>
        <v>0</v>
      </c>
      <c r="F44" s="31">
        <f>IFERROR((1-G44)*F38/SUM(F38,H38),0)</f>
        <v>0</v>
      </c>
      <c r="G44" s="31">
        <f t="shared" si="16"/>
        <v>1</v>
      </c>
      <c r="H44" s="31">
        <f>IFERROR((1-G44)*H38/SUM(F38,H38),0)</f>
        <v>0</v>
      </c>
      <c r="I44" s="31">
        <v>0</v>
      </c>
      <c r="K44" s="20">
        <f t="shared" ref="K44:K45" si="17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20</v>
      </c>
      <c r="D45" s="20">
        <f>SUM(Calcs!D82:H82)</f>
        <v>0</v>
      </c>
      <c r="F45" s="31">
        <f>IFERROR((1-G45)*F39/SUM(F39,H39),0)</f>
        <v>0</v>
      </c>
      <c r="G45" s="31">
        <f t="shared" si="16"/>
        <v>1</v>
      </c>
      <c r="H45" s="31">
        <f>IFERROR((1-G45)*H39/SUM(F39,H39),0)</f>
        <v>0</v>
      </c>
      <c r="I45" s="31">
        <v>0</v>
      </c>
      <c r="K45" s="20">
        <f t="shared" si="17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59</v>
      </c>
      <c r="K47" s="9"/>
      <c r="L47" s="9"/>
      <c r="M47" s="9"/>
    </row>
    <row r="48" spans="2:14" x14ac:dyDescent="0.25">
      <c r="C48" t="s">
        <v>60</v>
      </c>
      <c r="D48" s="1">
        <f>SUM(Outputs_External!D26:'Outputs_External'!H26)</f>
        <v>0</v>
      </c>
      <c r="F48" s="8">
        <f>IFERROR(SUM(K59:K62)/SUM($K$59:$M$62), 0)</f>
        <v>0.9</v>
      </c>
      <c r="G48" s="8">
        <f>IFERROR(SUM(L59:L62)/SUM($K$59:$M$62), 0)</f>
        <v>0.1</v>
      </c>
      <c r="H48" s="8">
        <f>IFERROR(SUM(M59:M62)/SUM($K$59:$M$62), 0)</f>
        <v>0</v>
      </c>
      <c r="I48" s="8">
        <f>IFERROR(SUM(N59:N62)/SUM($K$59:$M$62), 0)</f>
        <v>0</v>
      </c>
      <c r="K48" s="12">
        <f>F48*$D$48</f>
        <v>0</v>
      </c>
      <c r="L48" s="12">
        <f>G48*$D$48</f>
        <v>0</v>
      </c>
      <c r="M48" s="12">
        <f>H48*$D$48</f>
        <v>0</v>
      </c>
      <c r="N48" s="12">
        <f>I48*$D$48</f>
        <v>0</v>
      </c>
    </row>
    <row r="49" spans="2:14" x14ac:dyDescent="0.25">
      <c r="C49" t="s">
        <v>53</v>
      </c>
      <c r="D49" s="1">
        <f>SUM(Outputs_External!D27:'Outputs_External'!H27)</f>
        <v>0</v>
      </c>
      <c r="F49" s="3">
        <f>IFERROR(SUM(K8:K48)/SUM($K8:$N48), 0)</f>
        <v>0.34512635379061374</v>
      </c>
      <c r="G49" s="3">
        <f>IFERROR(SUM(L8:L48)/SUM($K8:$N48), 0)</f>
        <v>0.57978339350180508</v>
      </c>
      <c r="H49" s="3">
        <f>IFERROR(SUM(M8:M48)/SUM($K8:$N48), 0)</f>
        <v>6.9314079422382671E-2</v>
      </c>
      <c r="I49" s="3">
        <f>1-F49-G49-H49</f>
        <v>5.7761732851985131E-3</v>
      </c>
      <c r="K49" s="12">
        <f>F49*$D$49</f>
        <v>0</v>
      </c>
      <c r="L49" s="12">
        <f>G49*$D$49</f>
        <v>0</v>
      </c>
      <c r="M49" s="12">
        <f>H49*$D$49</f>
        <v>0</v>
      </c>
      <c r="N49" s="12">
        <f>I49*$D$49</f>
        <v>0</v>
      </c>
    </row>
    <row r="50" spans="2:14" x14ac:dyDescent="0.25">
      <c r="C50" t="s">
        <v>103</v>
      </c>
      <c r="D50" s="1">
        <f>SUM(Outputs_External!D28:H28)</f>
        <v>0</v>
      </c>
      <c r="F50" s="3">
        <f>IFERROR(SUM(K8:K48)/SUM($K$8:$N48), 0)</f>
        <v>0.34512635379061374</v>
      </c>
      <c r="G50" s="3">
        <f>IFERROR(SUM(L8:L48)/SUM($K$8:$N48), 0)</f>
        <v>0.57978339350180508</v>
      </c>
      <c r="H50" s="3">
        <f>IFERROR(SUM(M8:M48)/SUM($K$8:$N48), 0)</f>
        <v>6.9314079422382671E-2</v>
      </c>
      <c r="I50" s="3">
        <f>1-F50-G50-H50</f>
        <v>5.7761732851985131E-3</v>
      </c>
      <c r="K50" s="80">
        <f>F50*$D$50</f>
        <v>0</v>
      </c>
      <c r="L50" s="80">
        <f>G50*$D$50</f>
        <v>0</v>
      </c>
      <c r="M50" s="12">
        <f>H50*$D$50</f>
        <v>0</v>
      </c>
      <c r="N50" s="12">
        <f>I50*$D$50</f>
        <v>0</v>
      </c>
    </row>
    <row r="51" spans="2:14" x14ac:dyDescent="0.25">
      <c r="K51" s="9"/>
      <c r="L51" s="9"/>
      <c r="M51" s="9"/>
    </row>
    <row r="52" spans="2:14" x14ac:dyDescent="0.25">
      <c r="B52" s="6" t="s">
        <v>61</v>
      </c>
      <c r="D52" s="1">
        <f>SUM(Outputs_External!D30:'Outputs_External'!H30)</f>
        <v>69250</v>
      </c>
      <c r="K52" s="12">
        <f>SUM(K48:K50, K36:K39, K8:K18,K23:K33,K42:K45)</f>
        <v>23900</v>
      </c>
      <c r="L52" s="12">
        <f>SUM(L48:L50, L36:L39, L8:L18,L23:L33,L42:L45)</f>
        <v>40150</v>
      </c>
      <c r="M52" s="12">
        <f>SUM(M48:M50, M36:M39, M8:M18,M23:M33,M42:M45)</f>
        <v>4800</v>
      </c>
      <c r="N52" s="12">
        <f>SUM(N48:N50, N36:N39, N8:N18,N23:N33,N42:N45)</f>
        <v>400</v>
      </c>
    </row>
    <row r="53" spans="2:14" x14ac:dyDescent="0.25">
      <c r="C53" s="21" t="s">
        <v>80</v>
      </c>
      <c r="D53" s="23">
        <f>SUM(K52:N52)</f>
        <v>69250</v>
      </c>
      <c r="K53" s="12"/>
      <c r="L53" s="12"/>
      <c r="M53" s="12"/>
    </row>
    <row r="54" spans="2:14" x14ac:dyDescent="0.25">
      <c r="K54" s="9"/>
      <c r="L54" s="9"/>
      <c r="M54" s="9"/>
    </row>
    <row r="55" spans="2:14" x14ac:dyDescent="0.25">
      <c r="B55" s="6" t="s">
        <v>94</v>
      </c>
      <c r="D55" s="1">
        <f>SUM(Outputs_Timeline!S:S)</f>
        <v>212750</v>
      </c>
      <c r="K55" s="12">
        <f>SUM(Outputs_Timeline!T:T)</f>
        <v>74200</v>
      </c>
      <c r="L55" s="12">
        <f>SUM(Outputs_Timeline!U:U)</f>
        <v>122950</v>
      </c>
      <c r="M55" s="12">
        <f>SUM(Outputs_Timeline!V:V)</f>
        <v>14400</v>
      </c>
      <c r="N55" s="12">
        <f>SUM(Outputs_Timeline!W:W)</f>
        <v>1200</v>
      </c>
    </row>
    <row r="56" spans="2:14" x14ac:dyDescent="0.25">
      <c r="D56" s="1"/>
      <c r="K56" s="54">
        <f>IFERROR(K55/$D$55, 0)</f>
        <v>0.34876615746180961</v>
      </c>
      <c r="L56" s="54">
        <f>IFERROR(L55/$D$55, 0)</f>
        <v>0.57790834312573447</v>
      </c>
      <c r="M56" s="54">
        <f>IFERROR(M55/$D$55, 0)</f>
        <v>6.7685076380728557E-2</v>
      </c>
      <c r="N56" s="54">
        <f>IFERROR(N55/$D$55, 0)</f>
        <v>5.6404230317273797E-3</v>
      </c>
    </row>
    <row r="58" spans="2:14" x14ac:dyDescent="0.25">
      <c r="K58" s="9"/>
      <c r="L58" s="9"/>
      <c r="M58" s="9"/>
    </row>
    <row r="59" spans="2:14" x14ac:dyDescent="0.25">
      <c r="B59" s="27" t="s">
        <v>75</v>
      </c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</row>
    <row r="60" spans="2:14" x14ac:dyDescent="0.25">
      <c r="B60" s="27"/>
      <c r="C60" s="21" t="s">
        <v>17</v>
      </c>
      <c r="D60" s="23">
        <f>SUM(Calcs!D61:H61)+SUM(Calcs!D67:H67)</f>
        <v>8500</v>
      </c>
      <c r="E60" s="21"/>
      <c r="F60" s="24">
        <f>F37</f>
        <v>0.9</v>
      </c>
      <c r="G60" s="24">
        <f>G37</f>
        <v>0.1</v>
      </c>
      <c r="H60" s="24">
        <f>H37</f>
        <v>0</v>
      </c>
      <c r="I60" s="24">
        <f>I37</f>
        <v>0</v>
      </c>
      <c r="J60" s="21"/>
      <c r="K60" s="25">
        <f t="shared" ref="K60:N63" si="18">F60*$D60</f>
        <v>7650</v>
      </c>
      <c r="L60" s="25">
        <f t="shared" si="18"/>
        <v>850</v>
      </c>
      <c r="M60" s="25">
        <f t="shared" si="18"/>
        <v>0</v>
      </c>
      <c r="N60" s="25">
        <f t="shared" si="18"/>
        <v>0</v>
      </c>
    </row>
    <row r="61" spans="2:14" x14ac:dyDescent="0.25">
      <c r="B61" s="27"/>
      <c r="C61" s="21" t="s">
        <v>18</v>
      </c>
      <c r="D61" s="23">
        <f>SUM(Calcs!D62:H62)+SUM(Calcs!D68:H68)</f>
        <v>0</v>
      </c>
      <c r="E61" s="21"/>
      <c r="F61" s="24">
        <f>IFERROR(SUM(K$37,K$10:K$15,K$43,K$25:K$30)/SUM($K$37:$M$37,$K$10:$M$15,$K$43:$M$43,$K$25:$M$30),0)</f>
        <v>0.37096774193548387</v>
      </c>
      <c r="G61" s="24">
        <f t="shared" ref="G61" si="19">IFERROR(SUM(L$37,L$10:L$15,L$43,L$25:L$30)/SUM($K$37:$M$37,$K$10:$M$15,$K$43:$M$43,$K$25:$M$30),0)</f>
        <v>0.37096774193548387</v>
      </c>
      <c r="H61" s="24">
        <f>IFERROR(SUM(M$37,M$10:M$15,M$43,M$25:M$30)/SUM($K$37:$N$37,$K$10:$N$15,$K$43:$N$43,$K$25:$N$30),0)</f>
        <v>0.25263157894736843</v>
      </c>
      <c r="I61" s="24">
        <f>IFERROR(SUM(N$37,N$10:N$15,N$43,N$25:N$30)/SUM($K$37:$N$37,$K$10:$N$15,$K$43:$N$43,$K$25:$N$30),0)</f>
        <v>2.1052631578947368E-2</v>
      </c>
      <c r="J61" s="21"/>
      <c r="K61" s="25">
        <f t="shared" si="18"/>
        <v>0</v>
      </c>
      <c r="L61" s="25">
        <f t="shared" si="18"/>
        <v>0</v>
      </c>
      <c r="M61" s="25">
        <f t="shared" si="18"/>
        <v>0</v>
      </c>
      <c r="N61" s="25">
        <f t="shared" si="18"/>
        <v>0</v>
      </c>
    </row>
    <row r="62" spans="2:14" x14ac:dyDescent="0.25">
      <c r="B62" s="27"/>
      <c r="C62" s="21" t="s">
        <v>19</v>
      </c>
      <c r="D62" s="23">
        <f>SUM(Calcs!D63:H63)+SUM(Calcs!D69:H69)</f>
        <v>0</v>
      </c>
      <c r="E62" s="21"/>
      <c r="F62" s="24">
        <f>IFERROR(SUM(K39,K17:K19,K45,K32:K34)/SUM($K$38:$M$38,$K$16:$M$18,$K$44:$M$44,$K$31:$M$33),0)</f>
        <v>0.05</v>
      </c>
      <c r="G62" s="24">
        <f>IFERROR(SUM(L39,L17:L19,L45,L32:L34)/SUM($K$38:$M$38,$K$16:$M$18,$K$44:$M$44,$K$31:$M$33),0)</f>
        <v>0.45</v>
      </c>
      <c r="H62" s="24">
        <f>IFERROR(SUM(M39,M17:M19,M45,M32:M34)/SUM($K$38:$N$38,$K$16:$N$18,$K$44:$N$44,$K$31:$N$33),0)</f>
        <v>0</v>
      </c>
      <c r="I62" s="24">
        <f>IFERROR(SUM(N39,N17:N19,N45,N32:N34)/SUM($K$38:$N$38,$K$16:$N$18,$K$44:$N$44,$K$31:$N$33),0)</f>
        <v>0</v>
      </c>
      <c r="J62" s="21"/>
      <c r="K62" s="25">
        <f t="shared" si="18"/>
        <v>0</v>
      </c>
      <c r="L62" s="25">
        <f t="shared" si="18"/>
        <v>0</v>
      </c>
      <c r="M62" s="25">
        <f t="shared" si="18"/>
        <v>0</v>
      </c>
      <c r="N62" s="25">
        <f t="shared" si="18"/>
        <v>0</v>
      </c>
    </row>
    <row r="63" spans="2:14" x14ac:dyDescent="0.25">
      <c r="B63" s="27"/>
      <c r="C63" s="21" t="s">
        <v>20</v>
      </c>
      <c r="D63" s="23">
        <f>SUM(Calcs!D64:H64)+SUM(Calcs!D70:H70)</f>
        <v>0</v>
      </c>
      <c r="E63" s="21"/>
      <c r="F63" s="24">
        <f>F40</f>
        <v>0</v>
      </c>
      <c r="G63" s="24">
        <f>G40</f>
        <v>0</v>
      </c>
      <c r="H63" s="24">
        <f>H40</f>
        <v>0</v>
      </c>
      <c r="I63" s="24">
        <f>I40</f>
        <v>0</v>
      </c>
      <c r="J63" s="21"/>
      <c r="K63" s="25">
        <f t="shared" si="18"/>
        <v>0</v>
      </c>
      <c r="L63" s="25">
        <f t="shared" si="18"/>
        <v>0</v>
      </c>
      <c r="M63" s="25">
        <f t="shared" si="18"/>
        <v>0</v>
      </c>
      <c r="N63" s="25">
        <f t="shared" si="18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C56" sqref="C56"/>
    </sheetView>
  </sheetViews>
  <sheetFormatPr defaultRowHeight="15" x14ac:dyDescent="0.25"/>
  <cols>
    <col min="1" max="1" width="3.5703125" customWidth="1"/>
    <col min="2" max="2" width="10.140625" style="62" bestFit="1" customWidth="1"/>
    <col min="3" max="3" width="4.42578125" style="62" customWidth="1"/>
    <col min="4" max="4" width="12.42578125" style="62" bestFit="1" customWidth="1"/>
    <col min="5" max="5" width="12.42578125" style="62" customWidth="1"/>
    <col min="6" max="6" width="13.5703125" style="62" bestFit="1" customWidth="1"/>
    <col min="7" max="7" width="4.5703125" style="62" customWidth="1"/>
    <col min="8" max="11" width="8.7109375" style="65"/>
    <col min="12" max="12" width="5.42578125" customWidth="1"/>
    <col min="13" max="13" width="10.42578125" style="65" bestFit="1" customWidth="1"/>
    <col min="14" max="15" width="8.7109375" style="65"/>
    <col min="16" max="16" width="11.85546875" style="65" bestFit="1" customWidth="1"/>
    <col min="17" max="17" width="14.85546875" style="65" bestFit="1" customWidth="1"/>
    <col min="18" max="18" width="3.5703125" customWidth="1"/>
    <col min="22" max="22" width="11.85546875" bestFit="1" customWidth="1"/>
    <col min="23" max="23" width="14.85546875" bestFit="1" customWidth="1"/>
  </cols>
  <sheetData>
    <row r="1" spans="2:23" x14ac:dyDescent="0.25">
      <c r="F1" s="67">
        <f>COUNTIF(F3:F94,"&gt;0")</f>
        <v>36</v>
      </c>
      <c r="H1" s="63" t="s">
        <v>86</v>
      </c>
      <c r="I1" s="63"/>
      <c r="J1" s="63"/>
      <c r="K1" s="63"/>
      <c r="M1" s="63" t="s">
        <v>91</v>
      </c>
      <c r="N1" s="63"/>
      <c r="O1" s="63"/>
      <c r="P1" s="63"/>
      <c r="Q1" s="63"/>
      <c r="S1" s="63" t="s">
        <v>93</v>
      </c>
      <c r="T1" s="63"/>
      <c r="U1" s="63"/>
      <c r="V1" s="63"/>
      <c r="W1" s="63"/>
    </row>
    <row r="2" spans="2:23" x14ac:dyDescent="0.25">
      <c r="B2" s="61" t="s">
        <v>85</v>
      </c>
      <c r="C2" s="61"/>
      <c r="D2" s="61" t="s">
        <v>90</v>
      </c>
      <c r="E2" s="61" t="s">
        <v>95</v>
      </c>
      <c r="F2" s="61" t="s">
        <v>92</v>
      </c>
      <c r="G2" s="61"/>
      <c r="H2" s="64" t="s">
        <v>87</v>
      </c>
      <c r="I2" s="64" t="s">
        <v>88</v>
      </c>
      <c r="J2" s="64" t="s">
        <v>63</v>
      </c>
      <c r="K2" s="64" t="s">
        <v>89</v>
      </c>
      <c r="M2" s="64" t="s">
        <v>87</v>
      </c>
      <c r="N2" s="64" t="s">
        <v>88</v>
      </c>
      <c r="O2" s="64" t="s">
        <v>63</v>
      </c>
      <c r="P2" s="64" t="s">
        <v>106</v>
      </c>
      <c r="Q2" s="64" t="s">
        <v>107</v>
      </c>
      <c r="S2" s="64" t="s">
        <v>87</v>
      </c>
      <c r="T2" s="64" t="s">
        <v>88</v>
      </c>
      <c r="U2" s="64" t="s">
        <v>63</v>
      </c>
      <c r="V2" s="64" t="s">
        <v>106</v>
      </c>
      <c r="W2" s="64" t="s">
        <v>107</v>
      </c>
    </row>
    <row r="3" spans="2:23" x14ac:dyDescent="0.25">
      <c r="B3" s="62">
        <v>42917</v>
      </c>
      <c r="D3" s="66">
        <f>1</f>
        <v>1</v>
      </c>
      <c r="E3" s="66">
        <f>IF(B3=Inputs!$C$1,D3,1)</f>
        <v>1</v>
      </c>
      <c r="F3" s="66">
        <f>IF(AND(B3&gt;=Inputs!$C$1,B3&lt;EDATE(Inputs!$C$1,Inputs!$C$2)),E3,0)</f>
        <v>0</v>
      </c>
      <c r="H3" s="65">
        <f>IF($B3=Inputs!$C$1,SUM(Outputs_Internal!$D$4, Outputs_Internal!$D$5),0)*$D3</f>
        <v>0</v>
      </c>
      <c r="I3" s="65">
        <f>IF($B3=Inputs!$C$1,SUM(Outputs_Internal!K$4, Outputs_Internal!K$5),0)*$D3</f>
        <v>0</v>
      </c>
      <c r="J3" s="65">
        <f>IF($B3=Inputs!$C$1,SUM(Outputs_Internal!L$4, Outputs_Internal!L$5),0)*$D3</f>
        <v>0</v>
      </c>
      <c r="K3" s="65">
        <f>IF($B3=Inputs!$C$1,SUM(Outputs_Internal!M$4, Outputs_Internal!$M$5),0)*$D3</f>
        <v>0</v>
      </c>
      <c r="M3" s="65">
        <f>$F3*Outputs_Internal!$D$52/12</f>
        <v>0</v>
      </c>
      <c r="N3" s="65">
        <f>$F3*Outputs_Internal!K$52/12</f>
        <v>0</v>
      </c>
      <c r="O3" s="65">
        <f>$F3*Outputs_Internal!L$52/12</f>
        <v>0</v>
      </c>
      <c r="P3" s="65">
        <f>$F3*Outputs_Internal!M$52/12</f>
        <v>0</v>
      </c>
      <c r="Q3" s="65">
        <f>$F3*Outputs_Internal!N$52/12</f>
        <v>0</v>
      </c>
      <c r="S3" s="65"/>
      <c r="T3" s="65"/>
      <c r="U3" s="65"/>
      <c r="V3" s="65"/>
      <c r="W3" s="65"/>
    </row>
    <row r="4" spans="2:23" x14ac:dyDescent="0.25">
      <c r="B4" s="62">
        <f>EDATE(B3,1)</f>
        <v>42948</v>
      </c>
      <c r="D4" s="66">
        <f>D3*IF(AND(MONTH(B4)=1,YEAR(B4)&gt;=YEAR(Prices!$I$15)),1+Prices!$I$14,1)</f>
        <v>1</v>
      </c>
      <c r="E4" s="66">
        <f>IF(B4=Inputs!$C$1,D4,E3)</f>
        <v>1</v>
      </c>
      <c r="F4" s="66">
        <f>IF(AND(B4&gt;=Inputs!$C$1,B4&lt;EDATE(Inputs!$C$1,Inputs!$C$2)),E4,0)</f>
        <v>0</v>
      </c>
      <c r="H4" s="65">
        <f>IF($B4=Inputs!$C$1,SUM(Outputs_Internal!$D$4, Outputs_Internal!$D$5),0)*$D4</f>
        <v>0</v>
      </c>
      <c r="I4" s="65">
        <f>IF($B4=Inputs!$C$1,SUM(Outputs_Internal!K$4, Outputs_Internal!K$5),0)*$D4</f>
        <v>0</v>
      </c>
      <c r="J4" s="65">
        <f>IF($B4=Inputs!$C$1,SUM(Outputs_Internal!L$4, Outputs_Internal!L$5),0)*$D4</f>
        <v>0</v>
      </c>
      <c r="K4" s="65">
        <f>IF($B4=Inputs!$C$1,SUM(Outputs_Internal!M$4, Outputs_Internal!$M$5),0)*$D4</f>
        <v>0</v>
      </c>
      <c r="M4" s="65">
        <f>$F4*Outputs_Internal!$D$52/12</f>
        <v>0</v>
      </c>
      <c r="N4" s="65">
        <f>$F4*Outputs_Internal!K$52/12</f>
        <v>0</v>
      </c>
      <c r="O4" s="65">
        <f>$F4*Outputs_Internal!L$52/12</f>
        <v>0</v>
      </c>
      <c r="P4" s="65">
        <f>$F4*Outputs_Internal!M$52/12</f>
        <v>0</v>
      </c>
      <c r="Q4" s="65">
        <f>$F4*Outputs_Internal!N$52/12</f>
        <v>0</v>
      </c>
    </row>
    <row r="5" spans="2:23" x14ac:dyDescent="0.25">
      <c r="B5" s="62">
        <f t="shared" ref="B5:B68" si="0">EDATE(B4,1)</f>
        <v>42979</v>
      </c>
      <c r="D5" s="66">
        <f>D4*IF(AND(MONTH(B5)=1,YEAR(B5)&gt;=YEAR(Prices!$I$15)),1+Prices!$I$14,1)</f>
        <v>1</v>
      </c>
      <c r="E5" s="66">
        <f>IF(B5=Inputs!$C$1,D5,E4)</f>
        <v>1</v>
      </c>
      <c r="F5" s="66">
        <f>IF(AND(B5&gt;=Inputs!$C$1,B5&lt;EDATE(Inputs!$C$1,Inputs!$C$2)),E5,0)</f>
        <v>0</v>
      </c>
      <c r="H5" s="65">
        <f>IF($B5=Inputs!$C$1,SUM(Outputs_Internal!$D$4, Outputs_Internal!$D$5),0)*$D5</f>
        <v>0</v>
      </c>
      <c r="I5" s="65">
        <f>IF($B5=Inputs!$C$1,SUM(Outputs_Internal!K$4, Outputs_Internal!K$5),0)*$D5</f>
        <v>0</v>
      </c>
      <c r="J5" s="65">
        <f>IF($B5=Inputs!$C$1,SUM(Outputs_Internal!L$4, Outputs_Internal!L$5),0)*$D5</f>
        <v>0</v>
      </c>
      <c r="K5" s="65">
        <f>IF($B5=Inputs!$C$1,SUM(Outputs_Internal!M$4, Outputs_Internal!$M$5),0)*$D5</f>
        <v>0</v>
      </c>
      <c r="M5" s="65">
        <f>$F5*Outputs_Internal!$D$52/12</f>
        <v>0</v>
      </c>
      <c r="N5" s="65">
        <f>$F5*Outputs_Internal!K$52/12</f>
        <v>0</v>
      </c>
      <c r="O5" s="65">
        <f>$F5*Outputs_Internal!L$52/12</f>
        <v>0</v>
      </c>
      <c r="P5" s="65">
        <f>$F5*Outputs_Internal!M$52/12</f>
        <v>0</v>
      </c>
      <c r="Q5" s="65">
        <f>$F5*Outputs_Internal!N$52/12</f>
        <v>0</v>
      </c>
      <c r="S5" s="65">
        <f>IF(MOD(MONTH($B5),3)=0,SUM(H3:H5,M3:M5),0)</f>
        <v>0</v>
      </c>
      <c r="T5" s="65">
        <f t="shared" ref="T5:U5" si="1">IF(MOD(MONTH($B5),3)=0,SUM(I3:I5,N3:N5),0)</f>
        <v>0</v>
      </c>
      <c r="U5" s="65">
        <f t="shared" si="1"/>
        <v>0</v>
      </c>
      <c r="V5" s="65">
        <f>IF(MOD(MONTH($B5),3)=0,SUM(K3:K5,P3:P5),0)</f>
        <v>0</v>
      </c>
      <c r="W5" s="65">
        <f>IF(MOD(MONTH($B5),3)=0,SUM(L3:L5,Q3:Q5),0)</f>
        <v>0</v>
      </c>
    </row>
    <row r="6" spans="2:23" x14ac:dyDescent="0.25">
      <c r="B6" s="62">
        <f t="shared" si="0"/>
        <v>43009</v>
      </c>
      <c r="D6" s="66">
        <f>D5*IF(AND(MONTH(B6)=1,YEAR(B6)&gt;=YEAR(Prices!$I$15)),1+Prices!$I$14,1)</f>
        <v>1</v>
      </c>
      <c r="E6" s="66">
        <f>IF(B6=Inputs!$C$1,D6,E5)</f>
        <v>1</v>
      </c>
      <c r="F6" s="66">
        <f>IF(AND(B6&gt;=Inputs!$C$1,B6&lt;EDATE(Inputs!$C$1,Inputs!$C$2)),E6,0)</f>
        <v>0</v>
      </c>
      <c r="H6" s="65">
        <f>IF($B6=Inputs!$C$1,SUM(Outputs_Internal!$D$4, Outputs_Internal!$D$5),0)*$D6</f>
        <v>0</v>
      </c>
      <c r="I6" s="65">
        <f>IF($B6=Inputs!$C$1,SUM(Outputs_Internal!K$4, Outputs_Internal!K$5),0)*$D6</f>
        <v>0</v>
      </c>
      <c r="J6" s="65">
        <f>IF($B6=Inputs!$C$1,SUM(Outputs_Internal!L$4, Outputs_Internal!L$5),0)*$D6</f>
        <v>0</v>
      </c>
      <c r="K6" s="65">
        <f>IF($B6=Inputs!$C$1,SUM(Outputs_Internal!M$4, Outputs_Internal!$M$5),0)*$D6</f>
        <v>0</v>
      </c>
      <c r="M6" s="65">
        <f>$F6*Outputs_Internal!$D$52/12</f>
        <v>0</v>
      </c>
      <c r="N6" s="65">
        <f>$F6*Outputs_Internal!K$52/12</f>
        <v>0</v>
      </c>
      <c r="O6" s="65">
        <f>$F6*Outputs_Internal!L$52/12</f>
        <v>0</v>
      </c>
      <c r="P6" s="65">
        <f>$F6*Outputs_Internal!M$52/12</f>
        <v>0</v>
      </c>
      <c r="Q6" s="65">
        <f>$F6*Outputs_Internal!N$52/12</f>
        <v>0</v>
      </c>
      <c r="S6" s="65">
        <f t="shared" ref="S6:S69" si="2">IF(MOD(MONTH($B6),3)=0,SUM(H4:H6,M4:M6),0)</f>
        <v>0</v>
      </c>
      <c r="T6" s="65">
        <f t="shared" ref="T6:T69" si="3">IF(MOD(MONTH($B6),3)=0,SUM(I4:I6,N4:N6),0)</f>
        <v>0</v>
      </c>
      <c r="U6" s="65">
        <f t="shared" ref="U6:W69" si="4">IF(MOD(MONTH($B6),3)=0,SUM(J4:J6,O4:O6),0)</f>
        <v>0</v>
      </c>
      <c r="V6" s="65">
        <f t="shared" si="4"/>
        <v>0</v>
      </c>
      <c r="W6" s="65">
        <f t="shared" si="4"/>
        <v>0</v>
      </c>
    </row>
    <row r="7" spans="2:23" x14ac:dyDescent="0.25">
      <c r="B7" s="62">
        <f t="shared" si="0"/>
        <v>43040</v>
      </c>
      <c r="D7" s="66">
        <f>D6*IF(AND(MONTH(B7)=1,YEAR(B7)&gt;=YEAR(Prices!$I$15)),1+Prices!$I$14,1)</f>
        <v>1</v>
      </c>
      <c r="E7" s="66">
        <f>IF(B7=Inputs!$C$1,D7,E6)</f>
        <v>1</v>
      </c>
      <c r="F7" s="66">
        <f>IF(AND(B7&gt;=Inputs!$C$1,B7&lt;EDATE(Inputs!$C$1,Inputs!$C$2)),E7,0)</f>
        <v>0</v>
      </c>
      <c r="H7" s="65">
        <f>IF($B7=Inputs!$C$1,SUM(Outputs_Internal!$D$4, Outputs_Internal!$D$5),0)*$D7</f>
        <v>0</v>
      </c>
      <c r="I7" s="65">
        <f>IF($B7=Inputs!$C$1,SUM(Outputs_Internal!K$4, Outputs_Internal!K$5),0)*$D7</f>
        <v>0</v>
      </c>
      <c r="J7" s="65">
        <f>IF($B7=Inputs!$C$1,SUM(Outputs_Internal!L$4, Outputs_Internal!L$5),0)*$D7</f>
        <v>0</v>
      </c>
      <c r="K7" s="65">
        <f>IF($B7=Inputs!$C$1,SUM(Outputs_Internal!M$4, Outputs_Internal!$M$5),0)*$D7</f>
        <v>0</v>
      </c>
      <c r="M7" s="65">
        <f>$F7*Outputs_Internal!$D$52/12</f>
        <v>0</v>
      </c>
      <c r="N7" s="65">
        <f>$F7*Outputs_Internal!K$52/12</f>
        <v>0</v>
      </c>
      <c r="O7" s="65">
        <f>$F7*Outputs_Internal!L$52/12</f>
        <v>0</v>
      </c>
      <c r="P7" s="65">
        <f>$F7*Outputs_Internal!M$52/12</f>
        <v>0</v>
      </c>
      <c r="Q7" s="65">
        <f>$F7*Outputs_Internal!N$52/12</f>
        <v>0</v>
      </c>
      <c r="S7" s="65">
        <f t="shared" si="2"/>
        <v>0</v>
      </c>
      <c r="T7" s="65">
        <f t="shared" si="3"/>
        <v>0</v>
      </c>
      <c r="U7" s="65">
        <f t="shared" si="4"/>
        <v>0</v>
      </c>
      <c r="V7" s="65">
        <f t="shared" si="4"/>
        <v>0</v>
      </c>
      <c r="W7" s="65">
        <f t="shared" si="4"/>
        <v>0</v>
      </c>
    </row>
    <row r="8" spans="2:23" x14ac:dyDescent="0.25">
      <c r="B8" s="62">
        <f t="shared" si="0"/>
        <v>43070</v>
      </c>
      <c r="D8" s="66">
        <f>D7*IF(AND(MONTH(B8)=1,YEAR(B8)&gt;=YEAR(Prices!$I$15)),1+Prices!$I$14,1)</f>
        <v>1</v>
      </c>
      <c r="E8" s="66">
        <f>IF(B8=Inputs!$C$1,D8,E7)</f>
        <v>1</v>
      </c>
      <c r="F8" s="66">
        <f>IF(AND(B8&gt;=Inputs!$C$1,B8&lt;EDATE(Inputs!$C$1,Inputs!$C$2)),E8,0)</f>
        <v>0</v>
      </c>
      <c r="H8" s="65">
        <f>IF($B8=Inputs!$C$1,SUM(Outputs_Internal!$D$4, Outputs_Internal!$D$5),0)*$D8</f>
        <v>0</v>
      </c>
      <c r="I8" s="65">
        <f>IF($B8=Inputs!$C$1,SUM(Outputs_Internal!K$4, Outputs_Internal!K$5),0)*$D8</f>
        <v>0</v>
      </c>
      <c r="J8" s="65">
        <f>IF($B8=Inputs!$C$1,SUM(Outputs_Internal!L$4, Outputs_Internal!L$5),0)*$D8</f>
        <v>0</v>
      </c>
      <c r="K8" s="65">
        <f>IF($B8=Inputs!$C$1,SUM(Outputs_Internal!M$4, Outputs_Internal!$M$5),0)*$D8</f>
        <v>0</v>
      </c>
      <c r="M8" s="65">
        <f>$F8*Outputs_Internal!$D$52/12</f>
        <v>0</v>
      </c>
      <c r="N8" s="65">
        <f>$F8*Outputs_Internal!K$52/12</f>
        <v>0</v>
      </c>
      <c r="O8" s="65">
        <f>$F8*Outputs_Internal!L$52/12</f>
        <v>0</v>
      </c>
      <c r="P8" s="65">
        <f>$F8*Outputs_Internal!M$52/12</f>
        <v>0</v>
      </c>
      <c r="Q8" s="65">
        <f>$F8*Outputs_Internal!N$52/12</f>
        <v>0</v>
      </c>
      <c r="S8" s="65">
        <f t="shared" si="2"/>
        <v>0</v>
      </c>
      <c r="T8" s="65">
        <f t="shared" si="3"/>
        <v>0</v>
      </c>
      <c r="U8" s="65">
        <f t="shared" si="4"/>
        <v>0</v>
      </c>
      <c r="V8" s="65">
        <f t="shared" si="4"/>
        <v>0</v>
      </c>
      <c r="W8" s="65">
        <f t="shared" si="4"/>
        <v>0</v>
      </c>
    </row>
    <row r="9" spans="2:23" x14ac:dyDescent="0.25">
      <c r="B9" s="62">
        <f t="shared" si="0"/>
        <v>43101</v>
      </c>
      <c r="D9" s="66">
        <f>D8*IF(AND(MONTH(B9)=1,YEAR(B9)&gt;=YEAR(Prices!$I$15)),1+Prices!$I$14,1)</f>
        <v>1</v>
      </c>
      <c r="E9" s="66">
        <f>IF(B9=Inputs!$C$1,D9,E8)</f>
        <v>1</v>
      </c>
      <c r="F9" s="66">
        <f>IF(AND(B9&gt;=Inputs!$C$1,B9&lt;EDATE(Inputs!$C$1,Inputs!$C$2)),E9,0)</f>
        <v>1</v>
      </c>
      <c r="H9" s="65">
        <f>IF($B9=Inputs!$C$1,SUM(Outputs_Internal!$D$4, Outputs_Internal!$D$5),0)*$D9</f>
        <v>5000</v>
      </c>
      <c r="I9" s="65">
        <f>IF($B9=Inputs!$C$1,SUM(Outputs_Internal!K$4, Outputs_Internal!K$5),0)*$D9</f>
        <v>2500</v>
      </c>
      <c r="J9" s="65">
        <f>IF($B9=Inputs!$C$1,SUM(Outputs_Internal!L$4, Outputs_Internal!L$5),0)*$D9</f>
        <v>2500</v>
      </c>
      <c r="K9" s="65">
        <f>IF($B9=Inputs!$C$1,SUM(Outputs_Internal!M$4, Outputs_Internal!$M$5),0)*$D9</f>
        <v>0</v>
      </c>
      <c r="M9" s="65">
        <f>$F9*Outputs_Internal!$D$52/12</f>
        <v>5770.833333333333</v>
      </c>
      <c r="N9" s="65">
        <f>$F9*Outputs_Internal!K$52/12</f>
        <v>1991.6666666666667</v>
      </c>
      <c r="O9" s="65">
        <f>$F9*Outputs_Internal!L$52/12</f>
        <v>3345.8333333333335</v>
      </c>
      <c r="P9" s="65">
        <f>$F9*Outputs_Internal!M$52/12</f>
        <v>400</v>
      </c>
      <c r="Q9" s="65">
        <f>$F9*Outputs_Internal!N$52/12</f>
        <v>33.333333333333336</v>
      </c>
      <c r="S9" s="65">
        <f t="shared" si="2"/>
        <v>0</v>
      </c>
      <c r="T9" s="65">
        <f t="shared" si="3"/>
        <v>0</v>
      </c>
      <c r="U9" s="65">
        <f t="shared" si="4"/>
        <v>0</v>
      </c>
      <c r="V9" s="65">
        <f t="shared" si="4"/>
        <v>0</v>
      </c>
      <c r="W9" s="65">
        <f t="shared" si="4"/>
        <v>0</v>
      </c>
    </row>
    <row r="10" spans="2:23" x14ac:dyDescent="0.25">
      <c r="B10" s="62">
        <f t="shared" si="0"/>
        <v>43132</v>
      </c>
      <c r="D10" s="66">
        <f>D9*IF(AND(MONTH(B10)=1,YEAR(B10)&gt;=YEAR(Prices!$I$15)),1+Prices!$I$14,1)</f>
        <v>1</v>
      </c>
      <c r="E10" s="66">
        <f>IF(B10=Inputs!$C$1,D10,E9)</f>
        <v>1</v>
      </c>
      <c r="F10" s="66">
        <f>IF(AND(B10&gt;=Inputs!$C$1,B10&lt;EDATE(Inputs!$C$1,Inputs!$C$2)),E10,0)</f>
        <v>1</v>
      </c>
      <c r="H10" s="65">
        <f>IF($B10=Inputs!$C$1,SUM(Outputs_Internal!$D$4, Outputs_Internal!$D$5),0)*$D10</f>
        <v>0</v>
      </c>
      <c r="I10" s="65">
        <f>IF($B10=Inputs!$C$1,SUM(Outputs_Internal!K$4, Outputs_Internal!K$5),0)*$D10</f>
        <v>0</v>
      </c>
      <c r="J10" s="65">
        <f>IF($B10=Inputs!$C$1,SUM(Outputs_Internal!L$4, Outputs_Internal!L$5),0)*$D10</f>
        <v>0</v>
      </c>
      <c r="K10" s="65">
        <f>IF($B10=Inputs!$C$1,SUM(Outputs_Internal!M$4, Outputs_Internal!$M$5),0)*$D10</f>
        <v>0</v>
      </c>
      <c r="M10" s="65">
        <f>$F10*Outputs_Internal!$D$52/12</f>
        <v>5770.833333333333</v>
      </c>
      <c r="N10" s="65">
        <f>$F10*Outputs_Internal!K$52/12</f>
        <v>1991.6666666666667</v>
      </c>
      <c r="O10" s="65">
        <f>$F10*Outputs_Internal!L$52/12</f>
        <v>3345.8333333333335</v>
      </c>
      <c r="P10" s="65">
        <f>$F10*Outputs_Internal!M$52/12</f>
        <v>400</v>
      </c>
      <c r="Q10" s="65">
        <f>$F10*Outputs_Internal!N$52/12</f>
        <v>33.333333333333336</v>
      </c>
      <c r="S10" s="65">
        <f t="shared" si="2"/>
        <v>0</v>
      </c>
      <c r="T10" s="65">
        <f t="shared" si="3"/>
        <v>0</v>
      </c>
      <c r="U10" s="65">
        <f t="shared" si="4"/>
        <v>0</v>
      </c>
      <c r="V10" s="65">
        <f t="shared" si="4"/>
        <v>0</v>
      </c>
      <c r="W10" s="65">
        <f t="shared" si="4"/>
        <v>0</v>
      </c>
    </row>
    <row r="11" spans="2:23" x14ac:dyDescent="0.25">
      <c r="B11" s="62">
        <f t="shared" si="0"/>
        <v>43160</v>
      </c>
      <c r="D11" s="66">
        <f>D10*IF(AND(MONTH(B11)=1,YEAR(B11)&gt;=YEAR(Prices!$I$15)),1+Prices!$I$14,1)</f>
        <v>1</v>
      </c>
      <c r="E11" s="66">
        <f>IF(B11=Inputs!$C$1,D11,E10)</f>
        <v>1</v>
      </c>
      <c r="F11" s="66">
        <f>IF(AND(B11&gt;=Inputs!$C$1,B11&lt;EDATE(Inputs!$C$1,Inputs!$C$2)),E11,0)</f>
        <v>1</v>
      </c>
      <c r="H11" s="65">
        <f>IF($B11=Inputs!$C$1,SUM(Outputs_Internal!$D$4, Outputs_Internal!$D$5),0)*$D11</f>
        <v>0</v>
      </c>
      <c r="I11" s="65">
        <f>IF($B11=Inputs!$C$1,SUM(Outputs_Internal!K$4, Outputs_Internal!K$5),0)*$D11</f>
        <v>0</v>
      </c>
      <c r="J11" s="65">
        <f>IF($B11=Inputs!$C$1,SUM(Outputs_Internal!L$4, Outputs_Internal!L$5),0)*$D11</f>
        <v>0</v>
      </c>
      <c r="K11" s="65">
        <f>IF($B11=Inputs!$C$1,SUM(Outputs_Internal!M$4, Outputs_Internal!$M$5),0)*$D11</f>
        <v>0</v>
      </c>
      <c r="M11" s="65">
        <f>$F11*Outputs_Internal!$D$52/12</f>
        <v>5770.833333333333</v>
      </c>
      <c r="N11" s="65">
        <f>$F11*Outputs_Internal!K$52/12</f>
        <v>1991.6666666666667</v>
      </c>
      <c r="O11" s="65">
        <f>$F11*Outputs_Internal!L$52/12</f>
        <v>3345.8333333333335</v>
      </c>
      <c r="P11" s="65">
        <f>$F11*Outputs_Internal!M$52/12</f>
        <v>400</v>
      </c>
      <c r="Q11" s="65">
        <f>$F11*Outputs_Internal!N$52/12</f>
        <v>33.333333333333336</v>
      </c>
      <c r="S11" s="65">
        <f t="shared" si="2"/>
        <v>22312.499999999996</v>
      </c>
      <c r="T11" s="65">
        <f t="shared" si="3"/>
        <v>8475</v>
      </c>
      <c r="U11" s="65">
        <f>IF(MOD(MONTH($B11),3)=0,SUM(J9:J11,O9:O11),0)</f>
        <v>12537.500000000002</v>
      </c>
      <c r="V11" s="65">
        <f t="shared" si="4"/>
        <v>1200</v>
      </c>
      <c r="W11" s="65">
        <f t="shared" si="4"/>
        <v>100</v>
      </c>
    </row>
    <row r="12" spans="2:23" x14ac:dyDescent="0.25">
      <c r="B12" s="62">
        <f t="shared" si="0"/>
        <v>43191</v>
      </c>
      <c r="D12" s="66">
        <f>D11*IF(AND(MONTH(B12)=1,YEAR(B12)&gt;=YEAR(Prices!$I$15)),1+Prices!$I$14,1)</f>
        <v>1</v>
      </c>
      <c r="E12" s="66">
        <f>IF(B12=Inputs!$C$1,D12,E11)</f>
        <v>1</v>
      </c>
      <c r="F12" s="66">
        <f>IF(AND(B12&gt;=Inputs!$C$1,B12&lt;EDATE(Inputs!$C$1,Inputs!$C$2)),E12,0)</f>
        <v>1</v>
      </c>
      <c r="H12" s="65">
        <f>IF($B12=Inputs!$C$1,SUM(Outputs_Internal!$D$4, Outputs_Internal!$D$5),0)*$D12</f>
        <v>0</v>
      </c>
      <c r="I12" s="65">
        <f>IF($B12=Inputs!$C$1,SUM(Outputs_Internal!K$4, Outputs_Internal!K$5),0)*$D12</f>
        <v>0</v>
      </c>
      <c r="J12" s="65">
        <f>IF($B12=Inputs!$C$1,SUM(Outputs_Internal!L$4, Outputs_Internal!L$5),0)*$D12</f>
        <v>0</v>
      </c>
      <c r="K12" s="65">
        <f>IF($B12=Inputs!$C$1,SUM(Outputs_Internal!M$4, Outputs_Internal!$M$5),0)*$D12</f>
        <v>0</v>
      </c>
      <c r="M12" s="65">
        <f>$F12*Outputs_Internal!$D$52/12</f>
        <v>5770.833333333333</v>
      </c>
      <c r="N12" s="65">
        <f>$F12*Outputs_Internal!K$52/12</f>
        <v>1991.6666666666667</v>
      </c>
      <c r="O12" s="65">
        <f>$F12*Outputs_Internal!L$52/12</f>
        <v>3345.8333333333335</v>
      </c>
      <c r="P12" s="65">
        <f>$F12*Outputs_Internal!M$52/12</f>
        <v>400</v>
      </c>
      <c r="Q12" s="65">
        <f>$F12*Outputs_Internal!N$52/12</f>
        <v>33.333333333333336</v>
      </c>
      <c r="S12" s="65">
        <f t="shared" si="2"/>
        <v>0</v>
      </c>
      <c r="T12" s="65">
        <f t="shared" si="3"/>
        <v>0</v>
      </c>
      <c r="U12" s="65">
        <f t="shared" si="4"/>
        <v>0</v>
      </c>
      <c r="V12" s="65">
        <f t="shared" si="4"/>
        <v>0</v>
      </c>
      <c r="W12" s="65">
        <f t="shared" si="4"/>
        <v>0</v>
      </c>
    </row>
    <row r="13" spans="2:23" x14ac:dyDescent="0.25">
      <c r="B13" s="62">
        <f t="shared" si="0"/>
        <v>43221</v>
      </c>
      <c r="D13" s="66">
        <f>D12*IF(AND(MONTH(B13)=1,YEAR(B13)&gt;=YEAR(Prices!$I$15)),1+Prices!$I$14,1)</f>
        <v>1</v>
      </c>
      <c r="E13" s="66">
        <f>IF(B13=Inputs!$C$1,D13,E12)</f>
        <v>1</v>
      </c>
      <c r="F13" s="66">
        <f>IF(AND(B13&gt;=Inputs!$C$1,B13&lt;EDATE(Inputs!$C$1,Inputs!$C$2)),E13,0)</f>
        <v>1</v>
      </c>
      <c r="H13" s="65">
        <f>IF($B13=Inputs!$C$1,SUM(Outputs_Internal!$D$4, Outputs_Internal!$D$5),0)*$D13</f>
        <v>0</v>
      </c>
      <c r="I13" s="65">
        <f>IF($B13=Inputs!$C$1,SUM(Outputs_Internal!K$4, Outputs_Internal!K$5),0)*$D13</f>
        <v>0</v>
      </c>
      <c r="J13" s="65">
        <f>IF($B13=Inputs!$C$1,SUM(Outputs_Internal!L$4, Outputs_Internal!L$5),0)*$D13</f>
        <v>0</v>
      </c>
      <c r="K13" s="65">
        <f>IF($B13=Inputs!$C$1,SUM(Outputs_Internal!M$4, Outputs_Internal!$M$5),0)*$D13</f>
        <v>0</v>
      </c>
      <c r="M13" s="65">
        <f>$F13*Outputs_Internal!$D$52/12</f>
        <v>5770.833333333333</v>
      </c>
      <c r="N13" s="65">
        <f>$F13*Outputs_Internal!K$52/12</f>
        <v>1991.6666666666667</v>
      </c>
      <c r="O13" s="65">
        <f>$F13*Outputs_Internal!L$52/12</f>
        <v>3345.8333333333335</v>
      </c>
      <c r="P13" s="65">
        <f>$F13*Outputs_Internal!M$52/12</f>
        <v>400</v>
      </c>
      <c r="Q13" s="65">
        <f>$F13*Outputs_Internal!N$52/12</f>
        <v>33.333333333333336</v>
      </c>
      <c r="S13" s="65">
        <f t="shared" si="2"/>
        <v>0</v>
      </c>
      <c r="T13" s="65">
        <f t="shared" si="3"/>
        <v>0</v>
      </c>
      <c r="U13" s="65">
        <f t="shared" si="4"/>
        <v>0</v>
      </c>
      <c r="V13" s="65">
        <f t="shared" si="4"/>
        <v>0</v>
      </c>
      <c r="W13" s="65">
        <f t="shared" si="4"/>
        <v>0</v>
      </c>
    </row>
    <row r="14" spans="2:23" x14ac:dyDescent="0.25">
      <c r="B14" s="62">
        <f t="shared" si="0"/>
        <v>43252</v>
      </c>
      <c r="D14" s="66">
        <f>D13*IF(AND(MONTH(B14)=1,YEAR(B14)&gt;=YEAR(Prices!$I$15)),1+Prices!$I$14,1)</f>
        <v>1</v>
      </c>
      <c r="E14" s="66">
        <f>IF(B14=Inputs!$C$1,D14,E13)</f>
        <v>1</v>
      </c>
      <c r="F14" s="66">
        <f>IF(AND(B14&gt;=Inputs!$C$1,B14&lt;EDATE(Inputs!$C$1,Inputs!$C$2)),E14,0)</f>
        <v>1</v>
      </c>
      <c r="H14" s="65">
        <f>IF($B14=Inputs!$C$1,SUM(Outputs_Internal!$D$4, Outputs_Internal!$D$5),0)*$D14</f>
        <v>0</v>
      </c>
      <c r="I14" s="65">
        <f>IF($B14=Inputs!$C$1,SUM(Outputs_Internal!K$4, Outputs_Internal!K$5),0)*$D14</f>
        <v>0</v>
      </c>
      <c r="J14" s="65">
        <f>IF($B14=Inputs!$C$1,SUM(Outputs_Internal!L$4, Outputs_Internal!L$5),0)*$D14</f>
        <v>0</v>
      </c>
      <c r="K14" s="65">
        <f>IF($B14=Inputs!$C$1,SUM(Outputs_Internal!M$4, Outputs_Internal!$M$5),0)*$D14</f>
        <v>0</v>
      </c>
      <c r="M14" s="65">
        <f>$F14*Outputs_Internal!$D$52/12</f>
        <v>5770.833333333333</v>
      </c>
      <c r="N14" s="65">
        <f>$F14*Outputs_Internal!K$52/12</f>
        <v>1991.6666666666667</v>
      </c>
      <c r="O14" s="65">
        <f>$F14*Outputs_Internal!L$52/12</f>
        <v>3345.8333333333335</v>
      </c>
      <c r="P14" s="65">
        <f>$F14*Outputs_Internal!M$52/12</f>
        <v>400</v>
      </c>
      <c r="Q14" s="65">
        <f>$F14*Outputs_Internal!N$52/12</f>
        <v>33.333333333333336</v>
      </c>
      <c r="S14" s="65">
        <f t="shared" si="2"/>
        <v>17312.5</v>
      </c>
      <c r="T14" s="65">
        <f t="shared" si="3"/>
        <v>5975</v>
      </c>
      <c r="U14" s="65">
        <f t="shared" si="4"/>
        <v>10037.5</v>
      </c>
      <c r="V14" s="65">
        <f t="shared" si="4"/>
        <v>1200</v>
      </c>
      <c r="W14" s="65">
        <f t="shared" si="4"/>
        <v>100</v>
      </c>
    </row>
    <row r="15" spans="2:23" x14ac:dyDescent="0.25">
      <c r="B15" s="62">
        <f t="shared" si="0"/>
        <v>43282</v>
      </c>
      <c r="D15" s="66">
        <f>D14*IF(AND(MONTH(B15)=1,YEAR(B15)&gt;=YEAR(Prices!$I$15)),1+Prices!$I$14,1)</f>
        <v>1</v>
      </c>
      <c r="E15" s="66">
        <f>IF(B15=Inputs!$C$1,D15,E14)</f>
        <v>1</v>
      </c>
      <c r="F15" s="66">
        <f>IF(AND(B15&gt;=Inputs!$C$1,B15&lt;EDATE(Inputs!$C$1,Inputs!$C$2)),E15,0)</f>
        <v>1</v>
      </c>
      <c r="H15" s="65">
        <f>IF($B15=Inputs!$C$1,SUM(Outputs_Internal!$D$4, Outputs_Internal!$D$5),0)*$D15</f>
        <v>0</v>
      </c>
      <c r="I15" s="65">
        <f>IF($B15=Inputs!$C$1,SUM(Outputs_Internal!K$4, Outputs_Internal!K$5),0)*$D15</f>
        <v>0</v>
      </c>
      <c r="J15" s="65">
        <f>IF($B15=Inputs!$C$1,SUM(Outputs_Internal!L$4, Outputs_Internal!L$5),0)*$D15</f>
        <v>0</v>
      </c>
      <c r="K15" s="65">
        <f>IF($B15=Inputs!$C$1,SUM(Outputs_Internal!M$4, Outputs_Internal!$M$5),0)*$D15</f>
        <v>0</v>
      </c>
      <c r="M15" s="65">
        <f>$F15*Outputs_Internal!$D$52/12</f>
        <v>5770.833333333333</v>
      </c>
      <c r="N15" s="65">
        <f>$F15*Outputs_Internal!K$52/12</f>
        <v>1991.6666666666667</v>
      </c>
      <c r="O15" s="65">
        <f>$F15*Outputs_Internal!L$52/12</f>
        <v>3345.8333333333335</v>
      </c>
      <c r="P15" s="65">
        <f>$F15*Outputs_Internal!M$52/12</f>
        <v>400</v>
      </c>
      <c r="Q15" s="65">
        <f>$F15*Outputs_Internal!N$52/12</f>
        <v>33.333333333333336</v>
      </c>
      <c r="S15" s="65">
        <f t="shared" si="2"/>
        <v>0</v>
      </c>
      <c r="T15" s="65">
        <f t="shared" si="3"/>
        <v>0</v>
      </c>
      <c r="U15" s="65">
        <f t="shared" si="4"/>
        <v>0</v>
      </c>
      <c r="V15" s="65">
        <f t="shared" si="4"/>
        <v>0</v>
      </c>
      <c r="W15" s="65">
        <f t="shared" si="4"/>
        <v>0</v>
      </c>
    </row>
    <row r="16" spans="2:23" x14ac:dyDescent="0.25">
      <c r="B16" s="62">
        <f t="shared" si="0"/>
        <v>43313</v>
      </c>
      <c r="D16" s="66">
        <f>D15*IF(AND(MONTH(B16)=1,YEAR(B16)&gt;=YEAR(Prices!$I$15)),1+Prices!$I$14,1)</f>
        <v>1</v>
      </c>
      <c r="E16" s="66">
        <f>IF(B16=Inputs!$C$1,D16,E15)</f>
        <v>1</v>
      </c>
      <c r="F16" s="66">
        <f>IF(AND(B16&gt;=Inputs!$C$1,B16&lt;EDATE(Inputs!$C$1,Inputs!$C$2)),E16,0)</f>
        <v>1</v>
      </c>
      <c r="H16" s="65">
        <f>IF($B16=Inputs!$C$1,SUM(Outputs_Internal!$D$4, Outputs_Internal!$D$5),0)*$D16</f>
        <v>0</v>
      </c>
      <c r="I16" s="65">
        <f>IF($B16=Inputs!$C$1,SUM(Outputs_Internal!K$4, Outputs_Internal!K$5),0)*$D16</f>
        <v>0</v>
      </c>
      <c r="J16" s="65">
        <f>IF($B16=Inputs!$C$1,SUM(Outputs_Internal!L$4, Outputs_Internal!L$5),0)*$D16</f>
        <v>0</v>
      </c>
      <c r="K16" s="65">
        <f>IF($B16=Inputs!$C$1,SUM(Outputs_Internal!M$4, Outputs_Internal!$M$5),0)*$D16</f>
        <v>0</v>
      </c>
      <c r="M16" s="65">
        <f>$F16*Outputs_Internal!$D$52/12</f>
        <v>5770.833333333333</v>
      </c>
      <c r="N16" s="65">
        <f>$F16*Outputs_Internal!K$52/12</f>
        <v>1991.6666666666667</v>
      </c>
      <c r="O16" s="65">
        <f>$F16*Outputs_Internal!L$52/12</f>
        <v>3345.8333333333335</v>
      </c>
      <c r="P16" s="65">
        <f>$F16*Outputs_Internal!M$52/12</f>
        <v>400</v>
      </c>
      <c r="Q16" s="65">
        <f>$F16*Outputs_Internal!N$52/12</f>
        <v>33.333333333333336</v>
      </c>
      <c r="S16" s="65">
        <f t="shared" si="2"/>
        <v>0</v>
      </c>
      <c r="T16" s="65">
        <f t="shared" si="3"/>
        <v>0</v>
      </c>
      <c r="U16" s="65">
        <f t="shared" si="4"/>
        <v>0</v>
      </c>
      <c r="V16" s="65">
        <f t="shared" si="4"/>
        <v>0</v>
      </c>
      <c r="W16" s="65">
        <f t="shared" si="4"/>
        <v>0</v>
      </c>
    </row>
    <row r="17" spans="2:23" x14ac:dyDescent="0.25">
      <c r="B17" s="62">
        <f t="shared" si="0"/>
        <v>43344</v>
      </c>
      <c r="D17" s="66">
        <f>D16*IF(AND(MONTH(B17)=1,YEAR(B17)&gt;=YEAR(Prices!$I$15)),1+Prices!$I$14,1)</f>
        <v>1</v>
      </c>
      <c r="E17" s="66">
        <f>IF(B17=Inputs!$C$1,D17,E16)</f>
        <v>1</v>
      </c>
      <c r="F17" s="66">
        <f>IF(AND(B17&gt;=Inputs!$C$1,B17&lt;EDATE(Inputs!$C$1,Inputs!$C$2)),E17,0)</f>
        <v>1</v>
      </c>
      <c r="H17" s="65">
        <f>IF($B17=Inputs!$C$1,SUM(Outputs_Internal!$D$4, Outputs_Internal!$D$5),0)*$D17</f>
        <v>0</v>
      </c>
      <c r="I17" s="65">
        <f>IF($B17=Inputs!$C$1,SUM(Outputs_Internal!K$4, Outputs_Internal!K$5),0)*$D17</f>
        <v>0</v>
      </c>
      <c r="J17" s="65">
        <f>IF($B17=Inputs!$C$1,SUM(Outputs_Internal!L$4, Outputs_Internal!L$5),0)*$D17</f>
        <v>0</v>
      </c>
      <c r="K17" s="65">
        <f>IF($B17=Inputs!$C$1,SUM(Outputs_Internal!M$4, Outputs_Internal!$M$5),0)*$D17</f>
        <v>0</v>
      </c>
      <c r="M17" s="65">
        <f>$F17*Outputs_Internal!$D$52/12</f>
        <v>5770.833333333333</v>
      </c>
      <c r="N17" s="65">
        <f>$F17*Outputs_Internal!K$52/12</f>
        <v>1991.6666666666667</v>
      </c>
      <c r="O17" s="65">
        <f>$F17*Outputs_Internal!L$52/12</f>
        <v>3345.8333333333335</v>
      </c>
      <c r="P17" s="65">
        <f>$F17*Outputs_Internal!M$52/12</f>
        <v>400</v>
      </c>
      <c r="Q17" s="65">
        <f>$F17*Outputs_Internal!N$52/12</f>
        <v>33.333333333333336</v>
      </c>
      <c r="S17" s="65">
        <f t="shared" si="2"/>
        <v>17312.5</v>
      </c>
      <c r="T17" s="65">
        <f t="shared" si="3"/>
        <v>5975</v>
      </c>
      <c r="U17" s="65">
        <f t="shared" si="4"/>
        <v>10037.5</v>
      </c>
      <c r="V17" s="65">
        <f t="shared" si="4"/>
        <v>1200</v>
      </c>
      <c r="W17" s="65">
        <f t="shared" si="4"/>
        <v>100</v>
      </c>
    </row>
    <row r="18" spans="2:23" x14ac:dyDescent="0.25">
      <c r="B18" s="62">
        <f t="shared" si="0"/>
        <v>43374</v>
      </c>
      <c r="D18" s="66">
        <f>D17*IF(AND(MONTH(B18)=1,YEAR(B18)&gt;=YEAR(Prices!$I$15)),1+Prices!$I$14,1)</f>
        <v>1</v>
      </c>
      <c r="E18" s="66">
        <f>IF(B18=Inputs!$C$1,D18,E17)</f>
        <v>1</v>
      </c>
      <c r="F18" s="66">
        <f>IF(AND(B18&gt;=Inputs!$C$1,B18&lt;EDATE(Inputs!$C$1,Inputs!$C$2)),E18,0)</f>
        <v>1</v>
      </c>
      <c r="H18" s="65">
        <f>IF($B18=Inputs!$C$1,SUM(Outputs_Internal!$D$4, Outputs_Internal!$D$5),0)*$D18</f>
        <v>0</v>
      </c>
      <c r="I18" s="65">
        <f>IF($B18=Inputs!$C$1,SUM(Outputs_Internal!K$4, Outputs_Internal!K$5),0)*$D18</f>
        <v>0</v>
      </c>
      <c r="J18" s="65">
        <f>IF($B18=Inputs!$C$1,SUM(Outputs_Internal!L$4, Outputs_Internal!L$5),0)*$D18</f>
        <v>0</v>
      </c>
      <c r="K18" s="65">
        <f>IF($B18=Inputs!$C$1,SUM(Outputs_Internal!M$4, Outputs_Internal!$M$5),0)*$D18</f>
        <v>0</v>
      </c>
      <c r="M18" s="65">
        <f>$F18*Outputs_Internal!$D$52/12</f>
        <v>5770.833333333333</v>
      </c>
      <c r="N18" s="65">
        <f>$F18*Outputs_Internal!K$52/12</f>
        <v>1991.6666666666667</v>
      </c>
      <c r="O18" s="65">
        <f>$F18*Outputs_Internal!L$52/12</f>
        <v>3345.8333333333335</v>
      </c>
      <c r="P18" s="65">
        <f>$F18*Outputs_Internal!M$52/12</f>
        <v>400</v>
      </c>
      <c r="Q18" s="65">
        <f>$F18*Outputs_Internal!N$52/12</f>
        <v>33.333333333333336</v>
      </c>
      <c r="S18" s="65">
        <f t="shared" si="2"/>
        <v>0</v>
      </c>
      <c r="T18" s="65">
        <f t="shared" si="3"/>
        <v>0</v>
      </c>
      <c r="U18" s="65">
        <f t="shared" si="4"/>
        <v>0</v>
      </c>
      <c r="V18" s="65">
        <f t="shared" si="4"/>
        <v>0</v>
      </c>
      <c r="W18" s="65">
        <f t="shared" si="4"/>
        <v>0</v>
      </c>
    </row>
    <row r="19" spans="2:23" x14ac:dyDescent="0.25">
      <c r="B19" s="62">
        <f t="shared" si="0"/>
        <v>43405</v>
      </c>
      <c r="D19" s="66">
        <f>D18*IF(AND(MONTH(B19)=1,YEAR(B19)&gt;=YEAR(Prices!$I$15)),1+Prices!$I$14,1)</f>
        <v>1</v>
      </c>
      <c r="E19" s="66">
        <f>IF(B19=Inputs!$C$1,D19,E18)</f>
        <v>1</v>
      </c>
      <c r="F19" s="66">
        <f>IF(AND(B19&gt;=Inputs!$C$1,B19&lt;EDATE(Inputs!$C$1,Inputs!$C$2)),E19,0)</f>
        <v>1</v>
      </c>
      <c r="H19" s="65">
        <f>IF($B19=Inputs!$C$1,SUM(Outputs_Internal!$D$4, Outputs_Internal!$D$5),0)*$D19</f>
        <v>0</v>
      </c>
      <c r="I19" s="65">
        <f>IF($B19=Inputs!$C$1,SUM(Outputs_Internal!K$4, Outputs_Internal!K$5),0)*$D19</f>
        <v>0</v>
      </c>
      <c r="J19" s="65">
        <f>IF($B19=Inputs!$C$1,SUM(Outputs_Internal!L$4, Outputs_Internal!L$5),0)*$D19</f>
        <v>0</v>
      </c>
      <c r="K19" s="65">
        <f>IF($B19=Inputs!$C$1,SUM(Outputs_Internal!M$4, Outputs_Internal!$M$5),0)*$D19</f>
        <v>0</v>
      </c>
      <c r="M19" s="65">
        <f>$F19*Outputs_Internal!$D$52/12</f>
        <v>5770.833333333333</v>
      </c>
      <c r="N19" s="65">
        <f>$F19*Outputs_Internal!K$52/12</f>
        <v>1991.6666666666667</v>
      </c>
      <c r="O19" s="65">
        <f>$F19*Outputs_Internal!L$52/12</f>
        <v>3345.8333333333335</v>
      </c>
      <c r="P19" s="65">
        <f>$F19*Outputs_Internal!M$52/12</f>
        <v>400</v>
      </c>
      <c r="Q19" s="65">
        <f>$F19*Outputs_Internal!N$52/12</f>
        <v>33.333333333333336</v>
      </c>
      <c r="S19" s="65">
        <f t="shared" si="2"/>
        <v>0</v>
      </c>
      <c r="T19" s="65">
        <f t="shared" si="3"/>
        <v>0</v>
      </c>
      <c r="U19" s="65">
        <f t="shared" si="4"/>
        <v>0</v>
      </c>
      <c r="V19" s="65">
        <f t="shared" si="4"/>
        <v>0</v>
      </c>
      <c r="W19" s="65">
        <f t="shared" si="4"/>
        <v>0</v>
      </c>
    </row>
    <row r="20" spans="2:23" x14ac:dyDescent="0.25">
      <c r="B20" s="62">
        <f t="shared" si="0"/>
        <v>43435</v>
      </c>
      <c r="D20" s="66">
        <f>D19*IF(AND(MONTH(B20)=1,YEAR(B20)&gt;=YEAR(Prices!$I$15)),1+Prices!$I$14,1)</f>
        <v>1</v>
      </c>
      <c r="E20" s="66">
        <f>IF(B20=Inputs!$C$1,D20,E19)</f>
        <v>1</v>
      </c>
      <c r="F20" s="66">
        <f>IF(AND(B20&gt;=Inputs!$C$1,B20&lt;EDATE(Inputs!$C$1,Inputs!$C$2)),E20,0)</f>
        <v>1</v>
      </c>
      <c r="H20" s="65">
        <f>IF($B20=Inputs!$C$1,SUM(Outputs_Internal!$D$4, Outputs_Internal!$D$5),0)*$D20</f>
        <v>0</v>
      </c>
      <c r="I20" s="65">
        <f>IF($B20=Inputs!$C$1,SUM(Outputs_Internal!K$4, Outputs_Internal!K$5),0)*$D20</f>
        <v>0</v>
      </c>
      <c r="J20" s="65">
        <f>IF($B20=Inputs!$C$1,SUM(Outputs_Internal!L$4, Outputs_Internal!L$5),0)*$D20</f>
        <v>0</v>
      </c>
      <c r="K20" s="65">
        <f>IF($B20=Inputs!$C$1,SUM(Outputs_Internal!M$4, Outputs_Internal!$M$5),0)*$D20</f>
        <v>0</v>
      </c>
      <c r="M20" s="65">
        <f>$F20*Outputs_Internal!$D$52/12</f>
        <v>5770.833333333333</v>
      </c>
      <c r="N20" s="65">
        <f>$F20*Outputs_Internal!K$52/12</f>
        <v>1991.6666666666667</v>
      </c>
      <c r="O20" s="65">
        <f>$F20*Outputs_Internal!L$52/12</f>
        <v>3345.8333333333335</v>
      </c>
      <c r="P20" s="65">
        <f>$F20*Outputs_Internal!M$52/12</f>
        <v>400</v>
      </c>
      <c r="Q20" s="65">
        <f>$F20*Outputs_Internal!N$52/12</f>
        <v>33.333333333333336</v>
      </c>
      <c r="S20" s="65">
        <f t="shared" si="2"/>
        <v>17312.5</v>
      </c>
      <c r="T20" s="65">
        <f t="shared" si="3"/>
        <v>5975</v>
      </c>
      <c r="U20" s="65">
        <f t="shared" si="4"/>
        <v>10037.5</v>
      </c>
      <c r="V20" s="65">
        <f t="shared" si="4"/>
        <v>1200</v>
      </c>
      <c r="W20" s="65">
        <f t="shared" si="4"/>
        <v>100</v>
      </c>
    </row>
    <row r="21" spans="2:23" x14ac:dyDescent="0.25">
      <c r="B21" s="62">
        <f t="shared" si="0"/>
        <v>43466</v>
      </c>
      <c r="D21" s="66">
        <f>D20*IF(AND(MONTH(B21)=1,YEAR(B21)&gt;=YEAR(Prices!$I$15)),1+Prices!$I$14,1)</f>
        <v>1.0125</v>
      </c>
      <c r="E21" s="66">
        <f>IF(B21=Inputs!$C$1,D21,E20)</f>
        <v>1</v>
      </c>
      <c r="F21" s="66">
        <f>IF(AND(B21&gt;=Inputs!$C$1,B21&lt;EDATE(Inputs!$C$1,Inputs!$C$2)),E21,0)</f>
        <v>1</v>
      </c>
      <c r="H21" s="65">
        <f>IF($B21=Inputs!$C$1,SUM(Outputs_Internal!$D$4, Outputs_Internal!$D$5),0)*$D21</f>
        <v>0</v>
      </c>
      <c r="I21" s="65">
        <f>IF($B21=Inputs!$C$1,SUM(Outputs_Internal!K$4, Outputs_Internal!K$5),0)*$D21</f>
        <v>0</v>
      </c>
      <c r="J21" s="65">
        <f>IF($B21=Inputs!$C$1,SUM(Outputs_Internal!L$4, Outputs_Internal!L$5),0)*$D21</f>
        <v>0</v>
      </c>
      <c r="K21" s="65">
        <f>IF($B21=Inputs!$C$1,SUM(Outputs_Internal!M$4, Outputs_Internal!$M$5),0)*$D21</f>
        <v>0</v>
      </c>
      <c r="M21" s="65">
        <f>$F21*Outputs_Internal!$D$52/12</f>
        <v>5770.833333333333</v>
      </c>
      <c r="N21" s="65">
        <f>$F21*Outputs_Internal!K$52/12</f>
        <v>1991.6666666666667</v>
      </c>
      <c r="O21" s="65">
        <f>$F21*Outputs_Internal!L$52/12</f>
        <v>3345.8333333333335</v>
      </c>
      <c r="P21" s="65">
        <f>$F21*Outputs_Internal!M$52/12</f>
        <v>400</v>
      </c>
      <c r="Q21" s="65">
        <f>$F21*Outputs_Internal!N$52/12</f>
        <v>33.333333333333336</v>
      </c>
      <c r="S21" s="65">
        <f t="shared" si="2"/>
        <v>0</v>
      </c>
      <c r="T21" s="65">
        <f t="shared" si="3"/>
        <v>0</v>
      </c>
      <c r="U21" s="65">
        <f t="shared" si="4"/>
        <v>0</v>
      </c>
      <c r="V21" s="65">
        <f t="shared" si="4"/>
        <v>0</v>
      </c>
      <c r="W21" s="65">
        <f t="shared" si="4"/>
        <v>0</v>
      </c>
    </row>
    <row r="22" spans="2:23" x14ac:dyDescent="0.25">
      <c r="B22" s="62">
        <f t="shared" si="0"/>
        <v>43497</v>
      </c>
      <c r="D22" s="66">
        <f>D21*IF(AND(MONTH(B22)=1,YEAR(B22)&gt;=YEAR(Prices!$I$15)),1+Prices!$I$14,1)</f>
        <v>1.0125</v>
      </c>
      <c r="E22" s="66">
        <f>IF(B22=Inputs!$C$1,D22,E21)</f>
        <v>1</v>
      </c>
      <c r="F22" s="66">
        <f>IF(AND(B22&gt;=Inputs!$C$1,B22&lt;EDATE(Inputs!$C$1,Inputs!$C$2)),E22,0)</f>
        <v>1</v>
      </c>
      <c r="H22" s="65">
        <f>IF($B22=Inputs!$C$1,SUM(Outputs_Internal!$D$4, Outputs_Internal!$D$5),0)*$D22</f>
        <v>0</v>
      </c>
      <c r="I22" s="65">
        <f>IF($B22=Inputs!$C$1,SUM(Outputs_Internal!K$4, Outputs_Internal!K$5),0)*$D22</f>
        <v>0</v>
      </c>
      <c r="J22" s="65">
        <f>IF($B22=Inputs!$C$1,SUM(Outputs_Internal!L$4, Outputs_Internal!L$5),0)*$D22</f>
        <v>0</v>
      </c>
      <c r="K22" s="65">
        <f>IF($B22=Inputs!$C$1,SUM(Outputs_Internal!M$4, Outputs_Internal!$M$5),0)*$D22</f>
        <v>0</v>
      </c>
      <c r="M22" s="65">
        <f>$F22*Outputs_Internal!$D$52/12</f>
        <v>5770.833333333333</v>
      </c>
      <c r="N22" s="65">
        <f>$F22*Outputs_Internal!K$52/12</f>
        <v>1991.6666666666667</v>
      </c>
      <c r="O22" s="65">
        <f>$F22*Outputs_Internal!L$52/12</f>
        <v>3345.8333333333335</v>
      </c>
      <c r="P22" s="65">
        <f>$F22*Outputs_Internal!M$52/12</f>
        <v>400</v>
      </c>
      <c r="Q22" s="65">
        <f>$F22*Outputs_Internal!N$52/12</f>
        <v>33.333333333333336</v>
      </c>
      <c r="S22" s="65">
        <f t="shared" si="2"/>
        <v>0</v>
      </c>
      <c r="T22" s="65">
        <f t="shared" si="3"/>
        <v>0</v>
      </c>
      <c r="U22" s="65">
        <f t="shared" si="4"/>
        <v>0</v>
      </c>
      <c r="V22" s="65">
        <f t="shared" si="4"/>
        <v>0</v>
      </c>
      <c r="W22" s="65">
        <f t="shared" si="4"/>
        <v>0</v>
      </c>
    </row>
    <row r="23" spans="2:23" x14ac:dyDescent="0.25">
      <c r="B23" s="62">
        <f t="shared" si="0"/>
        <v>43525</v>
      </c>
      <c r="D23" s="66">
        <f>D22*IF(AND(MONTH(B23)=1,YEAR(B23)&gt;=YEAR(Prices!$I$15)),1+Prices!$I$14,1)</f>
        <v>1.0125</v>
      </c>
      <c r="E23" s="66">
        <f>IF(B23=Inputs!$C$1,D23,E22)</f>
        <v>1</v>
      </c>
      <c r="F23" s="66">
        <f>IF(AND(B23&gt;=Inputs!$C$1,B23&lt;EDATE(Inputs!$C$1,Inputs!$C$2)),E23,0)</f>
        <v>1</v>
      </c>
      <c r="H23" s="65">
        <f>IF($B23=Inputs!$C$1,SUM(Outputs_Internal!$D$4, Outputs_Internal!$D$5),0)*$D23</f>
        <v>0</v>
      </c>
      <c r="I23" s="65">
        <f>IF($B23=Inputs!$C$1,SUM(Outputs_Internal!K$4, Outputs_Internal!K$5),0)*$D23</f>
        <v>0</v>
      </c>
      <c r="J23" s="65">
        <f>IF($B23=Inputs!$C$1,SUM(Outputs_Internal!L$4, Outputs_Internal!L$5),0)*$D23</f>
        <v>0</v>
      </c>
      <c r="K23" s="65">
        <f>IF($B23=Inputs!$C$1,SUM(Outputs_Internal!M$4, Outputs_Internal!$M$5),0)*$D23</f>
        <v>0</v>
      </c>
      <c r="M23" s="65">
        <f>$F23*Outputs_Internal!$D$52/12</f>
        <v>5770.833333333333</v>
      </c>
      <c r="N23" s="65">
        <f>$F23*Outputs_Internal!K$52/12</f>
        <v>1991.6666666666667</v>
      </c>
      <c r="O23" s="65">
        <f>$F23*Outputs_Internal!L$52/12</f>
        <v>3345.8333333333335</v>
      </c>
      <c r="P23" s="65">
        <f>$F23*Outputs_Internal!M$52/12</f>
        <v>400</v>
      </c>
      <c r="Q23" s="65">
        <f>$F23*Outputs_Internal!N$52/12</f>
        <v>33.333333333333336</v>
      </c>
      <c r="S23" s="65">
        <f t="shared" si="2"/>
        <v>17312.5</v>
      </c>
      <c r="T23" s="65">
        <f t="shared" si="3"/>
        <v>5975</v>
      </c>
      <c r="U23" s="65">
        <f t="shared" si="4"/>
        <v>10037.5</v>
      </c>
      <c r="V23" s="65">
        <f t="shared" si="4"/>
        <v>1200</v>
      </c>
      <c r="W23" s="65">
        <f t="shared" si="4"/>
        <v>100</v>
      </c>
    </row>
    <row r="24" spans="2:23" x14ac:dyDescent="0.25">
      <c r="B24" s="62">
        <f t="shared" si="0"/>
        <v>43556</v>
      </c>
      <c r="D24" s="66">
        <f>D23*IF(AND(MONTH(B24)=1,YEAR(B24)&gt;=YEAR(Prices!$I$15)),1+Prices!$I$14,1)</f>
        <v>1.0125</v>
      </c>
      <c r="E24" s="66">
        <f>IF(B24=Inputs!$C$1,D24,E23)</f>
        <v>1</v>
      </c>
      <c r="F24" s="66">
        <f>IF(AND(B24&gt;=Inputs!$C$1,B24&lt;EDATE(Inputs!$C$1,Inputs!$C$2)),E24,0)</f>
        <v>1</v>
      </c>
      <c r="H24" s="65">
        <f>IF($B24=Inputs!$C$1,SUM(Outputs_Internal!$D$4, Outputs_Internal!$D$5),0)*$D24</f>
        <v>0</v>
      </c>
      <c r="I24" s="65">
        <f>IF($B24=Inputs!$C$1,SUM(Outputs_Internal!K$4, Outputs_Internal!K$5),0)*$D24</f>
        <v>0</v>
      </c>
      <c r="J24" s="65">
        <f>IF($B24=Inputs!$C$1,SUM(Outputs_Internal!L$4, Outputs_Internal!L$5),0)*$D24</f>
        <v>0</v>
      </c>
      <c r="K24" s="65">
        <f>IF($B24=Inputs!$C$1,SUM(Outputs_Internal!M$4, Outputs_Internal!$M$5),0)*$D24</f>
        <v>0</v>
      </c>
      <c r="M24" s="65">
        <f>$F24*Outputs_Internal!$D$52/12</f>
        <v>5770.833333333333</v>
      </c>
      <c r="N24" s="65">
        <f>$F24*Outputs_Internal!K$52/12</f>
        <v>1991.6666666666667</v>
      </c>
      <c r="O24" s="65">
        <f>$F24*Outputs_Internal!L$52/12</f>
        <v>3345.8333333333335</v>
      </c>
      <c r="P24" s="65">
        <f>$F24*Outputs_Internal!M$52/12</f>
        <v>400</v>
      </c>
      <c r="Q24" s="65">
        <f>$F24*Outputs_Internal!N$52/12</f>
        <v>33.333333333333336</v>
      </c>
      <c r="S24" s="65">
        <f t="shared" si="2"/>
        <v>0</v>
      </c>
      <c r="T24" s="65">
        <f t="shared" si="3"/>
        <v>0</v>
      </c>
      <c r="U24" s="65">
        <f t="shared" si="4"/>
        <v>0</v>
      </c>
      <c r="V24" s="65">
        <f t="shared" si="4"/>
        <v>0</v>
      </c>
      <c r="W24" s="65">
        <f t="shared" si="4"/>
        <v>0</v>
      </c>
    </row>
    <row r="25" spans="2:23" x14ac:dyDescent="0.25">
      <c r="B25" s="62">
        <f t="shared" si="0"/>
        <v>43586</v>
      </c>
      <c r="D25" s="66">
        <f>D24*IF(AND(MONTH(B25)=1,YEAR(B25)&gt;=YEAR(Prices!$I$15)),1+Prices!$I$14,1)</f>
        <v>1.0125</v>
      </c>
      <c r="E25" s="66">
        <f>IF(B25=Inputs!$C$1,D25,E24)</f>
        <v>1</v>
      </c>
      <c r="F25" s="66">
        <f>IF(AND(B25&gt;=Inputs!$C$1,B25&lt;EDATE(Inputs!$C$1,Inputs!$C$2)),E25,0)</f>
        <v>1</v>
      </c>
      <c r="H25" s="65">
        <f>IF($B25=Inputs!$C$1,SUM(Outputs_Internal!$D$4, Outputs_Internal!$D$5),0)*$D25</f>
        <v>0</v>
      </c>
      <c r="I25" s="65">
        <f>IF($B25=Inputs!$C$1,SUM(Outputs_Internal!K$4, Outputs_Internal!K$5),0)*$D25</f>
        <v>0</v>
      </c>
      <c r="J25" s="65">
        <f>IF($B25=Inputs!$C$1,SUM(Outputs_Internal!L$4, Outputs_Internal!L$5),0)*$D25</f>
        <v>0</v>
      </c>
      <c r="K25" s="65">
        <f>IF($B25=Inputs!$C$1,SUM(Outputs_Internal!M$4, Outputs_Internal!$M$5),0)*$D25</f>
        <v>0</v>
      </c>
      <c r="M25" s="65">
        <f>$F25*Outputs_Internal!$D$52/12</f>
        <v>5770.833333333333</v>
      </c>
      <c r="N25" s="65">
        <f>$F25*Outputs_Internal!K$52/12</f>
        <v>1991.6666666666667</v>
      </c>
      <c r="O25" s="65">
        <f>$F25*Outputs_Internal!L$52/12</f>
        <v>3345.8333333333335</v>
      </c>
      <c r="P25" s="65">
        <f>$F25*Outputs_Internal!M$52/12</f>
        <v>400</v>
      </c>
      <c r="Q25" s="65">
        <f>$F25*Outputs_Internal!N$52/12</f>
        <v>33.333333333333336</v>
      </c>
      <c r="S25" s="65">
        <f t="shared" si="2"/>
        <v>0</v>
      </c>
      <c r="T25" s="65">
        <f t="shared" si="3"/>
        <v>0</v>
      </c>
      <c r="U25" s="65">
        <f t="shared" si="4"/>
        <v>0</v>
      </c>
      <c r="V25" s="65">
        <f t="shared" si="4"/>
        <v>0</v>
      </c>
      <c r="W25" s="65">
        <f t="shared" si="4"/>
        <v>0</v>
      </c>
    </row>
    <row r="26" spans="2:23" x14ac:dyDescent="0.25">
      <c r="B26" s="62">
        <f t="shared" si="0"/>
        <v>43617</v>
      </c>
      <c r="D26" s="66">
        <f>D25*IF(AND(MONTH(B26)=1,YEAR(B26)&gt;=YEAR(Prices!$I$15)),1+Prices!$I$14,1)</f>
        <v>1.0125</v>
      </c>
      <c r="E26" s="66">
        <f>IF(B26=Inputs!$C$1,D26,E25)</f>
        <v>1</v>
      </c>
      <c r="F26" s="66">
        <f>IF(AND(B26&gt;=Inputs!$C$1,B26&lt;EDATE(Inputs!$C$1,Inputs!$C$2)),E26,0)</f>
        <v>1</v>
      </c>
      <c r="H26" s="65">
        <f>IF($B26=Inputs!$C$1,SUM(Outputs_Internal!$D$4, Outputs_Internal!$D$5),0)*$D26</f>
        <v>0</v>
      </c>
      <c r="I26" s="65">
        <f>IF($B26=Inputs!$C$1,SUM(Outputs_Internal!K$4, Outputs_Internal!K$5),0)*$D26</f>
        <v>0</v>
      </c>
      <c r="J26" s="65">
        <f>IF($B26=Inputs!$C$1,SUM(Outputs_Internal!L$4, Outputs_Internal!L$5),0)*$D26</f>
        <v>0</v>
      </c>
      <c r="K26" s="65">
        <f>IF($B26=Inputs!$C$1,SUM(Outputs_Internal!M$4, Outputs_Internal!$M$5),0)*$D26</f>
        <v>0</v>
      </c>
      <c r="M26" s="65">
        <f>$F26*Outputs_Internal!$D$52/12</f>
        <v>5770.833333333333</v>
      </c>
      <c r="N26" s="65">
        <f>$F26*Outputs_Internal!K$52/12</f>
        <v>1991.6666666666667</v>
      </c>
      <c r="O26" s="65">
        <f>$F26*Outputs_Internal!L$52/12</f>
        <v>3345.8333333333335</v>
      </c>
      <c r="P26" s="65">
        <f>$F26*Outputs_Internal!M$52/12</f>
        <v>400</v>
      </c>
      <c r="Q26" s="65">
        <f>$F26*Outputs_Internal!N$52/12</f>
        <v>33.333333333333336</v>
      </c>
      <c r="S26" s="65">
        <f t="shared" si="2"/>
        <v>17312.5</v>
      </c>
      <c r="T26" s="65">
        <f t="shared" si="3"/>
        <v>5975</v>
      </c>
      <c r="U26" s="65">
        <f t="shared" si="4"/>
        <v>10037.5</v>
      </c>
      <c r="V26" s="65">
        <f t="shared" si="4"/>
        <v>1200</v>
      </c>
      <c r="W26" s="65">
        <f t="shared" si="4"/>
        <v>100</v>
      </c>
    </row>
    <row r="27" spans="2:23" x14ac:dyDescent="0.25">
      <c r="B27" s="62">
        <f t="shared" si="0"/>
        <v>43647</v>
      </c>
      <c r="D27" s="66">
        <f>D26*IF(AND(MONTH(B27)=1,YEAR(B27)&gt;=YEAR(Prices!$I$15)),1+Prices!$I$14,1)</f>
        <v>1.0125</v>
      </c>
      <c r="E27" s="66">
        <f>IF(B27=Inputs!$C$1,D27,E26)</f>
        <v>1</v>
      </c>
      <c r="F27" s="66">
        <f>IF(AND(B27&gt;=Inputs!$C$1,B27&lt;EDATE(Inputs!$C$1,Inputs!$C$2)),E27,0)</f>
        <v>1</v>
      </c>
      <c r="H27" s="65">
        <f>IF($B27=Inputs!$C$1,SUM(Outputs_Internal!$D$4, Outputs_Internal!$D$5),0)*$D27</f>
        <v>0</v>
      </c>
      <c r="I27" s="65">
        <f>IF($B27=Inputs!$C$1,SUM(Outputs_Internal!K$4, Outputs_Internal!K$5),0)*$D27</f>
        <v>0</v>
      </c>
      <c r="J27" s="65">
        <f>IF($B27=Inputs!$C$1,SUM(Outputs_Internal!L$4, Outputs_Internal!L$5),0)*$D27</f>
        <v>0</v>
      </c>
      <c r="K27" s="65">
        <f>IF($B27=Inputs!$C$1,SUM(Outputs_Internal!M$4, Outputs_Internal!$M$5),0)*$D27</f>
        <v>0</v>
      </c>
      <c r="M27" s="65">
        <f>$F27*Outputs_Internal!$D$52/12</f>
        <v>5770.833333333333</v>
      </c>
      <c r="N27" s="65">
        <f>$F27*Outputs_Internal!K$52/12</f>
        <v>1991.6666666666667</v>
      </c>
      <c r="O27" s="65">
        <f>$F27*Outputs_Internal!L$52/12</f>
        <v>3345.8333333333335</v>
      </c>
      <c r="P27" s="65">
        <f>$F27*Outputs_Internal!M$52/12</f>
        <v>400</v>
      </c>
      <c r="Q27" s="65">
        <f>$F27*Outputs_Internal!N$52/12</f>
        <v>33.333333333333336</v>
      </c>
      <c r="S27" s="65">
        <f t="shared" si="2"/>
        <v>0</v>
      </c>
      <c r="T27" s="65">
        <f t="shared" si="3"/>
        <v>0</v>
      </c>
      <c r="U27" s="65">
        <f t="shared" si="4"/>
        <v>0</v>
      </c>
      <c r="V27" s="65">
        <f t="shared" si="4"/>
        <v>0</v>
      </c>
      <c r="W27" s="65">
        <f t="shared" si="4"/>
        <v>0</v>
      </c>
    </row>
    <row r="28" spans="2:23" x14ac:dyDescent="0.25">
      <c r="B28" s="62">
        <f t="shared" si="0"/>
        <v>43678</v>
      </c>
      <c r="D28" s="66">
        <f>D27*IF(AND(MONTH(B28)=1,YEAR(B28)&gt;=YEAR(Prices!$I$15)),1+Prices!$I$14,1)</f>
        <v>1.0125</v>
      </c>
      <c r="E28" s="66">
        <f>IF(B28=Inputs!$C$1,D28,E27)</f>
        <v>1</v>
      </c>
      <c r="F28" s="66">
        <f>IF(AND(B28&gt;=Inputs!$C$1,B28&lt;EDATE(Inputs!$C$1,Inputs!$C$2)),E28,0)</f>
        <v>1</v>
      </c>
      <c r="H28" s="65">
        <f>IF($B28=Inputs!$C$1,SUM(Outputs_Internal!$D$4, Outputs_Internal!$D$5),0)*$D28</f>
        <v>0</v>
      </c>
      <c r="I28" s="65">
        <f>IF($B28=Inputs!$C$1,SUM(Outputs_Internal!K$4, Outputs_Internal!K$5),0)*$D28</f>
        <v>0</v>
      </c>
      <c r="J28" s="65">
        <f>IF($B28=Inputs!$C$1,SUM(Outputs_Internal!L$4, Outputs_Internal!L$5),0)*$D28</f>
        <v>0</v>
      </c>
      <c r="K28" s="65">
        <f>IF($B28=Inputs!$C$1,SUM(Outputs_Internal!M$4, Outputs_Internal!$M$5),0)*$D28</f>
        <v>0</v>
      </c>
      <c r="M28" s="65">
        <f>$F28*Outputs_Internal!$D$52/12</f>
        <v>5770.833333333333</v>
      </c>
      <c r="N28" s="65">
        <f>$F28*Outputs_Internal!K$52/12</f>
        <v>1991.6666666666667</v>
      </c>
      <c r="O28" s="65">
        <f>$F28*Outputs_Internal!L$52/12</f>
        <v>3345.8333333333335</v>
      </c>
      <c r="P28" s="65">
        <f>$F28*Outputs_Internal!M$52/12</f>
        <v>400</v>
      </c>
      <c r="Q28" s="65">
        <f>$F28*Outputs_Internal!N$52/12</f>
        <v>33.333333333333336</v>
      </c>
      <c r="S28" s="65">
        <f t="shared" si="2"/>
        <v>0</v>
      </c>
      <c r="T28" s="65">
        <f t="shared" si="3"/>
        <v>0</v>
      </c>
      <c r="U28" s="65">
        <f t="shared" si="4"/>
        <v>0</v>
      </c>
      <c r="V28" s="65">
        <f t="shared" si="4"/>
        <v>0</v>
      </c>
      <c r="W28" s="65">
        <f t="shared" si="4"/>
        <v>0</v>
      </c>
    </row>
    <row r="29" spans="2:23" x14ac:dyDescent="0.25">
      <c r="B29" s="62">
        <f t="shared" si="0"/>
        <v>43709</v>
      </c>
      <c r="D29" s="66">
        <f>D28*IF(AND(MONTH(B29)=1,YEAR(B29)&gt;=YEAR(Prices!$I$15)),1+Prices!$I$14,1)</f>
        <v>1.0125</v>
      </c>
      <c r="E29" s="66">
        <f>IF(B29=Inputs!$C$1,D29,E28)</f>
        <v>1</v>
      </c>
      <c r="F29" s="66">
        <f>IF(AND(B29&gt;=Inputs!$C$1,B29&lt;EDATE(Inputs!$C$1,Inputs!$C$2)),E29,0)</f>
        <v>1</v>
      </c>
      <c r="H29" s="65">
        <f>IF($B29=Inputs!$C$1,SUM(Outputs_Internal!$D$4, Outputs_Internal!$D$5),0)*$D29</f>
        <v>0</v>
      </c>
      <c r="I29" s="65">
        <f>IF($B29=Inputs!$C$1,SUM(Outputs_Internal!K$4, Outputs_Internal!K$5),0)*$D29</f>
        <v>0</v>
      </c>
      <c r="J29" s="65">
        <f>IF($B29=Inputs!$C$1,SUM(Outputs_Internal!L$4, Outputs_Internal!L$5),0)*$D29</f>
        <v>0</v>
      </c>
      <c r="K29" s="65">
        <f>IF($B29=Inputs!$C$1,SUM(Outputs_Internal!M$4, Outputs_Internal!$M$5),0)*$D29</f>
        <v>0</v>
      </c>
      <c r="M29" s="65">
        <f>$F29*Outputs_Internal!$D$52/12</f>
        <v>5770.833333333333</v>
      </c>
      <c r="N29" s="65">
        <f>$F29*Outputs_Internal!K$52/12</f>
        <v>1991.6666666666667</v>
      </c>
      <c r="O29" s="65">
        <f>$F29*Outputs_Internal!L$52/12</f>
        <v>3345.8333333333335</v>
      </c>
      <c r="P29" s="65">
        <f>$F29*Outputs_Internal!M$52/12</f>
        <v>400</v>
      </c>
      <c r="Q29" s="65">
        <f>$F29*Outputs_Internal!N$52/12</f>
        <v>33.333333333333336</v>
      </c>
      <c r="S29" s="65">
        <f t="shared" si="2"/>
        <v>17312.5</v>
      </c>
      <c r="T29" s="65">
        <f t="shared" si="3"/>
        <v>5975</v>
      </c>
      <c r="U29" s="65">
        <f t="shared" si="4"/>
        <v>10037.5</v>
      </c>
      <c r="V29" s="65">
        <f t="shared" si="4"/>
        <v>1200</v>
      </c>
      <c r="W29" s="65">
        <f t="shared" si="4"/>
        <v>100</v>
      </c>
    </row>
    <row r="30" spans="2:23" x14ac:dyDescent="0.25">
      <c r="B30" s="62">
        <f t="shared" si="0"/>
        <v>43739</v>
      </c>
      <c r="D30" s="66">
        <f>D29*IF(AND(MONTH(B30)=1,YEAR(B30)&gt;=YEAR(Prices!$I$15)),1+Prices!$I$14,1)</f>
        <v>1.0125</v>
      </c>
      <c r="E30" s="66">
        <f>IF(B30=Inputs!$C$1,D30,E29)</f>
        <v>1</v>
      </c>
      <c r="F30" s="66">
        <f>IF(AND(B30&gt;=Inputs!$C$1,B30&lt;EDATE(Inputs!$C$1,Inputs!$C$2)),E30,0)</f>
        <v>1</v>
      </c>
      <c r="H30" s="65">
        <f>IF($B30=Inputs!$C$1,SUM(Outputs_Internal!$D$4, Outputs_Internal!$D$5),0)*$D30</f>
        <v>0</v>
      </c>
      <c r="I30" s="65">
        <f>IF($B30=Inputs!$C$1,SUM(Outputs_Internal!K$4, Outputs_Internal!K$5),0)*$D30</f>
        <v>0</v>
      </c>
      <c r="J30" s="65">
        <f>IF($B30=Inputs!$C$1,SUM(Outputs_Internal!L$4, Outputs_Internal!L$5),0)*$D30</f>
        <v>0</v>
      </c>
      <c r="K30" s="65">
        <f>IF($B30=Inputs!$C$1,SUM(Outputs_Internal!M$4, Outputs_Internal!$M$5),0)*$D30</f>
        <v>0</v>
      </c>
      <c r="M30" s="65">
        <f>$F30*Outputs_Internal!$D$52/12</f>
        <v>5770.833333333333</v>
      </c>
      <c r="N30" s="65">
        <f>$F30*Outputs_Internal!K$52/12</f>
        <v>1991.6666666666667</v>
      </c>
      <c r="O30" s="65">
        <f>$F30*Outputs_Internal!L$52/12</f>
        <v>3345.8333333333335</v>
      </c>
      <c r="P30" s="65">
        <f>$F30*Outputs_Internal!M$52/12</f>
        <v>400</v>
      </c>
      <c r="Q30" s="65">
        <f>$F30*Outputs_Internal!N$52/12</f>
        <v>33.333333333333336</v>
      </c>
      <c r="S30" s="65">
        <f t="shared" si="2"/>
        <v>0</v>
      </c>
      <c r="T30" s="65">
        <f t="shared" si="3"/>
        <v>0</v>
      </c>
      <c r="U30" s="65">
        <f t="shared" si="4"/>
        <v>0</v>
      </c>
      <c r="V30" s="65">
        <f t="shared" si="4"/>
        <v>0</v>
      </c>
      <c r="W30" s="65">
        <f t="shared" si="4"/>
        <v>0</v>
      </c>
    </row>
    <row r="31" spans="2:23" x14ac:dyDescent="0.25">
      <c r="B31" s="62">
        <f t="shared" si="0"/>
        <v>43770</v>
      </c>
      <c r="D31" s="66">
        <f>D30*IF(AND(MONTH(B31)=1,YEAR(B31)&gt;=YEAR(Prices!$I$15)),1+Prices!$I$14,1)</f>
        <v>1.0125</v>
      </c>
      <c r="E31" s="66">
        <f>IF(B31=Inputs!$C$1,D31,E30)</f>
        <v>1</v>
      </c>
      <c r="F31" s="66">
        <f>IF(AND(B31&gt;=Inputs!$C$1,B31&lt;EDATE(Inputs!$C$1,Inputs!$C$2)),E31,0)</f>
        <v>1</v>
      </c>
      <c r="H31" s="65">
        <f>IF($B31=Inputs!$C$1,SUM(Outputs_Internal!$D$4, Outputs_Internal!$D$5),0)*$D31</f>
        <v>0</v>
      </c>
      <c r="I31" s="65">
        <f>IF($B31=Inputs!$C$1,SUM(Outputs_Internal!K$4, Outputs_Internal!K$5),0)*$D31</f>
        <v>0</v>
      </c>
      <c r="J31" s="65">
        <f>IF($B31=Inputs!$C$1,SUM(Outputs_Internal!L$4, Outputs_Internal!L$5),0)*$D31</f>
        <v>0</v>
      </c>
      <c r="K31" s="65">
        <f>IF($B31=Inputs!$C$1,SUM(Outputs_Internal!M$4, Outputs_Internal!$M$5),0)*$D31</f>
        <v>0</v>
      </c>
      <c r="M31" s="65">
        <f>$F31*Outputs_Internal!$D$52/12</f>
        <v>5770.833333333333</v>
      </c>
      <c r="N31" s="65">
        <f>$F31*Outputs_Internal!K$52/12</f>
        <v>1991.6666666666667</v>
      </c>
      <c r="O31" s="65">
        <f>$F31*Outputs_Internal!L$52/12</f>
        <v>3345.8333333333335</v>
      </c>
      <c r="P31" s="65">
        <f>$F31*Outputs_Internal!M$52/12</f>
        <v>400</v>
      </c>
      <c r="Q31" s="65">
        <f>$F31*Outputs_Internal!N$52/12</f>
        <v>33.333333333333336</v>
      </c>
      <c r="S31" s="65">
        <f t="shared" si="2"/>
        <v>0</v>
      </c>
      <c r="T31" s="65">
        <f t="shared" si="3"/>
        <v>0</v>
      </c>
      <c r="U31" s="65">
        <f t="shared" si="4"/>
        <v>0</v>
      </c>
      <c r="V31" s="65">
        <f t="shared" si="4"/>
        <v>0</v>
      </c>
      <c r="W31" s="65">
        <f t="shared" si="4"/>
        <v>0</v>
      </c>
    </row>
    <row r="32" spans="2:23" x14ac:dyDescent="0.25">
      <c r="B32" s="62">
        <f t="shared" si="0"/>
        <v>43800</v>
      </c>
      <c r="D32" s="66">
        <f>D31*IF(AND(MONTH(B32)=1,YEAR(B32)&gt;=YEAR(Prices!$I$15)),1+Prices!$I$14,1)</f>
        <v>1.0125</v>
      </c>
      <c r="E32" s="66">
        <f>IF(B32=Inputs!$C$1,D32,E31)</f>
        <v>1</v>
      </c>
      <c r="F32" s="66">
        <f>IF(AND(B32&gt;=Inputs!$C$1,B32&lt;EDATE(Inputs!$C$1,Inputs!$C$2)),E32,0)</f>
        <v>1</v>
      </c>
      <c r="H32" s="65">
        <f>IF($B32=Inputs!$C$1,SUM(Outputs_Internal!$D$4, Outputs_Internal!$D$5),0)*$D32</f>
        <v>0</v>
      </c>
      <c r="I32" s="65">
        <f>IF($B32=Inputs!$C$1,SUM(Outputs_Internal!K$4, Outputs_Internal!K$5),0)*$D32</f>
        <v>0</v>
      </c>
      <c r="J32" s="65">
        <f>IF($B32=Inputs!$C$1,SUM(Outputs_Internal!L$4, Outputs_Internal!L$5),0)*$D32</f>
        <v>0</v>
      </c>
      <c r="K32" s="65">
        <f>IF($B32=Inputs!$C$1,SUM(Outputs_Internal!M$4, Outputs_Internal!$M$5),0)*$D32</f>
        <v>0</v>
      </c>
      <c r="M32" s="65">
        <f>$F32*Outputs_Internal!$D$52/12</f>
        <v>5770.833333333333</v>
      </c>
      <c r="N32" s="65">
        <f>$F32*Outputs_Internal!K$52/12</f>
        <v>1991.6666666666667</v>
      </c>
      <c r="O32" s="65">
        <f>$F32*Outputs_Internal!L$52/12</f>
        <v>3345.8333333333335</v>
      </c>
      <c r="P32" s="65">
        <f>$F32*Outputs_Internal!M$52/12</f>
        <v>400</v>
      </c>
      <c r="Q32" s="65">
        <f>$F32*Outputs_Internal!N$52/12</f>
        <v>33.333333333333336</v>
      </c>
      <c r="S32" s="65">
        <f t="shared" si="2"/>
        <v>17312.5</v>
      </c>
      <c r="T32" s="65">
        <f t="shared" si="3"/>
        <v>5975</v>
      </c>
      <c r="U32" s="65">
        <f t="shared" si="4"/>
        <v>10037.5</v>
      </c>
      <c r="V32" s="65">
        <f t="shared" si="4"/>
        <v>1200</v>
      </c>
      <c r="W32" s="65">
        <f t="shared" si="4"/>
        <v>100</v>
      </c>
    </row>
    <row r="33" spans="2:23" x14ac:dyDescent="0.25">
      <c r="B33" s="62">
        <f t="shared" si="0"/>
        <v>43831</v>
      </c>
      <c r="D33" s="66">
        <f>D32*IF(AND(MONTH(B33)=1,YEAR(B33)&gt;=YEAR(Prices!$I$15)),1+Prices!$I$14,1)</f>
        <v>1.02515625</v>
      </c>
      <c r="E33" s="66">
        <f>IF(B33=Inputs!$C$1,D33,E32)</f>
        <v>1</v>
      </c>
      <c r="F33" s="66">
        <f>IF(AND(B33&gt;=Inputs!$C$1,B33&lt;EDATE(Inputs!$C$1,Inputs!$C$2)),E33,0)</f>
        <v>1</v>
      </c>
      <c r="H33" s="65">
        <f>IF($B33=Inputs!$C$1,SUM(Outputs_Internal!$D$4, Outputs_Internal!$D$5),0)*$D33</f>
        <v>0</v>
      </c>
      <c r="I33" s="65">
        <f>IF($B33=Inputs!$C$1,SUM(Outputs_Internal!K$4, Outputs_Internal!K$5),0)*$D33</f>
        <v>0</v>
      </c>
      <c r="J33" s="65">
        <f>IF($B33=Inputs!$C$1,SUM(Outputs_Internal!L$4, Outputs_Internal!L$5),0)*$D33</f>
        <v>0</v>
      </c>
      <c r="K33" s="65">
        <f>IF($B33=Inputs!$C$1,SUM(Outputs_Internal!M$4, Outputs_Internal!$M$5),0)*$D33</f>
        <v>0</v>
      </c>
      <c r="M33" s="65">
        <f>$F33*Outputs_Internal!$D$52/12</f>
        <v>5770.833333333333</v>
      </c>
      <c r="N33" s="65">
        <f>$F33*Outputs_Internal!K$52/12</f>
        <v>1991.6666666666667</v>
      </c>
      <c r="O33" s="65">
        <f>$F33*Outputs_Internal!L$52/12</f>
        <v>3345.8333333333335</v>
      </c>
      <c r="P33" s="65">
        <f>$F33*Outputs_Internal!M$52/12</f>
        <v>400</v>
      </c>
      <c r="Q33" s="65">
        <f>$F33*Outputs_Internal!N$52/12</f>
        <v>33.333333333333336</v>
      </c>
      <c r="S33" s="65">
        <f t="shared" si="2"/>
        <v>0</v>
      </c>
      <c r="T33" s="65">
        <f t="shared" si="3"/>
        <v>0</v>
      </c>
      <c r="U33" s="65">
        <f t="shared" si="4"/>
        <v>0</v>
      </c>
      <c r="V33" s="65">
        <f t="shared" si="4"/>
        <v>0</v>
      </c>
      <c r="W33" s="65">
        <f t="shared" si="4"/>
        <v>0</v>
      </c>
    </row>
    <row r="34" spans="2:23" x14ac:dyDescent="0.25">
      <c r="B34" s="62">
        <f t="shared" si="0"/>
        <v>43862</v>
      </c>
      <c r="D34" s="66">
        <f>D33*IF(AND(MONTH(B34)=1,YEAR(B34)&gt;=YEAR(Prices!$I$15)),1+Prices!$I$14,1)</f>
        <v>1.02515625</v>
      </c>
      <c r="E34" s="66">
        <f>IF(B34=Inputs!$C$1,D34,E33)</f>
        <v>1</v>
      </c>
      <c r="F34" s="66">
        <f>IF(AND(B34&gt;=Inputs!$C$1,B34&lt;EDATE(Inputs!$C$1,Inputs!$C$2)),E34,0)</f>
        <v>1</v>
      </c>
      <c r="H34" s="65">
        <f>IF($B34=Inputs!$C$1,SUM(Outputs_Internal!$D$4, Outputs_Internal!$D$5),0)*$D34</f>
        <v>0</v>
      </c>
      <c r="I34" s="65">
        <f>IF($B34=Inputs!$C$1,SUM(Outputs_Internal!K$4, Outputs_Internal!K$5),0)*$D34</f>
        <v>0</v>
      </c>
      <c r="J34" s="65">
        <f>IF($B34=Inputs!$C$1,SUM(Outputs_Internal!L$4, Outputs_Internal!L$5),0)*$D34</f>
        <v>0</v>
      </c>
      <c r="K34" s="65">
        <f>IF($B34=Inputs!$C$1,SUM(Outputs_Internal!M$4, Outputs_Internal!$M$5),0)*$D34</f>
        <v>0</v>
      </c>
      <c r="M34" s="65">
        <f>$F34*Outputs_Internal!$D$52/12</f>
        <v>5770.833333333333</v>
      </c>
      <c r="N34" s="65">
        <f>$F34*Outputs_Internal!K$52/12</f>
        <v>1991.6666666666667</v>
      </c>
      <c r="O34" s="65">
        <f>$F34*Outputs_Internal!L$52/12</f>
        <v>3345.8333333333335</v>
      </c>
      <c r="P34" s="65">
        <f>$F34*Outputs_Internal!M$52/12</f>
        <v>400</v>
      </c>
      <c r="Q34" s="65">
        <f>$F34*Outputs_Internal!N$52/12</f>
        <v>33.333333333333336</v>
      </c>
      <c r="S34" s="65">
        <f t="shared" si="2"/>
        <v>0</v>
      </c>
      <c r="T34" s="65">
        <f t="shared" si="3"/>
        <v>0</v>
      </c>
      <c r="U34" s="65">
        <f t="shared" si="4"/>
        <v>0</v>
      </c>
      <c r="V34" s="65">
        <f t="shared" si="4"/>
        <v>0</v>
      </c>
      <c r="W34" s="65">
        <f t="shared" si="4"/>
        <v>0</v>
      </c>
    </row>
    <row r="35" spans="2:23" x14ac:dyDescent="0.25">
      <c r="B35" s="62">
        <f t="shared" si="0"/>
        <v>43891</v>
      </c>
      <c r="D35" s="66">
        <f>D34*IF(AND(MONTH(B35)=1,YEAR(B35)&gt;=YEAR(Prices!$I$15)),1+Prices!$I$14,1)</f>
        <v>1.02515625</v>
      </c>
      <c r="E35" s="66">
        <f>IF(B35=Inputs!$C$1,D35,E34)</f>
        <v>1</v>
      </c>
      <c r="F35" s="66">
        <f>IF(AND(B35&gt;=Inputs!$C$1,B35&lt;EDATE(Inputs!$C$1,Inputs!$C$2)),E35,0)</f>
        <v>1</v>
      </c>
      <c r="H35" s="65">
        <f>IF($B35=Inputs!$C$1,SUM(Outputs_Internal!$D$4, Outputs_Internal!$D$5),0)*$D35</f>
        <v>0</v>
      </c>
      <c r="I35" s="65">
        <f>IF($B35=Inputs!$C$1,SUM(Outputs_Internal!K$4, Outputs_Internal!K$5),0)*$D35</f>
        <v>0</v>
      </c>
      <c r="J35" s="65">
        <f>IF($B35=Inputs!$C$1,SUM(Outputs_Internal!L$4, Outputs_Internal!L$5),0)*$D35</f>
        <v>0</v>
      </c>
      <c r="K35" s="65">
        <f>IF($B35=Inputs!$C$1,SUM(Outputs_Internal!M$4, Outputs_Internal!$M$5),0)*$D35</f>
        <v>0</v>
      </c>
      <c r="M35" s="65">
        <f>$F35*Outputs_Internal!$D$52/12</f>
        <v>5770.833333333333</v>
      </c>
      <c r="N35" s="65">
        <f>$F35*Outputs_Internal!K$52/12</f>
        <v>1991.6666666666667</v>
      </c>
      <c r="O35" s="65">
        <f>$F35*Outputs_Internal!L$52/12</f>
        <v>3345.8333333333335</v>
      </c>
      <c r="P35" s="65">
        <f>$F35*Outputs_Internal!M$52/12</f>
        <v>400</v>
      </c>
      <c r="Q35" s="65">
        <f>$F35*Outputs_Internal!N$52/12</f>
        <v>33.333333333333336</v>
      </c>
      <c r="S35" s="65">
        <f t="shared" si="2"/>
        <v>17312.5</v>
      </c>
      <c r="T35" s="65">
        <f t="shared" si="3"/>
        <v>5975</v>
      </c>
      <c r="U35" s="65">
        <f t="shared" si="4"/>
        <v>10037.5</v>
      </c>
      <c r="V35" s="65">
        <f t="shared" si="4"/>
        <v>1200</v>
      </c>
      <c r="W35" s="65">
        <f t="shared" si="4"/>
        <v>100</v>
      </c>
    </row>
    <row r="36" spans="2:23" x14ac:dyDescent="0.25">
      <c r="B36" s="62">
        <f t="shared" si="0"/>
        <v>43922</v>
      </c>
      <c r="D36" s="66">
        <f>D35*IF(AND(MONTH(B36)=1,YEAR(B36)&gt;=YEAR(Prices!$I$15)),1+Prices!$I$14,1)</f>
        <v>1.02515625</v>
      </c>
      <c r="E36" s="66">
        <f>IF(B36=Inputs!$C$1,D36,E35)</f>
        <v>1</v>
      </c>
      <c r="F36" s="66">
        <f>IF(AND(B36&gt;=Inputs!$C$1,B36&lt;EDATE(Inputs!$C$1,Inputs!$C$2)),E36,0)</f>
        <v>1</v>
      </c>
      <c r="H36" s="65">
        <f>IF($B36=Inputs!$C$1,SUM(Outputs_Internal!$D$4, Outputs_Internal!$D$5),0)*$D36</f>
        <v>0</v>
      </c>
      <c r="I36" s="65">
        <f>IF($B36=Inputs!$C$1,SUM(Outputs_Internal!K$4, Outputs_Internal!K$5),0)*$D36</f>
        <v>0</v>
      </c>
      <c r="J36" s="65">
        <f>IF($B36=Inputs!$C$1,SUM(Outputs_Internal!L$4, Outputs_Internal!L$5),0)*$D36</f>
        <v>0</v>
      </c>
      <c r="K36" s="65">
        <f>IF($B36=Inputs!$C$1,SUM(Outputs_Internal!M$4, Outputs_Internal!$M$5),0)*$D36</f>
        <v>0</v>
      </c>
      <c r="M36" s="65">
        <f>$F36*Outputs_Internal!$D$52/12</f>
        <v>5770.833333333333</v>
      </c>
      <c r="N36" s="65">
        <f>$F36*Outputs_Internal!K$52/12</f>
        <v>1991.6666666666667</v>
      </c>
      <c r="O36" s="65">
        <f>$F36*Outputs_Internal!L$52/12</f>
        <v>3345.8333333333335</v>
      </c>
      <c r="P36" s="65">
        <f>$F36*Outputs_Internal!M$52/12</f>
        <v>400</v>
      </c>
      <c r="Q36" s="65">
        <f>$F36*Outputs_Internal!N$52/12</f>
        <v>33.333333333333336</v>
      </c>
      <c r="S36" s="65">
        <f t="shared" si="2"/>
        <v>0</v>
      </c>
      <c r="T36" s="65">
        <f t="shared" si="3"/>
        <v>0</v>
      </c>
      <c r="U36" s="65">
        <f t="shared" si="4"/>
        <v>0</v>
      </c>
      <c r="V36" s="65">
        <f t="shared" si="4"/>
        <v>0</v>
      </c>
      <c r="W36" s="65">
        <f t="shared" si="4"/>
        <v>0</v>
      </c>
    </row>
    <row r="37" spans="2:23" x14ac:dyDescent="0.25">
      <c r="B37" s="62">
        <f t="shared" si="0"/>
        <v>43952</v>
      </c>
      <c r="D37" s="66">
        <f>D36*IF(AND(MONTH(B37)=1,YEAR(B37)&gt;=YEAR(Prices!$I$15)),1+Prices!$I$14,1)</f>
        <v>1.02515625</v>
      </c>
      <c r="E37" s="66">
        <f>IF(B37=Inputs!$C$1,D37,E36)</f>
        <v>1</v>
      </c>
      <c r="F37" s="66">
        <f>IF(AND(B37&gt;=Inputs!$C$1,B37&lt;EDATE(Inputs!$C$1,Inputs!$C$2)),E37,0)</f>
        <v>1</v>
      </c>
      <c r="H37" s="65">
        <f>IF($B37=Inputs!$C$1,SUM(Outputs_Internal!$D$4, Outputs_Internal!$D$5),0)*$D37</f>
        <v>0</v>
      </c>
      <c r="I37" s="65">
        <f>IF($B37=Inputs!$C$1,SUM(Outputs_Internal!K$4, Outputs_Internal!K$5),0)*$D37</f>
        <v>0</v>
      </c>
      <c r="J37" s="65">
        <f>IF($B37=Inputs!$C$1,SUM(Outputs_Internal!L$4, Outputs_Internal!L$5),0)*$D37</f>
        <v>0</v>
      </c>
      <c r="K37" s="65">
        <f>IF($B37=Inputs!$C$1,SUM(Outputs_Internal!M$4, Outputs_Internal!$M$5),0)*$D37</f>
        <v>0</v>
      </c>
      <c r="M37" s="65">
        <f>$F37*Outputs_Internal!$D$52/12</f>
        <v>5770.833333333333</v>
      </c>
      <c r="N37" s="65">
        <f>$F37*Outputs_Internal!K$52/12</f>
        <v>1991.6666666666667</v>
      </c>
      <c r="O37" s="65">
        <f>$F37*Outputs_Internal!L$52/12</f>
        <v>3345.8333333333335</v>
      </c>
      <c r="P37" s="65">
        <f>$F37*Outputs_Internal!M$52/12</f>
        <v>400</v>
      </c>
      <c r="Q37" s="65">
        <f>$F37*Outputs_Internal!N$52/12</f>
        <v>33.333333333333336</v>
      </c>
      <c r="S37" s="65">
        <f t="shared" si="2"/>
        <v>0</v>
      </c>
      <c r="T37" s="65">
        <f t="shared" si="3"/>
        <v>0</v>
      </c>
      <c r="U37" s="65">
        <f t="shared" si="4"/>
        <v>0</v>
      </c>
      <c r="V37" s="65">
        <f t="shared" si="4"/>
        <v>0</v>
      </c>
      <c r="W37" s="65">
        <f t="shared" si="4"/>
        <v>0</v>
      </c>
    </row>
    <row r="38" spans="2:23" x14ac:dyDescent="0.25">
      <c r="B38" s="62">
        <f t="shared" si="0"/>
        <v>43983</v>
      </c>
      <c r="D38" s="66">
        <f>D37*IF(AND(MONTH(B38)=1,YEAR(B38)&gt;=YEAR(Prices!$I$15)),1+Prices!$I$14,1)</f>
        <v>1.02515625</v>
      </c>
      <c r="E38" s="66">
        <f>IF(B38=Inputs!$C$1,D38,E37)</f>
        <v>1</v>
      </c>
      <c r="F38" s="66">
        <f>IF(AND(B38&gt;=Inputs!$C$1,B38&lt;EDATE(Inputs!$C$1,Inputs!$C$2)),E38,0)</f>
        <v>1</v>
      </c>
      <c r="H38" s="65">
        <f>IF($B38=Inputs!$C$1,SUM(Outputs_Internal!$D$4, Outputs_Internal!$D$5),0)*$D38</f>
        <v>0</v>
      </c>
      <c r="I38" s="65">
        <f>IF($B38=Inputs!$C$1,SUM(Outputs_Internal!K$4, Outputs_Internal!K$5),0)*$D38</f>
        <v>0</v>
      </c>
      <c r="J38" s="65">
        <f>IF($B38=Inputs!$C$1,SUM(Outputs_Internal!L$4, Outputs_Internal!L$5),0)*$D38</f>
        <v>0</v>
      </c>
      <c r="K38" s="65">
        <f>IF($B38=Inputs!$C$1,SUM(Outputs_Internal!M$4, Outputs_Internal!$M$5),0)*$D38</f>
        <v>0</v>
      </c>
      <c r="M38" s="65">
        <f>$F38*Outputs_Internal!$D$52/12</f>
        <v>5770.833333333333</v>
      </c>
      <c r="N38" s="65">
        <f>$F38*Outputs_Internal!K$52/12</f>
        <v>1991.6666666666667</v>
      </c>
      <c r="O38" s="65">
        <f>$F38*Outputs_Internal!L$52/12</f>
        <v>3345.8333333333335</v>
      </c>
      <c r="P38" s="65">
        <f>$F38*Outputs_Internal!M$52/12</f>
        <v>400</v>
      </c>
      <c r="Q38" s="65">
        <f>$F38*Outputs_Internal!N$52/12</f>
        <v>33.333333333333336</v>
      </c>
      <c r="S38" s="65">
        <f t="shared" si="2"/>
        <v>17312.5</v>
      </c>
      <c r="T38" s="65">
        <f t="shared" si="3"/>
        <v>5975</v>
      </c>
      <c r="U38" s="65">
        <f t="shared" si="4"/>
        <v>10037.5</v>
      </c>
      <c r="V38" s="65">
        <f t="shared" si="4"/>
        <v>1200</v>
      </c>
      <c r="W38" s="65">
        <f t="shared" si="4"/>
        <v>100</v>
      </c>
    </row>
    <row r="39" spans="2:23" x14ac:dyDescent="0.25">
      <c r="B39" s="62">
        <f t="shared" si="0"/>
        <v>44013</v>
      </c>
      <c r="D39" s="66">
        <f>D38*IF(AND(MONTH(B39)=1,YEAR(B39)&gt;=YEAR(Prices!$I$15)),1+Prices!$I$14,1)</f>
        <v>1.02515625</v>
      </c>
      <c r="E39" s="66">
        <f>IF(B39=Inputs!$C$1,D39,E38)</f>
        <v>1</v>
      </c>
      <c r="F39" s="66">
        <f>IF(AND(B39&gt;=Inputs!$C$1,B39&lt;EDATE(Inputs!$C$1,Inputs!$C$2)),E39,0)</f>
        <v>1</v>
      </c>
      <c r="H39" s="65">
        <f>IF($B39=Inputs!$C$1,SUM(Outputs_Internal!$D$4, Outputs_Internal!$D$5),0)*$D39</f>
        <v>0</v>
      </c>
      <c r="I39" s="65">
        <f>IF($B39=Inputs!$C$1,SUM(Outputs_Internal!K$4, Outputs_Internal!K$5),0)*$D39</f>
        <v>0</v>
      </c>
      <c r="J39" s="65">
        <f>IF($B39=Inputs!$C$1,SUM(Outputs_Internal!L$4, Outputs_Internal!L$5),0)*$D39</f>
        <v>0</v>
      </c>
      <c r="K39" s="65">
        <f>IF($B39=Inputs!$C$1,SUM(Outputs_Internal!M$4, Outputs_Internal!$M$5),0)*$D39</f>
        <v>0</v>
      </c>
      <c r="M39" s="65">
        <f>$F39*Outputs_Internal!$D$52/12</f>
        <v>5770.833333333333</v>
      </c>
      <c r="N39" s="65">
        <f>$F39*Outputs_Internal!K$52/12</f>
        <v>1991.6666666666667</v>
      </c>
      <c r="O39" s="65">
        <f>$F39*Outputs_Internal!L$52/12</f>
        <v>3345.8333333333335</v>
      </c>
      <c r="P39" s="65">
        <f>$F39*Outputs_Internal!M$52/12</f>
        <v>400</v>
      </c>
      <c r="Q39" s="65">
        <f>$F39*Outputs_Internal!N$52/12</f>
        <v>33.333333333333336</v>
      </c>
      <c r="S39" s="65">
        <f t="shared" si="2"/>
        <v>0</v>
      </c>
      <c r="T39" s="65">
        <f t="shared" si="3"/>
        <v>0</v>
      </c>
      <c r="U39" s="65">
        <f t="shared" si="4"/>
        <v>0</v>
      </c>
      <c r="V39" s="65">
        <f t="shared" si="4"/>
        <v>0</v>
      </c>
      <c r="W39" s="65">
        <f t="shared" si="4"/>
        <v>0</v>
      </c>
    </row>
    <row r="40" spans="2:23" x14ac:dyDescent="0.25">
      <c r="B40" s="62">
        <f t="shared" si="0"/>
        <v>44044</v>
      </c>
      <c r="D40" s="66">
        <f>D39*IF(AND(MONTH(B40)=1,YEAR(B40)&gt;=YEAR(Prices!$I$15)),1+Prices!$I$14,1)</f>
        <v>1.02515625</v>
      </c>
      <c r="E40" s="66">
        <f>IF(B40=Inputs!$C$1,D40,E39)</f>
        <v>1</v>
      </c>
      <c r="F40" s="66">
        <f>IF(AND(B40&gt;=Inputs!$C$1,B40&lt;EDATE(Inputs!$C$1,Inputs!$C$2)),E40,0)</f>
        <v>1</v>
      </c>
      <c r="H40" s="65">
        <f>IF($B40=Inputs!$C$1,SUM(Outputs_Internal!$D$4, Outputs_Internal!$D$5),0)*$D40</f>
        <v>0</v>
      </c>
      <c r="I40" s="65">
        <f>IF($B40=Inputs!$C$1,SUM(Outputs_Internal!K$4, Outputs_Internal!K$5),0)*$D40</f>
        <v>0</v>
      </c>
      <c r="J40" s="65">
        <f>IF($B40=Inputs!$C$1,SUM(Outputs_Internal!L$4, Outputs_Internal!L$5),0)*$D40</f>
        <v>0</v>
      </c>
      <c r="K40" s="65">
        <f>IF($B40=Inputs!$C$1,SUM(Outputs_Internal!M$4, Outputs_Internal!$M$5),0)*$D40</f>
        <v>0</v>
      </c>
      <c r="M40" s="65">
        <f>$F40*Outputs_Internal!$D$52/12</f>
        <v>5770.833333333333</v>
      </c>
      <c r="N40" s="65">
        <f>$F40*Outputs_Internal!K$52/12</f>
        <v>1991.6666666666667</v>
      </c>
      <c r="O40" s="65">
        <f>$F40*Outputs_Internal!L$52/12</f>
        <v>3345.8333333333335</v>
      </c>
      <c r="P40" s="65">
        <f>$F40*Outputs_Internal!M$52/12</f>
        <v>400</v>
      </c>
      <c r="Q40" s="65">
        <f>$F40*Outputs_Internal!N$52/12</f>
        <v>33.333333333333336</v>
      </c>
      <c r="S40" s="65">
        <f t="shared" si="2"/>
        <v>0</v>
      </c>
      <c r="T40" s="65">
        <f t="shared" si="3"/>
        <v>0</v>
      </c>
      <c r="U40" s="65">
        <f t="shared" si="4"/>
        <v>0</v>
      </c>
      <c r="V40" s="65">
        <f t="shared" si="4"/>
        <v>0</v>
      </c>
      <c r="W40" s="65">
        <f t="shared" si="4"/>
        <v>0</v>
      </c>
    </row>
    <row r="41" spans="2:23" x14ac:dyDescent="0.25">
      <c r="B41" s="62">
        <f t="shared" si="0"/>
        <v>44075</v>
      </c>
      <c r="D41" s="66">
        <f>D40*IF(AND(MONTH(B41)=1,YEAR(B41)&gt;=YEAR(Prices!$I$15)),1+Prices!$I$14,1)</f>
        <v>1.02515625</v>
      </c>
      <c r="E41" s="66">
        <f>IF(B41=Inputs!$C$1,D41,E40)</f>
        <v>1</v>
      </c>
      <c r="F41" s="66">
        <f>IF(AND(B41&gt;=Inputs!$C$1,B41&lt;EDATE(Inputs!$C$1,Inputs!$C$2)),E41,0)</f>
        <v>1</v>
      </c>
      <c r="H41" s="65">
        <f>IF($B41=Inputs!$C$1,SUM(Outputs_Internal!$D$4, Outputs_Internal!$D$5),0)*$D41</f>
        <v>0</v>
      </c>
      <c r="I41" s="65">
        <f>IF($B41=Inputs!$C$1,SUM(Outputs_Internal!K$4, Outputs_Internal!K$5),0)*$D41</f>
        <v>0</v>
      </c>
      <c r="J41" s="65">
        <f>IF($B41=Inputs!$C$1,SUM(Outputs_Internal!L$4, Outputs_Internal!L$5),0)*$D41</f>
        <v>0</v>
      </c>
      <c r="K41" s="65">
        <f>IF($B41=Inputs!$C$1,SUM(Outputs_Internal!M$4, Outputs_Internal!$M$5),0)*$D41</f>
        <v>0</v>
      </c>
      <c r="M41" s="65">
        <f>$F41*Outputs_Internal!$D$52/12</f>
        <v>5770.833333333333</v>
      </c>
      <c r="N41" s="65">
        <f>$F41*Outputs_Internal!K$52/12</f>
        <v>1991.6666666666667</v>
      </c>
      <c r="O41" s="65">
        <f>$F41*Outputs_Internal!L$52/12</f>
        <v>3345.8333333333335</v>
      </c>
      <c r="P41" s="65">
        <f>$F41*Outputs_Internal!M$52/12</f>
        <v>400</v>
      </c>
      <c r="Q41" s="65">
        <f>$F41*Outputs_Internal!N$52/12</f>
        <v>33.333333333333336</v>
      </c>
      <c r="S41" s="65">
        <f t="shared" si="2"/>
        <v>17312.5</v>
      </c>
      <c r="T41" s="65">
        <f t="shared" si="3"/>
        <v>5975</v>
      </c>
      <c r="U41" s="65">
        <f t="shared" si="4"/>
        <v>10037.5</v>
      </c>
      <c r="V41" s="65">
        <f t="shared" si="4"/>
        <v>1200</v>
      </c>
      <c r="W41" s="65">
        <f t="shared" si="4"/>
        <v>100</v>
      </c>
    </row>
    <row r="42" spans="2:23" x14ac:dyDescent="0.25">
      <c r="B42" s="62">
        <f t="shared" si="0"/>
        <v>44105</v>
      </c>
      <c r="D42" s="66">
        <f>D41*IF(AND(MONTH(B42)=1,YEAR(B42)&gt;=YEAR(Prices!$I$15)),1+Prices!$I$14,1)</f>
        <v>1.02515625</v>
      </c>
      <c r="E42" s="66">
        <f>IF(B42=Inputs!$C$1,D42,E41)</f>
        <v>1</v>
      </c>
      <c r="F42" s="66">
        <f>IF(AND(B42&gt;=Inputs!$C$1,B42&lt;EDATE(Inputs!$C$1,Inputs!$C$2)),E42,0)</f>
        <v>1</v>
      </c>
      <c r="H42" s="65">
        <f>IF($B42=Inputs!$C$1,SUM(Outputs_Internal!$D$4, Outputs_Internal!$D$5),0)*$D42</f>
        <v>0</v>
      </c>
      <c r="I42" s="65">
        <f>IF($B42=Inputs!$C$1,SUM(Outputs_Internal!K$4, Outputs_Internal!K$5),0)*$D42</f>
        <v>0</v>
      </c>
      <c r="J42" s="65">
        <f>IF($B42=Inputs!$C$1,SUM(Outputs_Internal!L$4, Outputs_Internal!L$5),0)*$D42</f>
        <v>0</v>
      </c>
      <c r="K42" s="65">
        <f>IF($B42=Inputs!$C$1,SUM(Outputs_Internal!M$4, Outputs_Internal!$M$5),0)*$D42</f>
        <v>0</v>
      </c>
      <c r="M42" s="65">
        <f>$F42*Outputs_Internal!$D$52/12</f>
        <v>5770.833333333333</v>
      </c>
      <c r="N42" s="65">
        <f>$F42*Outputs_Internal!K$52/12</f>
        <v>1991.6666666666667</v>
      </c>
      <c r="O42" s="65">
        <f>$F42*Outputs_Internal!L$52/12</f>
        <v>3345.8333333333335</v>
      </c>
      <c r="P42" s="65">
        <f>$F42*Outputs_Internal!M$52/12</f>
        <v>400</v>
      </c>
      <c r="Q42" s="65">
        <f>$F42*Outputs_Internal!N$52/12</f>
        <v>33.333333333333336</v>
      </c>
      <c r="S42" s="65">
        <f t="shared" si="2"/>
        <v>0</v>
      </c>
      <c r="T42" s="65">
        <f t="shared" si="3"/>
        <v>0</v>
      </c>
      <c r="U42" s="65">
        <f t="shared" si="4"/>
        <v>0</v>
      </c>
      <c r="V42" s="65">
        <f t="shared" si="4"/>
        <v>0</v>
      </c>
      <c r="W42" s="65">
        <f t="shared" si="4"/>
        <v>0</v>
      </c>
    </row>
    <row r="43" spans="2:23" x14ac:dyDescent="0.25">
      <c r="B43" s="62">
        <f t="shared" si="0"/>
        <v>44136</v>
      </c>
      <c r="D43" s="66">
        <f>D42*IF(AND(MONTH(B43)=1,YEAR(B43)&gt;=YEAR(Prices!$I$15)),1+Prices!$I$14,1)</f>
        <v>1.02515625</v>
      </c>
      <c r="E43" s="66">
        <f>IF(B43=Inputs!$C$1,D43,E42)</f>
        <v>1</v>
      </c>
      <c r="F43" s="66">
        <f>IF(AND(B43&gt;=Inputs!$C$1,B43&lt;EDATE(Inputs!$C$1,Inputs!$C$2)),E43,0)</f>
        <v>1</v>
      </c>
      <c r="H43" s="65">
        <f>IF($B43=Inputs!$C$1,SUM(Outputs_Internal!$D$4, Outputs_Internal!$D$5),0)*$D43</f>
        <v>0</v>
      </c>
      <c r="I43" s="65">
        <f>IF($B43=Inputs!$C$1,SUM(Outputs_Internal!K$4, Outputs_Internal!K$5),0)*$D43</f>
        <v>0</v>
      </c>
      <c r="J43" s="65">
        <f>IF($B43=Inputs!$C$1,SUM(Outputs_Internal!L$4, Outputs_Internal!L$5),0)*$D43</f>
        <v>0</v>
      </c>
      <c r="K43" s="65">
        <f>IF($B43=Inputs!$C$1,SUM(Outputs_Internal!M$4, Outputs_Internal!$M$5),0)*$D43</f>
        <v>0</v>
      </c>
      <c r="M43" s="65">
        <f>$F43*Outputs_Internal!$D$52/12</f>
        <v>5770.833333333333</v>
      </c>
      <c r="N43" s="65">
        <f>$F43*Outputs_Internal!K$52/12</f>
        <v>1991.6666666666667</v>
      </c>
      <c r="O43" s="65">
        <f>$F43*Outputs_Internal!L$52/12</f>
        <v>3345.8333333333335</v>
      </c>
      <c r="P43" s="65">
        <f>$F43*Outputs_Internal!M$52/12</f>
        <v>400</v>
      </c>
      <c r="Q43" s="65">
        <f>$F43*Outputs_Internal!N$52/12</f>
        <v>33.333333333333336</v>
      </c>
      <c r="S43" s="65">
        <f t="shared" si="2"/>
        <v>0</v>
      </c>
      <c r="T43" s="65">
        <f t="shared" si="3"/>
        <v>0</v>
      </c>
      <c r="U43" s="65">
        <f t="shared" si="4"/>
        <v>0</v>
      </c>
      <c r="V43" s="65">
        <f t="shared" si="4"/>
        <v>0</v>
      </c>
      <c r="W43" s="65">
        <f t="shared" si="4"/>
        <v>0</v>
      </c>
    </row>
    <row r="44" spans="2:23" x14ac:dyDescent="0.25">
      <c r="B44" s="62">
        <f t="shared" si="0"/>
        <v>44166</v>
      </c>
      <c r="D44" s="66">
        <f>D43*IF(AND(MONTH(B44)=1,YEAR(B44)&gt;=YEAR(Prices!$I$15)),1+Prices!$I$14,1)</f>
        <v>1.02515625</v>
      </c>
      <c r="E44" s="66">
        <f>IF(B44=Inputs!$C$1,D44,E43)</f>
        <v>1</v>
      </c>
      <c r="F44" s="66">
        <f>IF(AND(B44&gt;=Inputs!$C$1,B44&lt;EDATE(Inputs!$C$1,Inputs!$C$2)),E44,0)</f>
        <v>1</v>
      </c>
      <c r="H44" s="65">
        <f>IF($B44=Inputs!$C$1,SUM(Outputs_Internal!$D$4, Outputs_Internal!$D$5),0)*$D44</f>
        <v>0</v>
      </c>
      <c r="I44" s="65">
        <f>IF($B44=Inputs!$C$1,SUM(Outputs_Internal!K$4, Outputs_Internal!K$5),0)*$D44</f>
        <v>0</v>
      </c>
      <c r="J44" s="65">
        <f>IF($B44=Inputs!$C$1,SUM(Outputs_Internal!L$4, Outputs_Internal!L$5),0)*$D44</f>
        <v>0</v>
      </c>
      <c r="K44" s="65">
        <f>IF($B44=Inputs!$C$1,SUM(Outputs_Internal!M$4, Outputs_Internal!$M$5),0)*$D44</f>
        <v>0</v>
      </c>
      <c r="M44" s="65">
        <f>$F44*Outputs_Internal!$D$52/12</f>
        <v>5770.833333333333</v>
      </c>
      <c r="N44" s="65">
        <f>$F44*Outputs_Internal!K$52/12</f>
        <v>1991.6666666666667</v>
      </c>
      <c r="O44" s="65">
        <f>$F44*Outputs_Internal!L$52/12</f>
        <v>3345.8333333333335</v>
      </c>
      <c r="P44" s="65">
        <f>$F44*Outputs_Internal!M$52/12</f>
        <v>400</v>
      </c>
      <c r="Q44" s="65">
        <f>$F44*Outputs_Internal!N$52/12</f>
        <v>33.333333333333336</v>
      </c>
      <c r="S44" s="65">
        <f>IF(MOD(MONTH($B44),3)=0,SUM(H42:H44,M42:M44),0)</f>
        <v>17312.5</v>
      </c>
      <c r="T44" s="65">
        <f t="shared" si="3"/>
        <v>5975</v>
      </c>
      <c r="U44" s="65">
        <f t="shared" si="4"/>
        <v>10037.5</v>
      </c>
      <c r="V44" s="65">
        <f t="shared" si="4"/>
        <v>1200</v>
      </c>
      <c r="W44" s="65">
        <f t="shared" si="4"/>
        <v>100</v>
      </c>
    </row>
    <row r="45" spans="2:23" x14ac:dyDescent="0.25">
      <c r="B45" s="62">
        <f t="shared" si="0"/>
        <v>44197</v>
      </c>
      <c r="D45" s="66">
        <f>D44*IF(AND(MONTH(B45)=1,YEAR(B45)&gt;=YEAR(Prices!$I$15)),1+Prices!$I$14,1)</f>
        <v>1.0379707031249998</v>
      </c>
      <c r="E45" s="66">
        <f>IF(B45=Inputs!$C$1,D45,E44)</f>
        <v>1</v>
      </c>
      <c r="F45" s="66">
        <f>IF(AND(B45&gt;=Inputs!$C$1,B45&lt;EDATE(Inputs!$C$1,Inputs!$C$2)),E45,0)</f>
        <v>0</v>
      </c>
      <c r="H45" s="65">
        <f>IF($B45=Inputs!$C$1,SUM(Outputs_Internal!$D$4, Outputs_Internal!$D$5),0)*$D45</f>
        <v>0</v>
      </c>
      <c r="I45" s="65">
        <f>IF($B45=Inputs!$C$1,SUM(Outputs_Internal!K$4, Outputs_Internal!K$5),0)*$D45</f>
        <v>0</v>
      </c>
      <c r="J45" s="65">
        <f>IF($B45=Inputs!$C$1,SUM(Outputs_Internal!L$4, Outputs_Internal!L$5),0)*$D45</f>
        <v>0</v>
      </c>
      <c r="K45" s="65">
        <f>IF($B45=Inputs!$C$1,SUM(Outputs_Internal!M$4, Outputs_Internal!$M$5),0)*$D45</f>
        <v>0</v>
      </c>
      <c r="M45" s="65">
        <f>$F45*Outputs_Internal!$D$52/12</f>
        <v>0</v>
      </c>
      <c r="N45" s="65">
        <f>$F45*Outputs_Internal!K$52/12</f>
        <v>0</v>
      </c>
      <c r="O45" s="65">
        <f>$F45*Outputs_Internal!L$52/12</f>
        <v>0</v>
      </c>
      <c r="P45" s="65">
        <f>$F45*Outputs_Internal!M$52/12</f>
        <v>0</v>
      </c>
      <c r="Q45" s="65">
        <f>$F45*Outputs_Internal!N$52/12</f>
        <v>0</v>
      </c>
      <c r="S45" s="65">
        <f t="shared" si="2"/>
        <v>0</v>
      </c>
      <c r="T45" s="65">
        <f t="shared" si="3"/>
        <v>0</v>
      </c>
      <c r="U45" s="65">
        <f t="shared" si="4"/>
        <v>0</v>
      </c>
      <c r="V45" s="65">
        <f t="shared" si="4"/>
        <v>0</v>
      </c>
      <c r="W45" s="65">
        <f t="shared" si="4"/>
        <v>0</v>
      </c>
    </row>
    <row r="46" spans="2:23" x14ac:dyDescent="0.25">
      <c r="B46" s="62">
        <f t="shared" si="0"/>
        <v>44228</v>
      </c>
      <c r="D46" s="66">
        <f>D45*IF(AND(MONTH(B46)=1,YEAR(B46)&gt;=YEAR(Prices!$I$15)),1+Prices!$I$14,1)</f>
        <v>1.0379707031249998</v>
      </c>
      <c r="E46" s="66">
        <f>IF(B46=Inputs!$C$1,D46,E45)</f>
        <v>1</v>
      </c>
      <c r="F46" s="66">
        <f>IF(AND(B46&gt;=Inputs!$C$1,B46&lt;EDATE(Inputs!$C$1,Inputs!$C$2)),E46,0)</f>
        <v>0</v>
      </c>
      <c r="H46" s="65">
        <f>IF($B46=Inputs!$C$1,SUM(Outputs_Internal!$D$4, Outputs_Internal!$D$5),0)*$D46</f>
        <v>0</v>
      </c>
      <c r="I46" s="65">
        <f>IF($B46=Inputs!$C$1,SUM(Outputs_Internal!K$4, Outputs_Internal!K$5),0)*$D46</f>
        <v>0</v>
      </c>
      <c r="J46" s="65">
        <f>IF($B46=Inputs!$C$1,SUM(Outputs_Internal!L$4, Outputs_Internal!L$5),0)*$D46</f>
        <v>0</v>
      </c>
      <c r="K46" s="65">
        <f>IF($B46=Inputs!$C$1,SUM(Outputs_Internal!M$4, Outputs_Internal!$M$5),0)*$D46</f>
        <v>0</v>
      </c>
      <c r="M46" s="65">
        <f>$F46*Outputs_Internal!$D$52/12</f>
        <v>0</v>
      </c>
      <c r="N46" s="65">
        <f>$F46*Outputs_Internal!K$52/12</f>
        <v>0</v>
      </c>
      <c r="O46" s="65">
        <f>$F46*Outputs_Internal!L$52/12</f>
        <v>0</v>
      </c>
      <c r="P46" s="65">
        <f>$F46*Outputs_Internal!M$52/12</f>
        <v>0</v>
      </c>
      <c r="Q46" s="65">
        <f>$F46*Outputs_Internal!N$52/12</f>
        <v>0</v>
      </c>
      <c r="S46" s="65">
        <f t="shared" si="2"/>
        <v>0</v>
      </c>
      <c r="T46" s="65">
        <f t="shared" si="3"/>
        <v>0</v>
      </c>
      <c r="U46" s="65">
        <f t="shared" si="4"/>
        <v>0</v>
      </c>
      <c r="V46" s="65">
        <f t="shared" si="4"/>
        <v>0</v>
      </c>
      <c r="W46" s="65">
        <f t="shared" si="4"/>
        <v>0</v>
      </c>
    </row>
    <row r="47" spans="2:23" x14ac:dyDescent="0.25">
      <c r="B47" s="62">
        <f t="shared" si="0"/>
        <v>44256</v>
      </c>
      <c r="D47" s="66">
        <f>D46*IF(AND(MONTH(B47)=1,YEAR(B47)&gt;=YEAR(Prices!$I$15)),1+Prices!$I$14,1)</f>
        <v>1.0379707031249998</v>
      </c>
      <c r="E47" s="66">
        <f>IF(B47=Inputs!$C$1,D47,E46)</f>
        <v>1</v>
      </c>
      <c r="F47" s="66">
        <f>IF(AND(B47&gt;=Inputs!$C$1,B47&lt;EDATE(Inputs!$C$1,Inputs!$C$2)),E47,0)</f>
        <v>0</v>
      </c>
      <c r="H47" s="65">
        <f>IF($B47=Inputs!$C$1,SUM(Outputs_Internal!$D$4, Outputs_Internal!$D$5),0)*$D47</f>
        <v>0</v>
      </c>
      <c r="I47" s="65">
        <f>IF($B47=Inputs!$C$1,SUM(Outputs_Internal!K$4, Outputs_Internal!K$5),0)*$D47</f>
        <v>0</v>
      </c>
      <c r="J47" s="65">
        <f>IF($B47=Inputs!$C$1,SUM(Outputs_Internal!L$4, Outputs_Internal!L$5),0)*$D47</f>
        <v>0</v>
      </c>
      <c r="K47" s="65">
        <f>IF($B47=Inputs!$C$1,SUM(Outputs_Internal!M$4, Outputs_Internal!$M$5),0)*$D47</f>
        <v>0</v>
      </c>
      <c r="M47" s="65">
        <f>$F47*Outputs_Internal!$D$52/12</f>
        <v>0</v>
      </c>
      <c r="N47" s="65">
        <f>$F47*Outputs_Internal!K$52/12</f>
        <v>0</v>
      </c>
      <c r="O47" s="65">
        <f>$F47*Outputs_Internal!L$52/12</f>
        <v>0</v>
      </c>
      <c r="P47" s="65">
        <f>$F47*Outputs_Internal!M$52/12</f>
        <v>0</v>
      </c>
      <c r="Q47" s="65">
        <f>$F47*Outputs_Internal!N$52/12</f>
        <v>0</v>
      </c>
      <c r="S47" s="65">
        <f t="shared" si="2"/>
        <v>0</v>
      </c>
      <c r="T47" s="65">
        <f t="shared" si="3"/>
        <v>0</v>
      </c>
      <c r="U47" s="65">
        <f t="shared" si="4"/>
        <v>0</v>
      </c>
      <c r="V47" s="65">
        <f t="shared" si="4"/>
        <v>0</v>
      </c>
      <c r="W47" s="65">
        <f t="shared" si="4"/>
        <v>0</v>
      </c>
    </row>
    <row r="48" spans="2:23" x14ac:dyDescent="0.25">
      <c r="B48" s="62">
        <f t="shared" si="0"/>
        <v>44287</v>
      </c>
      <c r="D48" s="66">
        <f>D47*IF(AND(MONTH(B48)=1,YEAR(B48)&gt;=YEAR(Prices!$I$15)),1+Prices!$I$14,1)</f>
        <v>1.0379707031249998</v>
      </c>
      <c r="E48" s="66">
        <f>IF(B48=Inputs!$C$1,D48,E47)</f>
        <v>1</v>
      </c>
      <c r="F48" s="66">
        <f>IF(AND(B48&gt;=Inputs!$C$1,B48&lt;EDATE(Inputs!$C$1,Inputs!$C$2)),E48,0)</f>
        <v>0</v>
      </c>
      <c r="H48" s="65">
        <f>IF($B48=Inputs!$C$1,SUM(Outputs_Internal!$D$4, Outputs_Internal!$D$5),0)*$D48</f>
        <v>0</v>
      </c>
      <c r="I48" s="65">
        <f>IF($B48=Inputs!$C$1,SUM(Outputs_Internal!K$4, Outputs_Internal!K$5),0)*$D48</f>
        <v>0</v>
      </c>
      <c r="J48" s="65">
        <f>IF($B48=Inputs!$C$1,SUM(Outputs_Internal!L$4, Outputs_Internal!L$5),0)*$D48</f>
        <v>0</v>
      </c>
      <c r="K48" s="65">
        <f>IF($B48=Inputs!$C$1,SUM(Outputs_Internal!M$4, Outputs_Internal!$M$5),0)*$D48</f>
        <v>0</v>
      </c>
      <c r="M48" s="65">
        <f>$F48*Outputs_Internal!$D$52/12</f>
        <v>0</v>
      </c>
      <c r="N48" s="65">
        <f>$F48*Outputs_Internal!K$52/12</f>
        <v>0</v>
      </c>
      <c r="O48" s="65">
        <f>$F48*Outputs_Internal!L$52/12</f>
        <v>0</v>
      </c>
      <c r="P48" s="65">
        <f>$F48*Outputs_Internal!M$52/12</f>
        <v>0</v>
      </c>
      <c r="Q48" s="65">
        <f>$F48*Outputs_Internal!N$52/12</f>
        <v>0</v>
      </c>
      <c r="S48" s="65">
        <f t="shared" si="2"/>
        <v>0</v>
      </c>
      <c r="T48" s="65">
        <f t="shared" si="3"/>
        <v>0</v>
      </c>
      <c r="U48" s="65">
        <f t="shared" si="4"/>
        <v>0</v>
      </c>
      <c r="V48" s="65">
        <f t="shared" si="4"/>
        <v>0</v>
      </c>
      <c r="W48" s="65">
        <f t="shared" si="4"/>
        <v>0</v>
      </c>
    </row>
    <row r="49" spans="2:23" x14ac:dyDescent="0.25">
      <c r="B49" s="62">
        <f t="shared" si="0"/>
        <v>44317</v>
      </c>
      <c r="D49" s="66">
        <f>D48*IF(AND(MONTH(B49)=1,YEAR(B49)&gt;=YEAR(Prices!$I$15)),1+Prices!$I$14,1)</f>
        <v>1.0379707031249998</v>
      </c>
      <c r="E49" s="66">
        <f>IF(B49=Inputs!$C$1,D49,E48)</f>
        <v>1</v>
      </c>
      <c r="F49" s="66">
        <f>IF(AND(B49&gt;=Inputs!$C$1,B49&lt;EDATE(Inputs!$C$1,Inputs!$C$2)),E49,0)</f>
        <v>0</v>
      </c>
      <c r="H49" s="65">
        <f>IF($B49=Inputs!$C$1,SUM(Outputs_Internal!$D$4, Outputs_Internal!$D$5),0)*$D49</f>
        <v>0</v>
      </c>
      <c r="I49" s="65">
        <f>IF($B49=Inputs!$C$1,SUM(Outputs_Internal!K$4, Outputs_Internal!K$5),0)*$D49</f>
        <v>0</v>
      </c>
      <c r="J49" s="65">
        <f>IF($B49=Inputs!$C$1,SUM(Outputs_Internal!L$4, Outputs_Internal!L$5),0)*$D49</f>
        <v>0</v>
      </c>
      <c r="K49" s="65">
        <f>IF($B49=Inputs!$C$1,SUM(Outputs_Internal!M$4, Outputs_Internal!$M$5),0)*$D49</f>
        <v>0</v>
      </c>
      <c r="M49" s="65">
        <f>$F49*Outputs_Internal!$D$52/12</f>
        <v>0</v>
      </c>
      <c r="N49" s="65">
        <f>$F49*Outputs_Internal!K$52/12</f>
        <v>0</v>
      </c>
      <c r="O49" s="65">
        <f>$F49*Outputs_Internal!L$52/12</f>
        <v>0</v>
      </c>
      <c r="P49" s="65">
        <f>$F49*Outputs_Internal!M$52/12</f>
        <v>0</v>
      </c>
      <c r="Q49" s="65">
        <f>$F49*Outputs_Internal!N$52/12</f>
        <v>0</v>
      </c>
      <c r="S49" s="65">
        <f t="shared" si="2"/>
        <v>0</v>
      </c>
      <c r="T49" s="65">
        <f t="shared" si="3"/>
        <v>0</v>
      </c>
      <c r="U49" s="65">
        <f t="shared" si="4"/>
        <v>0</v>
      </c>
      <c r="V49" s="65">
        <f t="shared" si="4"/>
        <v>0</v>
      </c>
      <c r="W49" s="65">
        <f t="shared" si="4"/>
        <v>0</v>
      </c>
    </row>
    <row r="50" spans="2:23" x14ac:dyDescent="0.25">
      <c r="B50" s="62">
        <f t="shared" si="0"/>
        <v>44348</v>
      </c>
      <c r="D50" s="66">
        <f>D49*IF(AND(MONTH(B50)=1,YEAR(B50)&gt;=YEAR(Prices!$I$15)),1+Prices!$I$14,1)</f>
        <v>1.0379707031249998</v>
      </c>
      <c r="E50" s="66">
        <f>IF(B50=Inputs!$C$1,D50,E49)</f>
        <v>1</v>
      </c>
      <c r="F50" s="66">
        <f>IF(AND(B50&gt;=Inputs!$C$1,B50&lt;EDATE(Inputs!$C$1,Inputs!$C$2)),E50,0)</f>
        <v>0</v>
      </c>
      <c r="H50" s="65">
        <f>IF($B50=Inputs!$C$1,SUM(Outputs_Internal!$D$4, Outputs_Internal!$D$5),0)*$D50</f>
        <v>0</v>
      </c>
      <c r="I50" s="65">
        <f>IF($B50=Inputs!$C$1,SUM(Outputs_Internal!K$4, Outputs_Internal!K$5),0)*$D50</f>
        <v>0</v>
      </c>
      <c r="J50" s="65">
        <f>IF($B50=Inputs!$C$1,SUM(Outputs_Internal!L$4, Outputs_Internal!L$5),0)*$D50</f>
        <v>0</v>
      </c>
      <c r="K50" s="65">
        <f>IF($B50=Inputs!$C$1,SUM(Outputs_Internal!M$4, Outputs_Internal!$M$5),0)*$D50</f>
        <v>0</v>
      </c>
      <c r="M50" s="65">
        <f>$F50*Outputs_Internal!$D$52/12</f>
        <v>0</v>
      </c>
      <c r="N50" s="65">
        <f>$F50*Outputs_Internal!K$52/12</f>
        <v>0</v>
      </c>
      <c r="O50" s="65">
        <f>$F50*Outputs_Internal!L$52/12</f>
        <v>0</v>
      </c>
      <c r="P50" s="65">
        <f>$F50*Outputs_Internal!M$52/12</f>
        <v>0</v>
      </c>
      <c r="Q50" s="65">
        <f>$F50*Outputs_Internal!N$52/12</f>
        <v>0</v>
      </c>
      <c r="S50" s="65">
        <f t="shared" si="2"/>
        <v>0</v>
      </c>
      <c r="T50" s="65">
        <f t="shared" si="3"/>
        <v>0</v>
      </c>
      <c r="U50" s="65">
        <f t="shared" si="4"/>
        <v>0</v>
      </c>
      <c r="V50" s="65">
        <f t="shared" si="4"/>
        <v>0</v>
      </c>
      <c r="W50" s="65">
        <f t="shared" si="4"/>
        <v>0</v>
      </c>
    </row>
    <row r="51" spans="2:23" x14ac:dyDescent="0.25">
      <c r="B51" s="62">
        <f t="shared" si="0"/>
        <v>44378</v>
      </c>
      <c r="D51" s="66">
        <f>D50*IF(AND(MONTH(B51)=1,YEAR(B51)&gt;=YEAR(Prices!$I$15)),1+Prices!$I$14,1)</f>
        <v>1.0379707031249998</v>
      </c>
      <c r="E51" s="66">
        <f>IF(B51=Inputs!$C$1,D51,E50)</f>
        <v>1</v>
      </c>
      <c r="F51" s="66">
        <f>IF(AND(B51&gt;=Inputs!$C$1,B51&lt;EDATE(Inputs!$C$1,Inputs!$C$2)),E51,0)</f>
        <v>0</v>
      </c>
      <c r="H51" s="65">
        <f>IF($B51=Inputs!$C$1,SUM(Outputs_Internal!$D$4, Outputs_Internal!$D$5),0)*$D51</f>
        <v>0</v>
      </c>
      <c r="I51" s="65">
        <f>IF($B51=Inputs!$C$1,SUM(Outputs_Internal!K$4, Outputs_Internal!K$5),0)*$D51</f>
        <v>0</v>
      </c>
      <c r="J51" s="65">
        <f>IF($B51=Inputs!$C$1,SUM(Outputs_Internal!L$4, Outputs_Internal!L$5),0)*$D51</f>
        <v>0</v>
      </c>
      <c r="K51" s="65">
        <f>IF($B51=Inputs!$C$1,SUM(Outputs_Internal!M$4, Outputs_Internal!$M$5),0)*$D51</f>
        <v>0</v>
      </c>
      <c r="M51" s="65">
        <f>$F51*Outputs_Internal!$D$52/12</f>
        <v>0</v>
      </c>
      <c r="N51" s="65">
        <f>$F51*Outputs_Internal!K$52/12</f>
        <v>0</v>
      </c>
      <c r="O51" s="65">
        <f>$F51*Outputs_Internal!L$52/12</f>
        <v>0</v>
      </c>
      <c r="P51" s="65">
        <f>$F51*Outputs_Internal!M$52/12</f>
        <v>0</v>
      </c>
      <c r="Q51" s="65">
        <f>$F51*Outputs_Internal!N$52/12</f>
        <v>0</v>
      </c>
      <c r="S51" s="65">
        <f t="shared" si="2"/>
        <v>0</v>
      </c>
      <c r="T51" s="65">
        <f t="shared" si="3"/>
        <v>0</v>
      </c>
      <c r="U51" s="65">
        <f t="shared" si="4"/>
        <v>0</v>
      </c>
      <c r="V51" s="65">
        <f t="shared" si="4"/>
        <v>0</v>
      </c>
      <c r="W51" s="65">
        <f t="shared" si="4"/>
        <v>0</v>
      </c>
    </row>
    <row r="52" spans="2:23" x14ac:dyDescent="0.25">
      <c r="B52" s="62">
        <f t="shared" si="0"/>
        <v>44409</v>
      </c>
      <c r="D52" s="66">
        <f>D51*IF(AND(MONTH(B52)=1,YEAR(B52)&gt;=YEAR(Prices!$I$15)),1+Prices!$I$14,1)</f>
        <v>1.0379707031249998</v>
      </c>
      <c r="E52" s="66">
        <f>IF(B52=Inputs!$C$1,D52,E51)</f>
        <v>1</v>
      </c>
      <c r="F52" s="66">
        <f>IF(AND(B52&gt;=Inputs!$C$1,B52&lt;EDATE(Inputs!$C$1,Inputs!$C$2)),E52,0)</f>
        <v>0</v>
      </c>
      <c r="H52" s="65">
        <f>IF($B52=Inputs!$C$1,SUM(Outputs_Internal!$D$4, Outputs_Internal!$D$5),0)*$D52</f>
        <v>0</v>
      </c>
      <c r="I52" s="65">
        <f>IF($B52=Inputs!$C$1,SUM(Outputs_Internal!K$4, Outputs_Internal!K$5),0)*$D52</f>
        <v>0</v>
      </c>
      <c r="J52" s="65">
        <f>IF($B52=Inputs!$C$1,SUM(Outputs_Internal!L$4, Outputs_Internal!L$5),0)*$D52</f>
        <v>0</v>
      </c>
      <c r="K52" s="65">
        <f>IF($B52=Inputs!$C$1,SUM(Outputs_Internal!M$4, Outputs_Internal!$M$5),0)*$D52</f>
        <v>0</v>
      </c>
      <c r="M52" s="65">
        <f>$F52*Outputs_Internal!$D$52/12</f>
        <v>0</v>
      </c>
      <c r="N52" s="65">
        <f>$F52*Outputs_Internal!K$52/12</f>
        <v>0</v>
      </c>
      <c r="O52" s="65">
        <f>$F52*Outputs_Internal!L$52/12</f>
        <v>0</v>
      </c>
      <c r="P52" s="65">
        <f>$F52*Outputs_Internal!M$52/12</f>
        <v>0</v>
      </c>
      <c r="Q52" s="65">
        <f>$F52*Outputs_Internal!N$52/12</f>
        <v>0</v>
      </c>
      <c r="S52" s="65">
        <f t="shared" si="2"/>
        <v>0</v>
      </c>
      <c r="T52" s="65">
        <f t="shared" si="3"/>
        <v>0</v>
      </c>
      <c r="U52" s="65">
        <f t="shared" si="4"/>
        <v>0</v>
      </c>
      <c r="V52" s="65">
        <f t="shared" si="4"/>
        <v>0</v>
      </c>
      <c r="W52" s="65">
        <f t="shared" si="4"/>
        <v>0</v>
      </c>
    </row>
    <row r="53" spans="2:23" x14ac:dyDescent="0.25">
      <c r="B53" s="62">
        <f t="shared" si="0"/>
        <v>44440</v>
      </c>
      <c r="D53" s="66">
        <f>D52*IF(AND(MONTH(B53)=1,YEAR(B53)&gt;=YEAR(Prices!$I$15)),1+Prices!$I$14,1)</f>
        <v>1.0379707031249998</v>
      </c>
      <c r="E53" s="66">
        <f>IF(B53=Inputs!$C$1,D53,E52)</f>
        <v>1</v>
      </c>
      <c r="F53" s="66">
        <f>IF(AND(B53&gt;=Inputs!$C$1,B53&lt;EDATE(Inputs!$C$1,Inputs!$C$2)),E53,0)</f>
        <v>0</v>
      </c>
      <c r="H53" s="65">
        <f>IF($B53=Inputs!$C$1,SUM(Outputs_Internal!$D$4, Outputs_Internal!$D$5),0)*$D53</f>
        <v>0</v>
      </c>
      <c r="I53" s="65">
        <f>IF($B53=Inputs!$C$1,SUM(Outputs_Internal!K$4, Outputs_Internal!K$5),0)*$D53</f>
        <v>0</v>
      </c>
      <c r="J53" s="65">
        <f>IF($B53=Inputs!$C$1,SUM(Outputs_Internal!L$4, Outputs_Internal!L$5),0)*$D53</f>
        <v>0</v>
      </c>
      <c r="K53" s="65">
        <f>IF($B53=Inputs!$C$1,SUM(Outputs_Internal!M$4, Outputs_Internal!$M$5),0)*$D53</f>
        <v>0</v>
      </c>
      <c r="M53" s="65">
        <f>$F53*Outputs_Internal!$D$52/12</f>
        <v>0</v>
      </c>
      <c r="N53" s="65">
        <f>$F53*Outputs_Internal!K$52/12</f>
        <v>0</v>
      </c>
      <c r="O53" s="65">
        <f>$F53*Outputs_Internal!L$52/12</f>
        <v>0</v>
      </c>
      <c r="P53" s="65">
        <f>$F53*Outputs_Internal!M$52/12</f>
        <v>0</v>
      </c>
      <c r="Q53" s="65">
        <f>$F53*Outputs_Internal!N$52/12</f>
        <v>0</v>
      </c>
      <c r="S53" s="65">
        <f t="shared" si="2"/>
        <v>0</v>
      </c>
      <c r="T53" s="65">
        <f t="shared" si="3"/>
        <v>0</v>
      </c>
      <c r="U53" s="65">
        <f t="shared" si="4"/>
        <v>0</v>
      </c>
      <c r="V53" s="65">
        <f t="shared" si="4"/>
        <v>0</v>
      </c>
      <c r="W53" s="65">
        <f t="shared" si="4"/>
        <v>0</v>
      </c>
    </row>
    <row r="54" spans="2:23" x14ac:dyDescent="0.25">
      <c r="B54" s="62">
        <f t="shared" si="0"/>
        <v>44470</v>
      </c>
      <c r="D54" s="66">
        <f>D53*IF(AND(MONTH(B54)=1,YEAR(B54)&gt;=YEAR(Prices!$I$15)),1+Prices!$I$14,1)</f>
        <v>1.0379707031249998</v>
      </c>
      <c r="E54" s="66">
        <f>IF(B54=Inputs!$C$1,D54,E53)</f>
        <v>1</v>
      </c>
      <c r="F54" s="66">
        <f>IF(AND(B54&gt;=Inputs!$C$1,B54&lt;EDATE(Inputs!$C$1,Inputs!$C$2)),E54,0)</f>
        <v>0</v>
      </c>
      <c r="H54" s="65">
        <f>IF($B54=Inputs!$C$1,SUM(Outputs_Internal!$D$4, Outputs_Internal!$D$5),0)*$D54</f>
        <v>0</v>
      </c>
      <c r="I54" s="65">
        <f>IF($B54=Inputs!$C$1,SUM(Outputs_Internal!K$4, Outputs_Internal!K$5),0)*$D54</f>
        <v>0</v>
      </c>
      <c r="J54" s="65">
        <f>IF($B54=Inputs!$C$1,SUM(Outputs_Internal!L$4, Outputs_Internal!L$5),0)*$D54</f>
        <v>0</v>
      </c>
      <c r="K54" s="65">
        <f>IF($B54=Inputs!$C$1,SUM(Outputs_Internal!M$4, Outputs_Internal!$M$5),0)*$D54</f>
        <v>0</v>
      </c>
      <c r="M54" s="65">
        <f>$F54*Outputs_Internal!$D$52/12</f>
        <v>0</v>
      </c>
      <c r="N54" s="65">
        <f>$F54*Outputs_Internal!K$52/12</f>
        <v>0</v>
      </c>
      <c r="O54" s="65">
        <f>$F54*Outputs_Internal!L$52/12</f>
        <v>0</v>
      </c>
      <c r="P54" s="65">
        <f>$F54*Outputs_Internal!M$52/12</f>
        <v>0</v>
      </c>
      <c r="Q54" s="65">
        <f>$F54*Outputs_Internal!N$52/12</f>
        <v>0</v>
      </c>
      <c r="S54" s="65">
        <f t="shared" si="2"/>
        <v>0</v>
      </c>
      <c r="T54" s="65">
        <f t="shared" si="3"/>
        <v>0</v>
      </c>
      <c r="U54" s="65">
        <f t="shared" si="4"/>
        <v>0</v>
      </c>
      <c r="V54" s="65">
        <f t="shared" si="4"/>
        <v>0</v>
      </c>
      <c r="W54" s="65">
        <f t="shared" si="4"/>
        <v>0</v>
      </c>
    </row>
    <row r="55" spans="2:23" x14ac:dyDescent="0.25">
      <c r="B55" s="62">
        <f t="shared" si="0"/>
        <v>44501</v>
      </c>
      <c r="D55" s="66">
        <f>D54*IF(AND(MONTH(B55)=1,YEAR(B55)&gt;=YEAR(Prices!$I$15)),1+Prices!$I$14,1)</f>
        <v>1.0379707031249998</v>
      </c>
      <c r="E55" s="66">
        <f>IF(B55=Inputs!$C$1,D55,E54)</f>
        <v>1</v>
      </c>
      <c r="F55" s="66">
        <f>IF(AND(B55&gt;=Inputs!$C$1,B55&lt;EDATE(Inputs!$C$1,Inputs!$C$2)),E55,0)</f>
        <v>0</v>
      </c>
      <c r="H55" s="65">
        <f>IF($B55=Inputs!$C$1,SUM(Outputs_Internal!$D$4, Outputs_Internal!$D$5),0)*$D55</f>
        <v>0</v>
      </c>
      <c r="I55" s="65">
        <f>IF($B55=Inputs!$C$1,SUM(Outputs_Internal!K$4, Outputs_Internal!K$5),0)*$D55</f>
        <v>0</v>
      </c>
      <c r="J55" s="65">
        <f>IF($B55=Inputs!$C$1,SUM(Outputs_Internal!L$4, Outputs_Internal!L$5),0)*$D55</f>
        <v>0</v>
      </c>
      <c r="K55" s="65">
        <f>IF($B55=Inputs!$C$1,SUM(Outputs_Internal!M$4, Outputs_Internal!$M$5),0)*$D55</f>
        <v>0</v>
      </c>
      <c r="M55" s="65">
        <f>$F55*Outputs_Internal!$D$52/12</f>
        <v>0</v>
      </c>
      <c r="N55" s="65">
        <f>$F55*Outputs_Internal!K$52/12</f>
        <v>0</v>
      </c>
      <c r="O55" s="65">
        <f>$F55*Outputs_Internal!L$52/12</f>
        <v>0</v>
      </c>
      <c r="P55" s="65">
        <f>$F55*Outputs_Internal!M$52/12</f>
        <v>0</v>
      </c>
      <c r="Q55" s="65">
        <f>$F55*Outputs_Internal!N$52/12</f>
        <v>0</v>
      </c>
      <c r="S55" s="65">
        <f t="shared" si="2"/>
        <v>0</v>
      </c>
      <c r="T55" s="65">
        <f t="shared" si="3"/>
        <v>0</v>
      </c>
      <c r="U55" s="65">
        <f t="shared" si="4"/>
        <v>0</v>
      </c>
      <c r="V55" s="65">
        <f t="shared" si="4"/>
        <v>0</v>
      </c>
      <c r="W55" s="65">
        <f t="shared" si="4"/>
        <v>0</v>
      </c>
    </row>
    <row r="56" spans="2:23" x14ac:dyDescent="0.25">
      <c r="B56" s="62">
        <f t="shared" si="0"/>
        <v>44531</v>
      </c>
      <c r="D56" s="66">
        <f>D55*IF(AND(MONTH(B56)=1,YEAR(B56)&gt;=YEAR(Prices!$I$15)),1+Prices!$I$14,1)</f>
        <v>1.0379707031249998</v>
      </c>
      <c r="E56" s="66">
        <f>IF(B56=Inputs!$C$1,D56,E55)</f>
        <v>1</v>
      </c>
      <c r="F56" s="66">
        <f>IF(AND(B56&gt;=Inputs!$C$1,B56&lt;EDATE(Inputs!$C$1,Inputs!$C$2)),E56,0)</f>
        <v>0</v>
      </c>
      <c r="H56" s="65">
        <f>IF($B56=Inputs!$C$1,SUM(Outputs_Internal!$D$4, Outputs_Internal!$D$5),0)*$D56</f>
        <v>0</v>
      </c>
      <c r="I56" s="65">
        <f>IF($B56=Inputs!$C$1,SUM(Outputs_Internal!K$4, Outputs_Internal!K$5),0)*$D56</f>
        <v>0</v>
      </c>
      <c r="J56" s="65">
        <f>IF($B56=Inputs!$C$1,SUM(Outputs_Internal!L$4, Outputs_Internal!L$5),0)*$D56</f>
        <v>0</v>
      </c>
      <c r="K56" s="65">
        <f>IF($B56=Inputs!$C$1,SUM(Outputs_Internal!M$4, Outputs_Internal!$M$5),0)*$D56</f>
        <v>0</v>
      </c>
      <c r="M56" s="65">
        <f>$F56*Outputs_Internal!$D$52/12</f>
        <v>0</v>
      </c>
      <c r="N56" s="65">
        <f>$F56*Outputs_Internal!K$52/12</f>
        <v>0</v>
      </c>
      <c r="O56" s="65">
        <f>$F56*Outputs_Internal!L$52/12</f>
        <v>0</v>
      </c>
      <c r="P56" s="65">
        <f>$F56*Outputs_Internal!M$52/12</f>
        <v>0</v>
      </c>
      <c r="Q56" s="65">
        <f>$F56*Outputs_Internal!N$52/12</f>
        <v>0</v>
      </c>
      <c r="S56" s="65">
        <f t="shared" si="2"/>
        <v>0</v>
      </c>
      <c r="T56" s="65">
        <f t="shared" si="3"/>
        <v>0</v>
      </c>
      <c r="U56" s="65">
        <f t="shared" si="4"/>
        <v>0</v>
      </c>
      <c r="V56" s="65">
        <f t="shared" si="4"/>
        <v>0</v>
      </c>
      <c r="W56" s="65">
        <f t="shared" si="4"/>
        <v>0</v>
      </c>
    </row>
    <row r="57" spans="2:23" x14ac:dyDescent="0.25">
      <c r="B57" s="62">
        <f t="shared" si="0"/>
        <v>44562</v>
      </c>
      <c r="D57" s="66">
        <f>D56*IF(AND(MONTH(B57)=1,YEAR(B57)&gt;=YEAR(Prices!$I$15)),1+Prices!$I$14,1)</f>
        <v>1.0509453369140622</v>
      </c>
      <c r="E57" s="66">
        <f>IF(B57=Inputs!$C$1,D57,E56)</f>
        <v>1</v>
      </c>
      <c r="F57" s="66">
        <f>IF(AND(B57&gt;=Inputs!$C$1,B57&lt;EDATE(Inputs!$C$1,Inputs!$C$2)),E57,0)</f>
        <v>0</v>
      </c>
      <c r="H57" s="65">
        <f>IF($B57=Inputs!$C$1,SUM(Outputs_Internal!$D$4, Outputs_Internal!$D$5),0)*$D57</f>
        <v>0</v>
      </c>
      <c r="I57" s="65">
        <f>IF($B57=Inputs!$C$1,SUM(Outputs_Internal!K$4, Outputs_Internal!K$5),0)*$D57</f>
        <v>0</v>
      </c>
      <c r="J57" s="65">
        <f>IF($B57=Inputs!$C$1,SUM(Outputs_Internal!L$4, Outputs_Internal!L$5),0)*$D57</f>
        <v>0</v>
      </c>
      <c r="K57" s="65">
        <f>IF($B57=Inputs!$C$1,SUM(Outputs_Internal!M$4, Outputs_Internal!$M$5),0)*$D57</f>
        <v>0</v>
      </c>
      <c r="M57" s="65">
        <f>$F57*Outputs_Internal!$D$52/12</f>
        <v>0</v>
      </c>
      <c r="N57" s="65">
        <f>$F57*Outputs_Internal!K$52/12</f>
        <v>0</v>
      </c>
      <c r="O57" s="65">
        <f>$F57*Outputs_Internal!L$52/12</f>
        <v>0</v>
      </c>
      <c r="P57" s="65">
        <f>$F57*Outputs_Internal!M$52/12</f>
        <v>0</v>
      </c>
      <c r="Q57" s="65">
        <f>$F57*Outputs_Internal!N$52/12</f>
        <v>0</v>
      </c>
      <c r="S57" s="65">
        <f t="shared" si="2"/>
        <v>0</v>
      </c>
      <c r="T57" s="65">
        <f t="shared" si="3"/>
        <v>0</v>
      </c>
      <c r="U57" s="65">
        <f t="shared" si="4"/>
        <v>0</v>
      </c>
      <c r="V57" s="65">
        <f t="shared" si="4"/>
        <v>0</v>
      </c>
      <c r="W57" s="65">
        <f t="shared" si="4"/>
        <v>0</v>
      </c>
    </row>
    <row r="58" spans="2:23" x14ac:dyDescent="0.25">
      <c r="B58" s="62">
        <f t="shared" si="0"/>
        <v>44593</v>
      </c>
      <c r="D58" s="66">
        <f>D57*IF(AND(MONTH(B58)=1,YEAR(B58)&gt;=YEAR(Prices!$I$15)),1+Prices!$I$14,1)</f>
        <v>1.0509453369140622</v>
      </c>
      <c r="E58" s="66">
        <f>IF(B58=Inputs!$C$1,D58,E57)</f>
        <v>1</v>
      </c>
      <c r="F58" s="66">
        <f>IF(AND(B58&gt;=Inputs!$C$1,B58&lt;EDATE(Inputs!$C$1,Inputs!$C$2)),E58,0)</f>
        <v>0</v>
      </c>
      <c r="H58" s="65">
        <f>IF($B58=Inputs!$C$1,SUM(Outputs_Internal!$D$4, Outputs_Internal!$D$5),0)*$D58</f>
        <v>0</v>
      </c>
      <c r="I58" s="65">
        <f>IF($B58=Inputs!$C$1,SUM(Outputs_Internal!K$4, Outputs_Internal!K$5),0)*$D58</f>
        <v>0</v>
      </c>
      <c r="J58" s="65">
        <f>IF($B58=Inputs!$C$1,SUM(Outputs_Internal!L$4, Outputs_Internal!L$5),0)*$D58</f>
        <v>0</v>
      </c>
      <c r="K58" s="65">
        <f>IF($B58=Inputs!$C$1,SUM(Outputs_Internal!M$4, Outputs_Internal!$M$5),0)*$D58</f>
        <v>0</v>
      </c>
      <c r="M58" s="65">
        <f>$F58*Outputs_Internal!$D$52/12</f>
        <v>0</v>
      </c>
      <c r="N58" s="65">
        <f>$F58*Outputs_Internal!K$52/12</f>
        <v>0</v>
      </c>
      <c r="O58" s="65">
        <f>$F58*Outputs_Internal!L$52/12</f>
        <v>0</v>
      </c>
      <c r="P58" s="65">
        <f>$F58*Outputs_Internal!M$52/12</f>
        <v>0</v>
      </c>
      <c r="Q58" s="65">
        <f>$F58*Outputs_Internal!N$52/12</f>
        <v>0</v>
      </c>
      <c r="S58" s="65">
        <f t="shared" si="2"/>
        <v>0</v>
      </c>
      <c r="T58" s="65">
        <f t="shared" si="3"/>
        <v>0</v>
      </c>
      <c r="U58" s="65">
        <f t="shared" si="4"/>
        <v>0</v>
      </c>
      <c r="V58" s="65">
        <f t="shared" si="4"/>
        <v>0</v>
      </c>
      <c r="W58" s="65">
        <f t="shared" si="4"/>
        <v>0</v>
      </c>
    </row>
    <row r="59" spans="2:23" x14ac:dyDescent="0.25">
      <c r="B59" s="62">
        <f t="shared" si="0"/>
        <v>44621</v>
      </c>
      <c r="D59" s="66">
        <f>D58*IF(AND(MONTH(B59)=1,YEAR(B59)&gt;=YEAR(Prices!$I$15)),1+Prices!$I$14,1)</f>
        <v>1.0509453369140622</v>
      </c>
      <c r="E59" s="66">
        <f>IF(B59=Inputs!$C$1,D59,E58)</f>
        <v>1</v>
      </c>
      <c r="F59" s="66">
        <f>IF(AND(B59&gt;=Inputs!$C$1,B59&lt;EDATE(Inputs!$C$1,Inputs!$C$2)),E59,0)</f>
        <v>0</v>
      </c>
      <c r="H59" s="65">
        <f>IF($B59=Inputs!$C$1,SUM(Outputs_Internal!$D$4, Outputs_Internal!$D$5),0)*$D59</f>
        <v>0</v>
      </c>
      <c r="I59" s="65">
        <f>IF($B59=Inputs!$C$1,SUM(Outputs_Internal!K$4, Outputs_Internal!K$5),0)*$D59</f>
        <v>0</v>
      </c>
      <c r="J59" s="65">
        <f>IF($B59=Inputs!$C$1,SUM(Outputs_Internal!L$4, Outputs_Internal!L$5),0)*$D59</f>
        <v>0</v>
      </c>
      <c r="K59" s="65">
        <f>IF($B59=Inputs!$C$1,SUM(Outputs_Internal!M$4, Outputs_Internal!$M$5),0)*$D59</f>
        <v>0</v>
      </c>
      <c r="M59" s="65">
        <f>$F59*Outputs_Internal!$D$52/12</f>
        <v>0</v>
      </c>
      <c r="N59" s="65">
        <f>$F59*Outputs_Internal!K$52/12</f>
        <v>0</v>
      </c>
      <c r="O59" s="65">
        <f>$F59*Outputs_Internal!L$52/12</f>
        <v>0</v>
      </c>
      <c r="P59" s="65">
        <f>$F59*Outputs_Internal!M$52/12</f>
        <v>0</v>
      </c>
      <c r="Q59" s="65">
        <f>$F59*Outputs_Internal!N$52/12</f>
        <v>0</v>
      </c>
      <c r="S59" s="65">
        <f t="shared" si="2"/>
        <v>0</v>
      </c>
      <c r="T59" s="65">
        <f t="shared" si="3"/>
        <v>0</v>
      </c>
      <c r="U59" s="65">
        <f t="shared" si="4"/>
        <v>0</v>
      </c>
      <c r="V59" s="65">
        <f t="shared" si="4"/>
        <v>0</v>
      </c>
      <c r="W59" s="65">
        <f t="shared" si="4"/>
        <v>0</v>
      </c>
    </row>
    <row r="60" spans="2:23" x14ac:dyDescent="0.25">
      <c r="B60" s="62">
        <f t="shared" si="0"/>
        <v>44652</v>
      </c>
      <c r="D60" s="66">
        <f>D59*IF(AND(MONTH(B60)=1,YEAR(B60)&gt;=YEAR(Prices!$I$15)),1+Prices!$I$14,1)</f>
        <v>1.0509453369140622</v>
      </c>
      <c r="E60" s="66">
        <f>IF(B60=Inputs!$C$1,D60,E59)</f>
        <v>1</v>
      </c>
      <c r="F60" s="66">
        <f>IF(AND(B60&gt;=Inputs!$C$1,B60&lt;EDATE(Inputs!$C$1,Inputs!$C$2)),E60,0)</f>
        <v>0</v>
      </c>
      <c r="H60" s="65">
        <f>IF($B60=Inputs!$C$1,SUM(Outputs_Internal!$D$4, Outputs_Internal!$D$5),0)*$D60</f>
        <v>0</v>
      </c>
      <c r="I60" s="65">
        <f>IF($B60=Inputs!$C$1,SUM(Outputs_Internal!K$4, Outputs_Internal!K$5),0)*$D60</f>
        <v>0</v>
      </c>
      <c r="J60" s="65">
        <f>IF($B60=Inputs!$C$1,SUM(Outputs_Internal!L$4, Outputs_Internal!L$5),0)*$D60</f>
        <v>0</v>
      </c>
      <c r="K60" s="65">
        <f>IF($B60=Inputs!$C$1,SUM(Outputs_Internal!M$4, Outputs_Internal!$M$5),0)*$D60</f>
        <v>0</v>
      </c>
      <c r="M60" s="65">
        <f>$F60*Outputs_Internal!$D$52/12</f>
        <v>0</v>
      </c>
      <c r="N60" s="65">
        <f>$F60*Outputs_Internal!K$52/12</f>
        <v>0</v>
      </c>
      <c r="O60" s="65">
        <f>$F60*Outputs_Internal!L$52/12</f>
        <v>0</v>
      </c>
      <c r="P60" s="65">
        <f>$F60*Outputs_Internal!M$52/12</f>
        <v>0</v>
      </c>
      <c r="Q60" s="65">
        <f>$F60*Outputs_Internal!N$52/12</f>
        <v>0</v>
      </c>
      <c r="S60" s="65">
        <f t="shared" si="2"/>
        <v>0</v>
      </c>
      <c r="T60" s="65">
        <f t="shared" si="3"/>
        <v>0</v>
      </c>
      <c r="U60" s="65">
        <f t="shared" si="4"/>
        <v>0</v>
      </c>
      <c r="V60" s="65">
        <f t="shared" si="4"/>
        <v>0</v>
      </c>
      <c r="W60" s="65">
        <f t="shared" si="4"/>
        <v>0</v>
      </c>
    </row>
    <row r="61" spans="2:23" x14ac:dyDescent="0.25">
      <c r="B61" s="62">
        <f t="shared" si="0"/>
        <v>44682</v>
      </c>
      <c r="D61" s="66">
        <f>D60*IF(AND(MONTH(B61)=1,YEAR(B61)&gt;=YEAR(Prices!$I$15)),1+Prices!$I$14,1)</f>
        <v>1.0509453369140622</v>
      </c>
      <c r="E61" s="66">
        <f>IF(B61=Inputs!$C$1,D61,E60)</f>
        <v>1</v>
      </c>
      <c r="F61" s="66">
        <f>IF(AND(B61&gt;=Inputs!$C$1,B61&lt;EDATE(Inputs!$C$1,Inputs!$C$2)),E61,0)</f>
        <v>0</v>
      </c>
      <c r="H61" s="65">
        <f>IF($B61=Inputs!$C$1,SUM(Outputs_Internal!$D$4, Outputs_Internal!$D$5),0)*$D61</f>
        <v>0</v>
      </c>
      <c r="I61" s="65">
        <f>IF($B61=Inputs!$C$1,SUM(Outputs_Internal!K$4, Outputs_Internal!K$5),0)*$D61</f>
        <v>0</v>
      </c>
      <c r="J61" s="65">
        <f>IF($B61=Inputs!$C$1,SUM(Outputs_Internal!L$4, Outputs_Internal!L$5),0)*$D61</f>
        <v>0</v>
      </c>
      <c r="K61" s="65">
        <f>IF($B61=Inputs!$C$1,SUM(Outputs_Internal!M$4, Outputs_Internal!$M$5),0)*$D61</f>
        <v>0</v>
      </c>
      <c r="M61" s="65">
        <f>$F61*Outputs_Internal!$D$52/12</f>
        <v>0</v>
      </c>
      <c r="N61" s="65">
        <f>$F61*Outputs_Internal!K$52/12</f>
        <v>0</v>
      </c>
      <c r="O61" s="65">
        <f>$F61*Outputs_Internal!L$52/12</f>
        <v>0</v>
      </c>
      <c r="P61" s="65">
        <f>$F61*Outputs_Internal!M$52/12</f>
        <v>0</v>
      </c>
      <c r="Q61" s="65">
        <f>$F61*Outputs_Internal!N$52/12</f>
        <v>0</v>
      </c>
      <c r="S61" s="65">
        <f t="shared" si="2"/>
        <v>0</v>
      </c>
      <c r="T61" s="65">
        <f t="shared" si="3"/>
        <v>0</v>
      </c>
      <c r="U61" s="65">
        <f t="shared" si="4"/>
        <v>0</v>
      </c>
      <c r="V61" s="65">
        <f t="shared" si="4"/>
        <v>0</v>
      </c>
      <c r="W61" s="65">
        <f t="shared" si="4"/>
        <v>0</v>
      </c>
    </row>
    <row r="62" spans="2:23" x14ac:dyDescent="0.25">
      <c r="B62" s="62">
        <f t="shared" si="0"/>
        <v>44713</v>
      </c>
      <c r="D62" s="66">
        <f>D61*IF(AND(MONTH(B62)=1,YEAR(B62)&gt;=YEAR(Prices!$I$15)),1+Prices!$I$14,1)</f>
        <v>1.0509453369140622</v>
      </c>
      <c r="E62" s="66">
        <f>IF(B62=Inputs!$C$1,D62,E61)</f>
        <v>1</v>
      </c>
      <c r="F62" s="66">
        <f>IF(AND(B62&gt;=Inputs!$C$1,B62&lt;EDATE(Inputs!$C$1,Inputs!$C$2)),E62,0)</f>
        <v>0</v>
      </c>
      <c r="H62" s="65">
        <f>IF($B62=Inputs!$C$1,SUM(Outputs_Internal!$D$4, Outputs_Internal!$D$5),0)*$D62</f>
        <v>0</v>
      </c>
      <c r="I62" s="65">
        <f>IF($B62=Inputs!$C$1,SUM(Outputs_Internal!K$4, Outputs_Internal!K$5),0)*$D62</f>
        <v>0</v>
      </c>
      <c r="J62" s="65">
        <f>IF($B62=Inputs!$C$1,SUM(Outputs_Internal!L$4, Outputs_Internal!L$5),0)*$D62</f>
        <v>0</v>
      </c>
      <c r="K62" s="65">
        <f>IF($B62=Inputs!$C$1,SUM(Outputs_Internal!M$4, Outputs_Internal!$M$5),0)*$D62</f>
        <v>0</v>
      </c>
      <c r="M62" s="65">
        <f>$F62*Outputs_Internal!$D$52/12</f>
        <v>0</v>
      </c>
      <c r="N62" s="65">
        <f>$F62*Outputs_Internal!K$52/12</f>
        <v>0</v>
      </c>
      <c r="O62" s="65">
        <f>$F62*Outputs_Internal!L$52/12</f>
        <v>0</v>
      </c>
      <c r="P62" s="65">
        <f>$F62*Outputs_Internal!M$52/12</f>
        <v>0</v>
      </c>
      <c r="Q62" s="65">
        <f>$F62*Outputs_Internal!N$52/12</f>
        <v>0</v>
      </c>
      <c r="S62" s="65">
        <f t="shared" si="2"/>
        <v>0</v>
      </c>
      <c r="T62" s="65">
        <f t="shared" si="3"/>
        <v>0</v>
      </c>
      <c r="U62" s="65">
        <f t="shared" si="4"/>
        <v>0</v>
      </c>
      <c r="V62" s="65">
        <f t="shared" si="4"/>
        <v>0</v>
      </c>
      <c r="W62" s="65">
        <f t="shared" si="4"/>
        <v>0</v>
      </c>
    </row>
    <row r="63" spans="2:23" x14ac:dyDescent="0.25">
      <c r="B63" s="62">
        <f t="shared" si="0"/>
        <v>44743</v>
      </c>
      <c r="D63" s="66">
        <f>D62*IF(AND(MONTH(B63)=1,YEAR(B63)&gt;=YEAR(Prices!$I$15)),1+Prices!$I$14,1)</f>
        <v>1.0509453369140622</v>
      </c>
      <c r="E63" s="66">
        <f>IF(B63=Inputs!$C$1,D63,E62)</f>
        <v>1</v>
      </c>
      <c r="F63" s="66">
        <f>IF(AND(B63&gt;=Inputs!$C$1,B63&lt;EDATE(Inputs!$C$1,Inputs!$C$2)),E63,0)</f>
        <v>0</v>
      </c>
      <c r="H63" s="65">
        <f>IF($B63=Inputs!$C$1,SUM(Outputs_Internal!$D$4, Outputs_Internal!$D$5),0)*$D63</f>
        <v>0</v>
      </c>
      <c r="I63" s="65">
        <f>IF($B63=Inputs!$C$1,SUM(Outputs_Internal!K$4, Outputs_Internal!K$5),0)*$D63</f>
        <v>0</v>
      </c>
      <c r="J63" s="65">
        <f>IF($B63=Inputs!$C$1,SUM(Outputs_Internal!L$4, Outputs_Internal!L$5),0)*$D63</f>
        <v>0</v>
      </c>
      <c r="K63" s="65">
        <f>IF($B63=Inputs!$C$1,SUM(Outputs_Internal!M$4, Outputs_Internal!$M$5),0)*$D63</f>
        <v>0</v>
      </c>
      <c r="M63" s="65">
        <f>$F63*Outputs_Internal!$D$52/12</f>
        <v>0</v>
      </c>
      <c r="N63" s="65">
        <f>$F63*Outputs_Internal!K$52/12</f>
        <v>0</v>
      </c>
      <c r="O63" s="65">
        <f>$F63*Outputs_Internal!L$52/12</f>
        <v>0</v>
      </c>
      <c r="P63" s="65">
        <f>$F63*Outputs_Internal!M$52/12</f>
        <v>0</v>
      </c>
      <c r="Q63" s="65">
        <f>$F63*Outputs_Internal!N$52/12</f>
        <v>0</v>
      </c>
      <c r="S63" s="65">
        <f t="shared" si="2"/>
        <v>0</v>
      </c>
      <c r="T63" s="65">
        <f t="shared" si="3"/>
        <v>0</v>
      </c>
      <c r="U63" s="65">
        <f t="shared" si="4"/>
        <v>0</v>
      </c>
      <c r="V63" s="65">
        <f t="shared" si="4"/>
        <v>0</v>
      </c>
      <c r="W63" s="65">
        <f t="shared" si="4"/>
        <v>0</v>
      </c>
    </row>
    <row r="64" spans="2:23" x14ac:dyDescent="0.25">
      <c r="B64" s="62">
        <f t="shared" si="0"/>
        <v>44774</v>
      </c>
      <c r="D64" s="66">
        <f>D63*IF(AND(MONTH(B64)=1,YEAR(B64)&gt;=YEAR(Prices!$I$15)),1+Prices!$I$14,1)</f>
        <v>1.0509453369140622</v>
      </c>
      <c r="E64" s="66">
        <f>IF(B64=Inputs!$C$1,D64,E63)</f>
        <v>1</v>
      </c>
      <c r="F64" s="66">
        <f>IF(AND(B64&gt;=Inputs!$C$1,B64&lt;EDATE(Inputs!$C$1,Inputs!$C$2)),E64,0)</f>
        <v>0</v>
      </c>
      <c r="H64" s="65">
        <f>IF($B64=Inputs!$C$1,SUM(Outputs_Internal!$D$4, Outputs_Internal!$D$5),0)*$D64</f>
        <v>0</v>
      </c>
      <c r="I64" s="65">
        <f>IF($B64=Inputs!$C$1,SUM(Outputs_Internal!K$4, Outputs_Internal!K$5),0)*$D64</f>
        <v>0</v>
      </c>
      <c r="J64" s="65">
        <f>IF($B64=Inputs!$C$1,SUM(Outputs_Internal!L$4, Outputs_Internal!L$5),0)*$D64</f>
        <v>0</v>
      </c>
      <c r="K64" s="65">
        <f>IF($B64=Inputs!$C$1,SUM(Outputs_Internal!M$4, Outputs_Internal!$M$5),0)*$D64</f>
        <v>0</v>
      </c>
      <c r="M64" s="65">
        <f>$F64*Outputs_Internal!$D$52/12</f>
        <v>0</v>
      </c>
      <c r="N64" s="65">
        <f>$F64*Outputs_Internal!K$52/12</f>
        <v>0</v>
      </c>
      <c r="O64" s="65">
        <f>$F64*Outputs_Internal!L$52/12</f>
        <v>0</v>
      </c>
      <c r="P64" s="65">
        <f>$F64*Outputs_Internal!M$52/12</f>
        <v>0</v>
      </c>
      <c r="Q64" s="65">
        <f>$F64*Outputs_Internal!N$52/12</f>
        <v>0</v>
      </c>
      <c r="S64" s="65">
        <f t="shared" si="2"/>
        <v>0</v>
      </c>
      <c r="T64" s="65">
        <f t="shared" si="3"/>
        <v>0</v>
      </c>
      <c r="U64" s="65">
        <f t="shared" si="4"/>
        <v>0</v>
      </c>
      <c r="V64" s="65">
        <f t="shared" si="4"/>
        <v>0</v>
      </c>
      <c r="W64" s="65">
        <f t="shared" si="4"/>
        <v>0</v>
      </c>
    </row>
    <row r="65" spans="2:23" x14ac:dyDescent="0.25">
      <c r="B65" s="62">
        <f t="shared" si="0"/>
        <v>44805</v>
      </c>
      <c r="D65" s="66">
        <f>D64*IF(AND(MONTH(B65)=1,YEAR(B65)&gt;=YEAR(Prices!$I$15)),1+Prices!$I$14,1)</f>
        <v>1.0509453369140622</v>
      </c>
      <c r="E65" s="66">
        <f>IF(B65=Inputs!$C$1,D65,E64)</f>
        <v>1</v>
      </c>
      <c r="F65" s="66">
        <f>IF(AND(B65&gt;=Inputs!$C$1,B65&lt;EDATE(Inputs!$C$1,Inputs!$C$2)),E65,0)</f>
        <v>0</v>
      </c>
      <c r="H65" s="65">
        <f>IF($B65=Inputs!$C$1,SUM(Outputs_Internal!$D$4, Outputs_Internal!$D$5),0)*$D65</f>
        <v>0</v>
      </c>
      <c r="I65" s="65">
        <f>IF($B65=Inputs!$C$1,SUM(Outputs_Internal!K$4, Outputs_Internal!K$5),0)*$D65</f>
        <v>0</v>
      </c>
      <c r="J65" s="65">
        <f>IF($B65=Inputs!$C$1,SUM(Outputs_Internal!L$4, Outputs_Internal!L$5),0)*$D65</f>
        <v>0</v>
      </c>
      <c r="K65" s="65">
        <f>IF($B65=Inputs!$C$1,SUM(Outputs_Internal!M$4, Outputs_Internal!$M$5),0)*$D65</f>
        <v>0</v>
      </c>
      <c r="M65" s="65">
        <f>$F65*Outputs_Internal!$D$52/12</f>
        <v>0</v>
      </c>
      <c r="N65" s="65">
        <f>$F65*Outputs_Internal!K$52/12</f>
        <v>0</v>
      </c>
      <c r="O65" s="65">
        <f>$F65*Outputs_Internal!L$52/12</f>
        <v>0</v>
      </c>
      <c r="P65" s="65">
        <f>$F65*Outputs_Internal!M$52/12</f>
        <v>0</v>
      </c>
      <c r="Q65" s="65">
        <f>$F65*Outputs_Internal!N$52/12</f>
        <v>0</v>
      </c>
      <c r="S65" s="65">
        <f t="shared" si="2"/>
        <v>0</v>
      </c>
      <c r="T65" s="65">
        <f t="shared" si="3"/>
        <v>0</v>
      </c>
      <c r="U65" s="65">
        <f t="shared" si="4"/>
        <v>0</v>
      </c>
      <c r="V65" s="65">
        <f t="shared" si="4"/>
        <v>0</v>
      </c>
      <c r="W65" s="65">
        <f t="shared" si="4"/>
        <v>0</v>
      </c>
    </row>
    <row r="66" spans="2:23" x14ac:dyDescent="0.25">
      <c r="B66" s="62">
        <f t="shared" si="0"/>
        <v>44835</v>
      </c>
      <c r="D66" s="66">
        <f>D65*IF(AND(MONTH(B66)=1,YEAR(B66)&gt;=YEAR(Prices!$I$15)),1+Prices!$I$14,1)</f>
        <v>1.0509453369140622</v>
      </c>
      <c r="E66" s="66">
        <f>IF(B66=Inputs!$C$1,D66,E65)</f>
        <v>1</v>
      </c>
      <c r="F66" s="66">
        <f>IF(AND(B66&gt;=Inputs!$C$1,B66&lt;EDATE(Inputs!$C$1,Inputs!$C$2)),E66,0)</f>
        <v>0</v>
      </c>
      <c r="H66" s="65">
        <f>IF($B66=Inputs!$C$1,SUM(Outputs_Internal!$D$4, Outputs_Internal!$D$5),0)*$D66</f>
        <v>0</v>
      </c>
      <c r="I66" s="65">
        <f>IF($B66=Inputs!$C$1,SUM(Outputs_Internal!K$4, Outputs_Internal!K$5),0)*$D66</f>
        <v>0</v>
      </c>
      <c r="J66" s="65">
        <f>IF($B66=Inputs!$C$1,SUM(Outputs_Internal!L$4, Outputs_Internal!L$5),0)*$D66</f>
        <v>0</v>
      </c>
      <c r="K66" s="65">
        <f>IF($B66=Inputs!$C$1,SUM(Outputs_Internal!M$4, Outputs_Internal!$M$5),0)*$D66</f>
        <v>0</v>
      </c>
      <c r="M66" s="65">
        <f>$F66*Outputs_Internal!$D$52/12</f>
        <v>0</v>
      </c>
      <c r="N66" s="65">
        <f>$F66*Outputs_Internal!K$52/12</f>
        <v>0</v>
      </c>
      <c r="O66" s="65">
        <f>$F66*Outputs_Internal!L$52/12</f>
        <v>0</v>
      </c>
      <c r="P66" s="65">
        <f>$F66*Outputs_Internal!M$52/12</f>
        <v>0</v>
      </c>
      <c r="Q66" s="65">
        <f>$F66*Outputs_Internal!N$52/12</f>
        <v>0</v>
      </c>
      <c r="S66" s="65">
        <f t="shared" si="2"/>
        <v>0</v>
      </c>
      <c r="T66" s="65">
        <f t="shared" si="3"/>
        <v>0</v>
      </c>
      <c r="U66" s="65">
        <f t="shared" si="4"/>
        <v>0</v>
      </c>
      <c r="V66" s="65">
        <f t="shared" si="4"/>
        <v>0</v>
      </c>
      <c r="W66" s="65">
        <f t="shared" si="4"/>
        <v>0</v>
      </c>
    </row>
    <row r="67" spans="2:23" x14ac:dyDescent="0.25">
      <c r="B67" s="62">
        <f t="shared" si="0"/>
        <v>44866</v>
      </c>
      <c r="D67" s="66">
        <f>D66*IF(AND(MONTH(B67)=1,YEAR(B67)&gt;=YEAR(Prices!$I$15)),1+Prices!$I$14,1)</f>
        <v>1.0509453369140622</v>
      </c>
      <c r="E67" s="66">
        <f>IF(B67=Inputs!$C$1,D67,E66)</f>
        <v>1</v>
      </c>
      <c r="F67" s="66">
        <f>IF(AND(B67&gt;=Inputs!$C$1,B67&lt;EDATE(Inputs!$C$1,Inputs!$C$2)),E67,0)</f>
        <v>0</v>
      </c>
      <c r="H67" s="65">
        <f>IF($B67=Inputs!$C$1,SUM(Outputs_Internal!$D$4, Outputs_Internal!$D$5),0)*$D67</f>
        <v>0</v>
      </c>
      <c r="I67" s="65">
        <f>IF($B67=Inputs!$C$1,SUM(Outputs_Internal!K$4, Outputs_Internal!K$5),0)*$D67</f>
        <v>0</v>
      </c>
      <c r="J67" s="65">
        <f>IF($B67=Inputs!$C$1,SUM(Outputs_Internal!L$4, Outputs_Internal!L$5),0)*$D67</f>
        <v>0</v>
      </c>
      <c r="K67" s="65">
        <f>IF($B67=Inputs!$C$1,SUM(Outputs_Internal!M$4, Outputs_Internal!$M$5),0)*$D67</f>
        <v>0</v>
      </c>
      <c r="M67" s="65">
        <f>$F67*Outputs_Internal!$D$52/12</f>
        <v>0</v>
      </c>
      <c r="N67" s="65">
        <f>$F67*Outputs_Internal!K$52/12</f>
        <v>0</v>
      </c>
      <c r="O67" s="65">
        <f>$F67*Outputs_Internal!L$52/12</f>
        <v>0</v>
      </c>
      <c r="P67" s="65">
        <f>$F67*Outputs_Internal!M$52/12</f>
        <v>0</v>
      </c>
      <c r="Q67" s="65">
        <f>$F67*Outputs_Internal!N$52/12</f>
        <v>0</v>
      </c>
      <c r="S67" s="65">
        <f t="shared" si="2"/>
        <v>0</v>
      </c>
      <c r="T67" s="65">
        <f t="shared" si="3"/>
        <v>0</v>
      </c>
      <c r="U67" s="65">
        <f t="shared" si="4"/>
        <v>0</v>
      </c>
      <c r="V67" s="65">
        <f t="shared" si="4"/>
        <v>0</v>
      </c>
      <c r="W67" s="65">
        <f t="shared" si="4"/>
        <v>0</v>
      </c>
    </row>
    <row r="68" spans="2:23" x14ac:dyDescent="0.25">
      <c r="B68" s="62">
        <f t="shared" si="0"/>
        <v>44896</v>
      </c>
      <c r="D68" s="66">
        <f>D67*IF(AND(MONTH(B68)=1,YEAR(B68)&gt;=YEAR(Prices!$I$15)),1+Prices!$I$14,1)</f>
        <v>1.0509453369140622</v>
      </c>
      <c r="E68" s="66">
        <f>IF(B68=Inputs!$C$1,D68,E67)</f>
        <v>1</v>
      </c>
      <c r="F68" s="66">
        <f>IF(AND(B68&gt;=Inputs!$C$1,B68&lt;EDATE(Inputs!$C$1,Inputs!$C$2)),E68,0)</f>
        <v>0</v>
      </c>
      <c r="H68" s="65">
        <f>IF($B68=Inputs!$C$1,SUM(Outputs_Internal!$D$4, Outputs_Internal!$D$5),0)*$D68</f>
        <v>0</v>
      </c>
      <c r="I68" s="65">
        <f>IF($B68=Inputs!$C$1,SUM(Outputs_Internal!K$4, Outputs_Internal!K$5),0)*$D68</f>
        <v>0</v>
      </c>
      <c r="J68" s="65">
        <f>IF($B68=Inputs!$C$1,SUM(Outputs_Internal!L$4, Outputs_Internal!L$5),0)*$D68</f>
        <v>0</v>
      </c>
      <c r="K68" s="65">
        <f>IF($B68=Inputs!$C$1,SUM(Outputs_Internal!M$4, Outputs_Internal!$M$5),0)*$D68</f>
        <v>0</v>
      </c>
      <c r="M68" s="65">
        <f>$F68*Outputs_Internal!$D$52/12</f>
        <v>0</v>
      </c>
      <c r="N68" s="65">
        <f>$F68*Outputs_Internal!K$52/12</f>
        <v>0</v>
      </c>
      <c r="O68" s="65">
        <f>$F68*Outputs_Internal!L$52/12</f>
        <v>0</v>
      </c>
      <c r="P68" s="65">
        <f>$F68*Outputs_Internal!M$52/12</f>
        <v>0</v>
      </c>
      <c r="Q68" s="65">
        <f>$F68*Outputs_Internal!N$52/12</f>
        <v>0</v>
      </c>
      <c r="S68" s="65">
        <f t="shared" si="2"/>
        <v>0</v>
      </c>
      <c r="T68" s="65">
        <f t="shared" si="3"/>
        <v>0</v>
      </c>
      <c r="U68" s="65">
        <f t="shared" si="4"/>
        <v>0</v>
      </c>
      <c r="V68" s="65">
        <f t="shared" si="4"/>
        <v>0</v>
      </c>
      <c r="W68" s="65">
        <f t="shared" si="4"/>
        <v>0</v>
      </c>
    </row>
    <row r="69" spans="2:23" x14ac:dyDescent="0.25">
      <c r="B69" s="62">
        <f t="shared" ref="B69:B94" si="5">EDATE(B68,1)</f>
        <v>44927</v>
      </c>
      <c r="D69" s="66">
        <f>D68*IF(AND(MONTH(B69)=1,YEAR(B69)&gt;=YEAR(Prices!$I$15)),1+Prices!$I$14,1)</f>
        <v>1.0640821536254879</v>
      </c>
      <c r="E69" s="66">
        <f>IF(B69=Inputs!$C$1,D69,E68)</f>
        <v>1</v>
      </c>
      <c r="F69" s="66">
        <f>IF(AND(B69&gt;=Inputs!$C$1,B69&lt;EDATE(Inputs!$C$1,Inputs!$C$2)),E69,0)</f>
        <v>0</v>
      </c>
      <c r="H69" s="65">
        <f>IF($B69=Inputs!$C$1,SUM(Outputs_Internal!$D$4, Outputs_Internal!$D$5),0)*$D69</f>
        <v>0</v>
      </c>
      <c r="I69" s="65">
        <f>IF($B69=Inputs!$C$1,SUM(Outputs_Internal!K$4, Outputs_Internal!K$5),0)*$D69</f>
        <v>0</v>
      </c>
      <c r="J69" s="65">
        <f>IF($B69=Inputs!$C$1,SUM(Outputs_Internal!L$4, Outputs_Internal!L$5),0)*$D69</f>
        <v>0</v>
      </c>
      <c r="K69" s="65">
        <f>IF($B69=Inputs!$C$1,SUM(Outputs_Internal!M$4, Outputs_Internal!$M$5),0)*$D69</f>
        <v>0</v>
      </c>
      <c r="M69" s="65">
        <f>$F69*Outputs_Internal!$D$52/12</f>
        <v>0</v>
      </c>
      <c r="N69" s="65">
        <f>$F69*Outputs_Internal!K$52/12</f>
        <v>0</v>
      </c>
      <c r="O69" s="65">
        <f>$F69*Outputs_Internal!L$52/12</f>
        <v>0</v>
      </c>
      <c r="P69" s="65">
        <f>$F69*Outputs_Internal!M$52/12</f>
        <v>0</v>
      </c>
      <c r="Q69" s="65">
        <f>$F69*Outputs_Internal!N$52/12</f>
        <v>0</v>
      </c>
      <c r="S69" s="65">
        <f t="shared" si="2"/>
        <v>0</v>
      </c>
      <c r="T69" s="65">
        <f t="shared" si="3"/>
        <v>0</v>
      </c>
      <c r="U69" s="65">
        <f t="shared" si="4"/>
        <v>0</v>
      </c>
      <c r="V69" s="65">
        <f t="shared" si="4"/>
        <v>0</v>
      </c>
      <c r="W69" s="65">
        <f t="shared" si="4"/>
        <v>0</v>
      </c>
    </row>
    <row r="70" spans="2:23" x14ac:dyDescent="0.25">
      <c r="B70" s="62">
        <f t="shared" si="5"/>
        <v>44958</v>
      </c>
      <c r="D70" s="66">
        <f>D69*IF(AND(MONTH(B70)=1,YEAR(B70)&gt;=YEAR(Prices!$I$15)),1+Prices!$I$14,1)</f>
        <v>1.0640821536254879</v>
      </c>
      <c r="E70" s="66">
        <f>IF(B70=Inputs!$C$1,D70,E69)</f>
        <v>1</v>
      </c>
      <c r="F70" s="66">
        <f>IF(AND(B70&gt;=Inputs!$C$1,B70&lt;EDATE(Inputs!$C$1,Inputs!$C$2)),E70,0)</f>
        <v>0</v>
      </c>
      <c r="H70" s="65">
        <f>IF($B70=Inputs!$C$1,SUM(Outputs_Internal!$D$4, Outputs_Internal!$D$5),0)*$D70</f>
        <v>0</v>
      </c>
      <c r="I70" s="65">
        <f>IF($B70=Inputs!$C$1,SUM(Outputs_Internal!K$4, Outputs_Internal!K$5),0)*$D70</f>
        <v>0</v>
      </c>
      <c r="J70" s="65">
        <f>IF($B70=Inputs!$C$1,SUM(Outputs_Internal!L$4, Outputs_Internal!L$5),0)*$D70</f>
        <v>0</v>
      </c>
      <c r="K70" s="65">
        <f>IF($B70=Inputs!$C$1,SUM(Outputs_Internal!M$4, Outputs_Internal!$M$5),0)*$D70</f>
        <v>0</v>
      </c>
      <c r="M70" s="65">
        <f>$F70*Outputs_Internal!$D$52/12</f>
        <v>0</v>
      </c>
      <c r="N70" s="65">
        <f>$F70*Outputs_Internal!K$52/12</f>
        <v>0</v>
      </c>
      <c r="O70" s="65">
        <f>$F70*Outputs_Internal!L$52/12</f>
        <v>0</v>
      </c>
      <c r="P70" s="65">
        <f>$F70*Outputs_Internal!M$52/12</f>
        <v>0</v>
      </c>
      <c r="Q70" s="65">
        <f>$F70*Outputs_Internal!N$52/12</f>
        <v>0</v>
      </c>
      <c r="S70" s="65">
        <f t="shared" ref="S70:S94" si="6">IF(MOD(MONTH($B70),3)=0,SUM(H68:H70,M68:M70),0)</f>
        <v>0</v>
      </c>
      <c r="T70" s="65">
        <f t="shared" ref="T70:T94" si="7">IF(MOD(MONTH($B70),3)=0,SUM(I68:I70,N68:N70),0)</f>
        <v>0</v>
      </c>
      <c r="U70" s="65">
        <f t="shared" ref="U70:W94" si="8">IF(MOD(MONTH($B70),3)=0,SUM(J68:J70,O68:O70),0)</f>
        <v>0</v>
      </c>
      <c r="V70" s="65">
        <f t="shared" si="8"/>
        <v>0</v>
      </c>
      <c r="W70" s="65">
        <f t="shared" si="8"/>
        <v>0</v>
      </c>
    </row>
    <row r="71" spans="2:23" x14ac:dyDescent="0.25">
      <c r="B71" s="62">
        <f t="shared" si="5"/>
        <v>44986</v>
      </c>
      <c r="D71" s="66">
        <f>D70*IF(AND(MONTH(B71)=1,YEAR(B71)&gt;=YEAR(Prices!$I$15)),1+Prices!$I$14,1)</f>
        <v>1.0640821536254879</v>
      </c>
      <c r="E71" s="66">
        <f>IF(B71=Inputs!$C$1,D71,E70)</f>
        <v>1</v>
      </c>
      <c r="F71" s="66">
        <f>IF(AND(B71&gt;=Inputs!$C$1,B71&lt;EDATE(Inputs!$C$1,Inputs!$C$2)),E71,0)</f>
        <v>0</v>
      </c>
      <c r="H71" s="65">
        <f>IF($B71=Inputs!$C$1,SUM(Outputs_Internal!$D$4, Outputs_Internal!$D$5),0)*$D71</f>
        <v>0</v>
      </c>
      <c r="I71" s="65">
        <f>IF($B71=Inputs!$C$1,SUM(Outputs_Internal!K$4, Outputs_Internal!K$5),0)*$D71</f>
        <v>0</v>
      </c>
      <c r="J71" s="65">
        <f>IF($B71=Inputs!$C$1,SUM(Outputs_Internal!L$4, Outputs_Internal!L$5),0)*$D71</f>
        <v>0</v>
      </c>
      <c r="K71" s="65">
        <f>IF($B71=Inputs!$C$1,SUM(Outputs_Internal!M$4, Outputs_Internal!$M$5),0)*$D71</f>
        <v>0</v>
      </c>
      <c r="M71" s="65">
        <f>$F71*Outputs_Internal!$D$52/12</f>
        <v>0</v>
      </c>
      <c r="N71" s="65">
        <f>$F71*Outputs_Internal!K$52/12</f>
        <v>0</v>
      </c>
      <c r="O71" s="65">
        <f>$F71*Outputs_Internal!L$52/12</f>
        <v>0</v>
      </c>
      <c r="P71" s="65">
        <f>$F71*Outputs_Internal!M$52/12</f>
        <v>0</v>
      </c>
      <c r="Q71" s="65">
        <f>$F71*Outputs_Internal!N$52/12</f>
        <v>0</v>
      </c>
      <c r="S71" s="65">
        <f t="shared" si="6"/>
        <v>0</v>
      </c>
      <c r="T71" s="65">
        <f t="shared" si="7"/>
        <v>0</v>
      </c>
      <c r="U71" s="65">
        <f t="shared" si="8"/>
        <v>0</v>
      </c>
      <c r="V71" s="65">
        <f t="shared" si="8"/>
        <v>0</v>
      </c>
      <c r="W71" s="65">
        <f t="shared" si="8"/>
        <v>0</v>
      </c>
    </row>
    <row r="72" spans="2:23" x14ac:dyDescent="0.25">
      <c r="B72" s="62">
        <f t="shared" si="5"/>
        <v>45017</v>
      </c>
      <c r="D72" s="66">
        <f>D71*IF(AND(MONTH(B72)=1,YEAR(B72)&gt;=YEAR(Prices!$I$15)),1+Prices!$I$14,1)</f>
        <v>1.0640821536254879</v>
      </c>
      <c r="E72" s="66">
        <f>IF(B72=Inputs!$C$1,D72,E71)</f>
        <v>1</v>
      </c>
      <c r="F72" s="66">
        <f>IF(AND(B72&gt;=Inputs!$C$1,B72&lt;EDATE(Inputs!$C$1,Inputs!$C$2)),E72,0)</f>
        <v>0</v>
      </c>
      <c r="H72" s="65">
        <f>IF($B72=Inputs!$C$1,SUM(Outputs_Internal!$D$4, Outputs_Internal!$D$5),0)*$D72</f>
        <v>0</v>
      </c>
      <c r="I72" s="65">
        <f>IF($B72=Inputs!$C$1,SUM(Outputs_Internal!K$4, Outputs_Internal!K$5),0)*$D72</f>
        <v>0</v>
      </c>
      <c r="J72" s="65">
        <f>IF($B72=Inputs!$C$1,SUM(Outputs_Internal!L$4, Outputs_Internal!L$5),0)*$D72</f>
        <v>0</v>
      </c>
      <c r="K72" s="65">
        <f>IF($B72=Inputs!$C$1,SUM(Outputs_Internal!M$4, Outputs_Internal!$M$5),0)*$D72</f>
        <v>0</v>
      </c>
      <c r="M72" s="65">
        <f>$F72*Outputs_Internal!$D$52/12</f>
        <v>0</v>
      </c>
      <c r="N72" s="65">
        <f>$F72*Outputs_Internal!K$52/12</f>
        <v>0</v>
      </c>
      <c r="O72" s="65">
        <f>$F72*Outputs_Internal!L$52/12</f>
        <v>0</v>
      </c>
      <c r="P72" s="65">
        <f>$F72*Outputs_Internal!M$52/12</f>
        <v>0</v>
      </c>
      <c r="Q72" s="65">
        <f>$F72*Outputs_Internal!N$52/12</f>
        <v>0</v>
      </c>
      <c r="S72" s="65">
        <f t="shared" si="6"/>
        <v>0</v>
      </c>
      <c r="T72" s="65">
        <f t="shared" si="7"/>
        <v>0</v>
      </c>
      <c r="U72" s="65">
        <f t="shared" si="8"/>
        <v>0</v>
      </c>
      <c r="V72" s="65">
        <f t="shared" si="8"/>
        <v>0</v>
      </c>
      <c r="W72" s="65">
        <f t="shared" si="8"/>
        <v>0</v>
      </c>
    </row>
    <row r="73" spans="2:23" x14ac:dyDescent="0.25">
      <c r="B73" s="62">
        <f t="shared" si="5"/>
        <v>45047</v>
      </c>
      <c r="D73" s="66">
        <f>D72*IF(AND(MONTH(B73)=1,YEAR(B73)&gt;=YEAR(Prices!$I$15)),1+Prices!$I$14,1)</f>
        <v>1.0640821536254879</v>
      </c>
      <c r="E73" s="66">
        <f>IF(B73=Inputs!$C$1,D73,E72)</f>
        <v>1</v>
      </c>
      <c r="F73" s="66">
        <f>IF(AND(B73&gt;=Inputs!$C$1,B73&lt;EDATE(Inputs!$C$1,Inputs!$C$2)),E73,0)</f>
        <v>0</v>
      </c>
      <c r="H73" s="65">
        <f>IF($B73=Inputs!$C$1,SUM(Outputs_Internal!$D$4, Outputs_Internal!$D$5),0)*$D73</f>
        <v>0</v>
      </c>
      <c r="I73" s="65">
        <f>IF($B73=Inputs!$C$1,SUM(Outputs_Internal!K$4, Outputs_Internal!K$5),0)*$D73</f>
        <v>0</v>
      </c>
      <c r="J73" s="65">
        <f>IF($B73=Inputs!$C$1,SUM(Outputs_Internal!L$4, Outputs_Internal!L$5),0)*$D73</f>
        <v>0</v>
      </c>
      <c r="K73" s="65">
        <f>IF($B73=Inputs!$C$1,SUM(Outputs_Internal!M$4, Outputs_Internal!$M$5),0)*$D73</f>
        <v>0</v>
      </c>
      <c r="M73" s="65">
        <f>$F73*Outputs_Internal!$D$52/12</f>
        <v>0</v>
      </c>
      <c r="N73" s="65">
        <f>$F73*Outputs_Internal!K$52/12</f>
        <v>0</v>
      </c>
      <c r="O73" s="65">
        <f>$F73*Outputs_Internal!L$52/12</f>
        <v>0</v>
      </c>
      <c r="P73" s="65">
        <f>$F73*Outputs_Internal!M$52/12</f>
        <v>0</v>
      </c>
      <c r="Q73" s="65">
        <f>$F73*Outputs_Internal!N$52/12</f>
        <v>0</v>
      </c>
      <c r="S73" s="65">
        <f t="shared" si="6"/>
        <v>0</v>
      </c>
      <c r="T73" s="65">
        <f t="shared" si="7"/>
        <v>0</v>
      </c>
      <c r="U73" s="65">
        <f t="shared" si="8"/>
        <v>0</v>
      </c>
      <c r="V73" s="65">
        <f t="shared" si="8"/>
        <v>0</v>
      </c>
      <c r="W73" s="65">
        <f t="shared" si="8"/>
        <v>0</v>
      </c>
    </row>
    <row r="74" spans="2:23" x14ac:dyDescent="0.25">
      <c r="B74" s="62">
        <f t="shared" si="5"/>
        <v>45078</v>
      </c>
      <c r="D74" s="66">
        <f>D73*IF(AND(MONTH(B74)=1,YEAR(B74)&gt;=YEAR(Prices!$I$15)),1+Prices!$I$14,1)</f>
        <v>1.0640821536254879</v>
      </c>
      <c r="E74" s="66">
        <f>IF(B74=Inputs!$C$1,D74,E73)</f>
        <v>1</v>
      </c>
      <c r="F74" s="66">
        <f>IF(AND(B74&gt;=Inputs!$C$1,B74&lt;EDATE(Inputs!$C$1,Inputs!$C$2)),E74,0)</f>
        <v>0</v>
      </c>
      <c r="H74" s="65">
        <f>IF($B74=Inputs!$C$1,SUM(Outputs_Internal!$D$4, Outputs_Internal!$D$5),0)*$D74</f>
        <v>0</v>
      </c>
      <c r="I74" s="65">
        <f>IF($B74=Inputs!$C$1,SUM(Outputs_Internal!K$4, Outputs_Internal!K$5),0)*$D74</f>
        <v>0</v>
      </c>
      <c r="J74" s="65">
        <f>IF($B74=Inputs!$C$1,SUM(Outputs_Internal!L$4, Outputs_Internal!L$5),0)*$D74</f>
        <v>0</v>
      </c>
      <c r="K74" s="65">
        <f>IF($B74=Inputs!$C$1,SUM(Outputs_Internal!M$4, Outputs_Internal!$M$5),0)*$D74</f>
        <v>0</v>
      </c>
      <c r="M74" s="65">
        <f>$F74*Outputs_Internal!$D$52/12</f>
        <v>0</v>
      </c>
      <c r="N74" s="65">
        <f>$F74*Outputs_Internal!K$52/12</f>
        <v>0</v>
      </c>
      <c r="O74" s="65">
        <f>$F74*Outputs_Internal!L$52/12</f>
        <v>0</v>
      </c>
      <c r="P74" s="65">
        <f>$F74*Outputs_Internal!M$52/12</f>
        <v>0</v>
      </c>
      <c r="Q74" s="65">
        <f>$F74*Outputs_Internal!N$52/12</f>
        <v>0</v>
      </c>
      <c r="S74" s="65">
        <f t="shared" si="6"/>
        <v>0</v>
      </c>
      <c r="T74" s="65">
        <f t="shared" si="7"/>
        <v>0</v>
      </c>
      <c r="U74" s="65">
        <f t="shared" si="8"/>
        <v>0</v>
      </c>
      <c r="V74" s="65">
        <f t="shared" si="8"/>
        <v>0</v>
      </c>
      <c r="W74" s="65">
        <f t="shared" si="8"/>
        <v>0</v>
      </c>
    </row>
    <row r="75" spans="2:23" x14ac:dyDescent="0.25">
      <c r="B75" s="62">
        <f t="shared" si="5"/>
        <v>45108</v>
      </c>
      <c r="D75" s="66">
        <f>D74*IF(AND(MONTH(B75)=1,YEAR(B75)&gt;=YEAR(Prices!$I$15)),1+Prices!$I$14,1)</f>
        <v>1.0640821536254879</v>
      </c>
      <c r="E75" s="66">
        <f>IF(B75=Inputs!$C$1,D75,E74)</f>
        <v>1</v>
      </c>
      <c r="F75" s="66">
        <f>IF(AND(B75&gt;=Inputs!$C$1,B75&lt;EDATE(Inputs!$C$1,Inputs!$C$2)),E75,0)</f>
        <v>0</v>
      </c>
      <c r="H75" s="65">
        <f>IF($B75=Inputs!$C$1,SUM(Outputs_Internal!$D$4, Outputs_Internal!$D$5),0)*$D75</f>
        <v>0</v>
      </c>
      <c r="I75" s="65">
        <f>IF($B75=Inputs!$C$1,SUM(Outputs_Internal!K$4, Outputs_Internal!K$5),0)*$D75</f>
        <v>0</v>
      </c>
      <c r="J75" s="65">
        <f>IF($B75=Inputs!$C$1,SUM(Outputs_Internal!L$4, Outputs_Internal!L$5),0)*$D75</f>
        <v>0</v>
      </c>
      <c r="K75" s="65">
        <f>IF($B75=Inputs!$C$1,SUM(Outputs_Internal!M$4, Outputs_Internal!$M$5),0)*$D75</f>
        <v>0</v>
      </c>
      <c r="M75" s="65">
        <f>$F75*Outputs_Internal!$D$52/12</f>
        <v>0</v>
      </c>
      <c r="N75" s="65">
        <f>$F75*Outputs_Internal!K$52/12</f>
        <v>0</v>
      </c>
      <c r="O75" s="65">
        <f>$F75*Outputs_Internal!L$52/12</f>
        <v>0</v>
      </c>
      <c r="P75" s="65">
        <f>$F75*Outputs_Internal!M$52/12</f>
        <v>0</v>
      </c>
      <c r="Q75" s="65">
        <f>$F75*Outputs_Internal!N$52/12</f>
        <v>0</v>
      </c>
      <c r="S75" s="65">
        <f t="shared" si="6"/>
        <v>0</v>
      </c>
      <c r="T75" s="65">
        <f t="shared" si="7"/>
        <v>0</v>
      </c>
      <c r="U75" s="65">
        <f t="shared" si="8"/>
        <v>0</v>
      </c>
      <c r="V75" s="65">
        <f t="shared" si="8"/>
        <v>0</v>
      </c>
      <c r="W75" s="65">
        <f t="shared" si="8"/>
        <v>0</v>
      </c>
    </row>
    <row r="76" spans="2:23" x14ac:dyDescent="0.25">
      <c r="B76" s="62">
        <f t="shared" si="5"/>
        <v>45139</v>
      </c>
      <c r="D76" s="66">
        <f>D75*IF(AND(MONTH(B76)=1,YEAR(B76)&gt;=YEAR(Prices!$I$15)),1+Prices!$I$14,1)</f>
        <v>1.0640821536254879</v>
      </c>
      <c r="E76" s="66">
        <f>IF(B76=Inputs!$C$1,D76,E75)</f>
        <v>1</v>
      </c>
      <c r="F76" s="66">
        <f>IF(AND(B76&gt;=Inputs!$C$1,B76&lt;EDATE(Inputs!$C$1,Inputs!$C$2)),E76,0)</f>
        <v>0</v>
      </c>
      <c r="H76" s="65">
        <f>IF($B76=Inputs!$C$1,SUM(Outputs_Internal!$D$4, Outputs_Internal!$D$5),0)*$D76</f>
        <v>0</v>
      </c>
      <c r="I76" s="65">
        <f>IF($B76=Inputs!$C$1,SUM(Outputs_Internal!K$4, Outputs_Internal!K$5),0)*$D76</f>
        <v>0</v>
      </c>
      <c r="J76" s="65">
        <f>IF($B76=Inputs!$C$1,SUM(Outputs_Internal!L$4, Outputs_Internal!L$5),0)*$D76</f>
        <v>0</v>
      </c>
      <c r="K76" s="65">
        <f>IF($B76=Inputs!$C$1,SUM(Outputs_Internal!M$4, Outputs_Internal!$M$5),0)*$D76</f>
        <v>0</v>
      </c>
      <c r="M76" s="65">
        <f>$F76*Outputs_Internal!$D$52/12</f>
        <v>0</v>
      </c>
      <c r="N76" s="65">
        <f>$F76*Outputs_Internal!K$52/12</f>
        <v>0</v>
      </c>
      <c r="O76" s="65">
        <f>$F76*Outputs_Internal!L$52/12</f>
        <v>0</v>
      </c>
      <c r="P76" s="65">
        <f>$F76*Outputs_Internal!M$52/12</f>
        <v>0</v>
      </c>
      <c r="Q76" s="65">
        <f>$F76*Outputs_Internal!N$52/12</f>
        <v>0</v>
      </c>
      <c r="S76" s="65">
        <f t="shared" si="6"/>
        <v>0</v>
      </c>
      <c r="T76" s="65">
        <f t="shared" si="7"/>
        <v>0</v>
      </c>
      <c r="U76" s="65">
        <f t="shared" si="8"/>
        <v>0</v>
      </c>
      <c r="V76" s="65">
        <f t="shared" si="8"/>
        <v>0</v>
      </c>
      <c r="W76" s="65">
        <f t="shared" si="8"/>
        <v>0</v>
      </c>
    </row>
    <row r="77" spans="2:23" x14ac:dyDescent="0.25">
      <c r="B77" s="62">
        <f t="shared" si="5"/>
        <v>45170</v>
      </c>
      <c r="D77" s="66">
        <f>D76*IF(AND(MONTH(B77)=1,YEAR(B77)&gt;=YEAR(Prices!$I$15)),1+Prices!$I$14,1)</f>
        <v>1.0640821536254879</v>
      </c>
      <c r="E77" s="66">
        <f>IF(B77=Inputs!$C$1,D77,E76)</f>
        <v>1</v>
      </c>
      <c r="F77" s="66">
        <f>IF(AND(B77&gt;=Inputs!$C$1,B77&lt;EDATE(Inputs!$C$1,Inputs!$C$2)),E77,0)</f>
        <v>0</v>
      </c>
      <c r="H77" s="65">
        <f>IF($B77=Inputs!$C$1,SUM(Outputs_Internal!$D$4, Outputs_Internal!$D$5),0)*$D77</f>
        <v>0</v>
      </c>
      <c r="I77" s="65">
        <f>IF($B77=Inputs!$C$1,SUM(Outputs_Internal!K$4, Outputs_Internal!K$5),0)*$D77</f>
        <v>0</v>
      </c>
      <c r="J77" s="65">
        <f>IF($B77=Inputs!$C$1,SUM(Outputs_Internal!L$4, Outputs_Internal!L$5),0)*$D77</f>
        <v>0</v>
      </c>
      <c r="K77" s="65">
        <f>IF($B77=Inputs!$C$1,SUM(Outputs_Internal!M$4, Outputs_Internal!$M$5),0)*$D77</f>
        <v>0</v>
      </c>
      <c r="M77" s="65">
        <f>$F77*Outputs_Internal!$D$52/12</f>
        <v>0</v>
      </c>
      <c r="N77" s="65">
        <f>$F77*Outputs_Internal!K$52/12</f>
        <v>0</v>
      </c>
      <c r="O77" s="65">
        <f>$F77*Outputs_Internal!L$52/12</f>
        <v>0</v>
      </c>
      <c r="P77" s="65">
        <f>$F77*Outputs_Internal!M$52/12</f>
        <v>0</v>
      </c>
      <c r="Q77" s="65">
        <f>$F77*Outputs_Internal!N$52/12</f>
        <v>0</v>
      </c>
      <c r="S77" s="65">
        <f t="shared" si="6"/>
        <v>0</v>
      </c>
      <c r="T77" s="65">
        <f t="shared" si="7"/>
        <v>0</v>
      </c>
      <c r="U77" s="65">
        <f t="shared" si="8"/>
        <v>0</v>
      </c>
      <c r="V77" s="65">
        <f t="shared" si="8"/>
        <v>0</v>
      </c>
      <c r="W77" s="65">
        <f t="shared" si="8"/>
        <v>0</v>
      </c>
    </row>
    <row r="78" spans="2:23" x14ac:dyDescent="0.25">
      <c r="B78" s="62">
        <f t="shared" si="5"/>
        <v>45200</v>
      </c>
      <c r="D78" s="66">
        <f>D77*IF(AND(MONTH(B78)=1,YEAR(B78)&gt;=YEAR(Prices!$I$15)),1+Prices!$I$14,1)</f>
        <v>1.0640821536254879</v>
      </c>
      <c r="E78" s="66">
        <f>IF(B78=Inputs!$C$1,D78,E77)</f>
        <v>1</v>
      </c>
      <c r="F78" s="66">
        <f>IF(AND(B78&gt;=Inputs!$C$1,B78&lt;EDATE(Inputs!$C$1,Inputs!$C$2)),E78,0)</f>
        <v>0</v>
      </c>
      <c r="H78" s="65">
        <f>IF($B78=Inputs!$C$1,SUM(Outputs_Internal!$D$4, Outputs_Internal!$D$5),0)*$D78</f>
        <v>0</v>
      </c>
      <c r="I78" s="65">
        <f>IF($B78=Inputs!$C$1,SUM(Outputs_Internal!K$4, Outputs_Internal!K$5),0)*$D78</f>
        <v>0</v>
      </c>
      <c r="J78" s="65">
        <f>IF($B78=Inputs!$C$1,SUM(Outputs_Internal!L$4, Outputs_Internal!L$5),0)*$D78</f>
        <v>0</v>
      </c>
      <c r="K78" s="65">
        <f>IF($B78=Inputs!$C$1,SUM(Outputs_Internal!M$4, Outputs_Internal!$M$5),0)*$D78</f>
        <v>0</v>
      </c>
      <c r="M78" s="65">
        <f>$F78*Outputs_Internal!$D$52/12</f>
        <v>0</v>
      </c>
      <c r="N78" s="65">
        <f>$F78*Outputs_Internal!K$52/12</f>
        <v>0</v>
      </c>
      <c r="O78" s="65">
        <f>$F78*Outputs_Internal!L$52/12</f>
        <v>0</v>
      </c>
      <c r="P78" s="65">
        <f>$F78*Outputs_Internal!M$52/12</f>
        <v>0</v>
      </c>
      <c r="Q78" s="65">
        <f>$F78*Outputs_Internal!N$52/12</f>
        <v>0</v>
      </c>
      <c r="S78" s="65">
        <f t="shared" si="6"/>
        <v>0</v>
      </c>
      <c r="T78" s="65">
        <f t="shared" si="7"/>
        <v>0</v>
      </c>
      <c r="U78" s="65">
        <f t="shared" si="8"/>
        <v>0</v>
      </c>
      <c r="V78" s="65">
        <f t="shared" si="8"/>
        <v>0</v>
      </c>
      <c r="W78" s="65">
        <f t="shared" si="8"/>
        <v>0</v>
      </c>
    </row>
    <row r="79" spans="2:23" x14ac:dyDescent="0.25">
      <c r="B79" s="62">
        <f t="shared" si="5"/>
        <v>45231</v>
      </c>
      <c r="D79" s="66">
        <f>D78*IF(AND(MONTH(B79)=1,YEAR(B79)&gt;=YEAR(Prices!$I$15)),1+Prices!$I$14,1)</f>
        <v>1.0640821536254879</v>
      </c>
      <c r="E79" s="66">
        <f>IF(B79=Inputs!$C$1,D79,E78)</f>
        <v>1</v>
      </c>
      <c r="F79" s="66">
        <f>IF(AND(B79&gt;=Inputs!$C$1,B79&lt;EDATE(Inputs!$C$1,Inputs!$C$2)),E79,0)</f>
        <v>0</v>
      </c>
      <c r="H79" s="65">
        <f>IF($B79=Inputs!$C$1,SUM(Outputs_Internal!$D$4, Outputs_Internal!$D$5),0)*$D79</f>
        <v>0</v>
      </c>
      <c r="I79" s="65">
        <f>IF($B79=Inputs!$C$1,SUM(Outputs_Internal!K$4, Outputs_Internal!K$5),0)*$D79</f>
        <v>0</v>
      </c>
      <c r="J79" s="65">
        <f>IF($B79=Inputs!$C$1,SUM(Outputs_Internal!L$4, Outputs_Internal!L$5),0)*$D79</f>
        <v>0</v>
      </c>
      <c r="K79" s="65">
        <f>IF($B79=Inputs!$C$1,SUM(Outputs_Internal!M$4, Outputs_Internal!$M$5),0)*$D79</f>
        <v>0</v>
      </c>
      <c r="M79" s="65">
        <f>$F79*Outputs_Internal!$D$52/12</f>
        <v>0</v>
      </c>
      <c r="N79" s="65">
        <f>$F79*Outputs_Internal!K$52/12</f>
        <v>0</v>
      </c>
      <c r="O79" s="65">
        <f>$F79*Outputs_Internal!L$52/12</f>
        <v>0</v>
      </c>
      <c r="P79" s="65">
        <f>$F79*Outputs_Internal!M$52/12</f>
        <v>0</v>
      </c>
      <c r="Q79" s="65">
        <f>$F79*Outputs_Internal!N$52/12</f>
        <v>0</v>
      </c>
      <c r="S79" s="65">
        <f t="shared" si="6"/>
        <v>0</v>
      </c>
      <c r="T79" s="65">
        <f t="shared" si="7"/>
        <v>0</v>
      </c>
      <c r="U79" s="65">
        <f t="shared" si="8"/>
        <v>0</v>
      </c>
      <c r="V79" s="65">
        <f t="shared" si="8"/>
        <v>0</v>
      </c>
      <c r="W79" s="65">
        <f t="shared" si="8"/>
        <v>0</v>
      </c>
    </row>
    <row r="80" spans="2:23" x14ac:dyDescent="0.25">
      <c r="B80" s="62">
        <f t="shared" si="5"/>
        <v>45261</v>
      </c>
      <c r="D80" s="66">
        <f>D79*IF(AND(MONTH(B80)=1,YEAR(B80)&gt;=YEAR(Prices!$I$15)),1+Prices!$I$14,1)</f>
        <v>1.0640821536254879</v>
      </c>
      <c r="E80" s="66">
        <f>IF(B80=Inputs!$C$1,D80,E79)</f>
        <v>1</v>
      </c>
      <c r="F80" s="66">
        <f>IF(AND(B80&gt;=Inputs!$C$1,B80&lt;EDATE(Inputs!$C$1,Inputs!$C$2)),E80,0)</f>
        <v>0</v>
      </c>
      <c r="H80" s="65">
        <f>IF($B80=Inputs!$C$1,SUM(Outputs_Internal!$D$4, Outputs_Internal!$D$5),0)*$D80</f>
        <v>0</v>
      </c>
      <c r="I80" s="65">
        <f>IF($B80=Inputs!$C$1,SUM(Outputs_Internal!K$4, Outputs_Internal!K$5),0)*$D80</f>
        <v>0</v>
      </c>
      <c r="J80" s="65">
        <f>IF($B80=Inputs!$C$1,SUM(Outputs_Internal!L$4, Outputs_Internal!L$5),0)*$D80</f>
        <v>0</v>
      </c>
      <c r="K80" s="65">
        <f>IF($B80=Inputs!$C$1,SUM(Outputs_Internal!M$4, Outputs_Internal!$M$5),0)*$D80</f>
        <v>0</v>
      </c>
      <c r="M80" s="65">
        <f>$F80*Outputs_Internal!$D$52/12</f>
        <v>0</v>
      </c>
      <c r="N80" s="65">
        <f>$F80*Outputs_Internal!K$52/12</f>
        <v>0</v>
      </c>
      <c r="O80" s="65">
        <f>$F80*Outputs_Internal!L$52/12</f>
        <v>0</v>
      </c>
      <c r="P80" s="65">
        <f>$F80*Outputs_Internal!M$52/12</f>
        <v>0</v>
      </c>
      <c r="Q80" s="65">
        <f>$F80*Outputs_Internal!N$52/12</f>
        <v>0</v>
      </c>
      <c r="S80" s="65">
        <f t="shared" si="6"/>
        <v>0</v>
      </c>
      <c r="T80" s="65">
        <f t="shared" si="7"/>
        <v>0</v>
      </c>
      <c r="U80" s="65">
        <f t="shared" si="8"/>
        <v>0</v>
      </c>
      <c r="V80" s="65">
        <f t="shared" si="8"/>
        <v>0</v>
      </c>
      <c r="W80" s="65">
        <f t="shared" si="8"/>
        <v>0</v>
      </c>
    </row>
    <row r="81" spans="2:23" x14ac:dyDescent="0.25">
      <c r="B81" s="62">
        <f t="shared" si="5"/>
        <v>45292</v>
      </c>
      <c r="D81" s="66">
        <f>D80*IF(AND(MONTH(B81)=1,YEAR(B81)&gt;=YEAR(Prices!$I$15)),1+Prices!$I$14,1)</f>
        <v>1.0773831805458065</v>
      </c>
      <c r="E81" s="66">
        <f>IF(B81=Inputs!$C$1,D81,E80)</f>
        <v>1</v>
      </c>
      <c r="F81" s="66">
        <f>IF(AND(B81&gt;=Inputs!$C$1,B81&lt;EDATE(Inputs!$C$1,Inputs!$C$2)),E81,0)</f>
        <v>0</v>
      </c>
      <c r="H81" s="65">
        <f>IF($B81=Inputs!$C$1,SUM(Outputs_Internal!$D$4, Outputs_Internal!$D$5),0)*$D81</f>
        <v>0</v>
      </c>
      <c r="I81" s="65">
        <f>IF($B81=Inputs!$C$1,SUM(Outputs_Internal!K$4, Outputs_Internal!K$5),0)*$D81</f>
        <v>0</v>
      </c>
      <c r="J81" s="65">
        <f>IF($B81=Inputs!$C$1,SUM(Outputs_Internal!L$4, Outputs_Internal!L$5),0)*$D81</f>
        <v>0</v>
      </c>
      <c r="K81" s="65">
        <f>IF($B81=Inputs!$C$1,SUM(Outputs_Internal!M$4, Outputs_Internal!$M$5),0)*$D81</f>
        <v>0</v>
      </c>
      <c r="M81" s="65">
        <f>$F81*Outputs_Internal!$D$52/12</f>
        <v>0</v>
      </c>
      <c r="N81" s="65">
        <f>$F81*Outputs_Internal!K$52/12</f>
        <v>0</v>
      </c>
      <c r="O81" s="65">
        <f>$F81*Outputs_Internal!L$52/12</f>
        <v>0</v>
      </c>
      <c r="P81" s="65">
        <f>$F81*Outputs_Internal!M$52/12</f>
        <v>0</v>
      </c>
      <c r="Q81" s="65">
        <f>$F81*Outputs_Internal!N$52/12</f>
        <v>0</v>
      </c>
      <c r="S81" s="65">
        <f t="shared" si="6"/>
        <v>0</v>
      </c>
      <c r="T81" s="65">
        <f t="shared" si="7"/>
        <v>0</v>
      </c>
      <c r="U81" s="65">
        <f t="shared" si="8"/>
        <v>0</v>
      </c>
      <c r="V81" s="65">
        <f t="shared" si="8"/>
        <v>0</v>
      </c>
      <c r="W81" s="65">
        <f t="shared" si="8"/>
        <v>0</v>
      </c>
    </row>
    <row r="82" spans="2:23" x14ac:dyDescent="0.25">
      <c r="B82" s="62">
        <f t="shared" si="5"/>
        <v>45323</v>
      </c>
      <c r="D82" s="66">
        <f>D81*IF(AND(MONTH(B82)=1,YEAR(B82)&gt;=YEAR(Prices!$I$15)),1+Prices!$I$14,1)</f>
        <v>1.0773831805458065</v>
      </c>
      <c r="E82" s="66">
        <f>IF(B82=Inputs!$C$1,D82,E81)</f>
        <v>1</v>
      </c>
      <c r="F82" s="66">
        <f>IF(AND(B82&gt;=Inputs!$C$1,B82&lt;EDATE(Inputs!$C$1,Inputs!$C$2)),E82,0)</f>
        <v>0</v>
      </c>
      <c r="H82" s="65">
        <f>IF($B82=Inputs!$C$1,SUM(Outputs_Internal!$D$4, Outputs_Internal!$D$5),0)*$D82</f>
        <v>0</v>
      </c>
      <c r="I82" s="65">
        <f>IF($B82=Inputs!$C$1,SUM(Outputs_Internal!K$4, Outputs_Internal!K$5),0)*$D82</f>
        <v>0</v>
      </c>
      <c r="J82" s="65">
        <f>IF($B82=Inputs!$C$1,SUM(Outputs_Internal!L$4, Outputs_Internal!L$5),0)*$D82</f>
        <v>0</v>
      </c>
      <c r="K82" s="65">
        <f>IF($B82=Inputs!$C$1,SUM(Outputs_Internal!M$4, Outputs_Internal!$M$5),0)*$D82</f>
        <v>0</v>
      </c>
      <c r="M82" s="65">
        <f>$F82*Outputs_Internal!$D$52/12</f>
        <v>0</v>
      </c>
      <c r="N82" s="65">
        <f>$F82*Outputs_Internal!K$52/12</f>
        <v>0</v>
      </c>
      <c r="O82" s="65">
        <f>$F82*Outputs_Internal!L$52/12</f>
        <v>0</v>
      </c>
      <c r="P82" s="65">
        <f>$F82*Outputs_Internal!M$52/12</f>
        <v>0</v>
      </c>
      <c r="Q82" s="65">
        <f>$F82*Outputs_Internal!N$52/12</f>
        <v>0</v>
      </c>
      <c r="S82" s="65">
        <f t="shared" si="6"/>
        <v>0</v>
      </c>
      <c r="T82" s="65">
        <f t="shared" si="7"/>
        <v>0</v>
      </c>
      <c r="U82" s="65">
        <f t="shared" si="8"/>
        <v>0</v>
      </c>
      <c r="V82" s="65">
        <f t="shared" si="8"/>
        <v>0</v>
      </c>
      <c r="W82" s="65">
        <f t="shared" si="8"/>
        <v>0</v>
      </c>
    </row>
    <row r="83" spans="2:23" x14ac:dyDescent="0.25">
      <c r="B83" s="62">
        <f t="shared" si="5"/>
        <v>45352</v>
      </c>
      <c r="D83" s="66">
        <f>D82*IF(AND(MONTH(B83)=1,YEAR(B83)&gt;=YEAR(Prices!$I$15)),1+Prices!$I$14,1)</f>
        <v>1.0773831805458065</v>
      </c>
      <c r="E83" s="66">
        <f>IF(B83=Inputs!$C$1,D83,E82)</f>
        <v>1</v>
      </c>
      <c r="F83" s="66">
        <f>IF(AND(B83&gt;=Inputs!$C$1,B83&lt;EDATE(Inputs!$C$1,Inputs!$C$2)),E83,0)</f>
        <v>0</v>
      </c>
      <c r="H83" s="65">
        <f>IF($B83=Inputs!$C$1,SUM(Outputs_Internal!$D$4, Outputs_Internal!$D$5),0)*$D83</f>
        <v>0</v>
      </c>
      <c r="I83" s="65">
        <f>IF($B83=Inputs!$C$1,SUM(Outputs_Internal!K$4, Outputs_Internal!K$5),0)*$D83</f>
        <v>0</v>
      </c>
      <c r="J83" s="65">
        <f>IF($B83=Inputs!$C$1,SUM(Outputs_Internal!L$4, Outputs_Internal!L$5),0)*$D83</f>
        <v>0</v>
      </c>
      <c r="K83" s="65">
        <f>IF($B83=Inputs!$C$1,SUM(Outputs_Internal!M$4, Outputs_Internal!$M$5),0)*$D83</f>
        <v>0</v>
      </c>
      <c r="M83" s="65">
        <f>$F83*Outputs_Internal!$D$52/12</f>
        <v>0</v>
      </c>
      <c r="N83" s="65">
        <f>$F83*Outputs_Internal!K$52/12</f>
        <v>0</v>
      </c>
      <c r="O83" s="65">
        <f>$F83*Outputs_Internal!L$52/12</f>
        <v>0</v>
      </c>
      <c r="P83" s="65">
        <f>$F83*Outputs_Internal!M$52/12</f>
        <v>0</v>
      </c>
      <c r="Q83" s="65">
        <f>$F83*Outputs_Internal!N$52/12</f>
        <v>0</v>
      </c>
      <c r="S83" s="65">
        <f t="shared" si="6"/>
        <v>0</v>
      </c>
      <c r="T83" s="65">
        <f t="shared" si="7"/>
        <v>0</v>
      </c>
      <c r="U83" s="65">
        <f t="shared" si="8"/>
        <v>0</v>
      </c>
      <c r="V83" s="65">
        <f t="shared" si="8"/>
        <v>0</v>
      </c>
      <c r="W83" s="65">
        <f t="shared" si="8"/>
        <v>0</v>
      </c>
    </row>
    <row r="84" spans="2:23" x14ac:dyDescent="0.25">
      <c r="B84" s="62">
        <f t="shared" si="5"/>
        <v>45383</v>
      </c>
      <c r="D84" s="66">
        <f>D83*IF(AND(MONTH(B84)=1,YEAR(B84)&gt;=YEAR(Prices!$I$15)),1+Prices!$I$14,1)</f>
        <v>1.0773831805458065</v>
      </c>
      <c r="E84" s="66">
        <f>IF(B84=Inputs!$C$1,D84,E83)</f>
        <v>1</v>
      </c>
      <c r="F84" s="66">
        <f>IF(AND(B84&gt;=Inputs!$C$1,B84&lt;EDATE(Inputs!$C$1,Inputs!$C$2)),E84,0)</f>
        <v>0</v>
      </c>
      <c r="H84" s="65">
        <f>IF($B84=Inputs!$C$1,SUM(Outputs_Internal!$D$4, Outputs_Internal!$D$5),0)*$D84</f>
        <v>0</v>
      </c>
      <c r="I84" s="65">
        <f>IF($B84=Inputs!$C$1,SUM(Outputs_Internal!K$4, Outputs_Internal!K$5),0)*$D84</f>
        <v>0</v>
      </c>
      <c r="J84" s="65">
        <f>IF($B84=Inputs!$C$1,SUM(Outputs_Internal!L$4, Outputs_Internal!L$5),0)*$D84</f>
        <v>0</v>
      </c>
      <c r="K84" s="65">
        <f>IF($B84=Inputs!$C$1,SUM(Outputs_Internal!M$4, Outputs_Internal!$M$5),0)*$D84</f>
        <v>0</v>
      </c>
      <c r="M84" s="65">
        <f>$F84*Outputs_Internal!$D$52/12</f>
        <v>0</v>
      </c>
      <c r="N84" s="65">
        <f>$F84*Outputs_Internal!K$52/12</f>
        <v>0</v>
      </c>
      <c r="O84" s="65">
        <f>$F84*Outputs_Internal!L$52/12</f>
        <v>0</v>
      </c>
      <c r="P84" s="65">
        <f>$F84*Outputs_Internal!M$52/12</f>
        <v>0</v>
      </c>
      <c r="Q84" s="65">
        <f>$F84*Outputs_Internal!N$52/12</f>
        <v>0</v>
      </c>
      <c r="S84" s="65">
        <f t="shared" si="6"/>
        <v>0</v>
      </c>
      <c r="T84" s="65">
        <f t="shared" si="7"/>
        <v>0</v>
      </c>
      <c r="U84" s="65">
        <f t="shared" si="8"/>
        <v>0</v>
      </c>
      <c r="V84" s="65">
        <f t="shared" si="8"/>
        <v>0</v>
      </c>
      <c r="W84" s="65">
        <f t="shared" si="8"/>
        <v>0</v>
      </c>
    </row>
    <row r="85" spans="2:23" x14ac:dyDescent="0.25">
      <c r="B85" s="62">
        <f t="shared" si="5"/>
        <v>45413</v>
      </c>
      <c r="D85" s="66">
        <f>D84*IF(AND(MONTH(B85)=1,YEAR(B85)&gt;=YEAR(Prices!$I$15)),1+Prices!$I$14,1)</f>
        <v>1.0773831805458065</v>
      </c>
      <c r="E85" s="66">
        <f>IF(B85=Inputs!$C$1,D85,E84)</f>
        <v>1</v>
      </c>
      <c r="F85" s="66">
        <f>IF(AND(B85&gt;=Inputs!$C$1,B85&lt;EDATE(Inputs!$C$1,Inputs!$C$2)),E85,0)</f>
        <v>0</v>
      </c>
      <c r="H85" s="65">
        <f>IF($B85=Inputs!$C$1,SUM(Outputs_Internal!$D$4, Outputs_Internal!$D$5),0)*$D85</f>
        <v>0</v>
      </c>
      <c r="I85" s="65">
        <f>IF($B85=Inputs!$C$1,SUM(Outputs_Internal!K$4, Outputs_Internal!K$5),0)*$D85</f>
        <v>0</v>
      </c>
      <c r="J85" s="65">
        <f>IF($B85=Inputs!$C$1,SUM(Outputs_Internal!L$4, Outputs_Internal!L$5),0)*$D85</f>
        <v>0</v>
      </c>
      <c r="K85" s="65">
        <f>IF($B85=Inputs!$C$1,SUM(Outputs_Internal!M$4, Outputs_Internal!$M$5),0)*$D85</f>
        <v>0</v>
      </c>
      <c r="M85" s="65">
        <f>$F85*Outputs_Internal!$D$52/12</f>
        <v>0</v>
      </c>
      <c r="N85" s="65">
        <f>$F85*Outputs_Internal!K$52/12</f>
        <v>0</v>
      </c>
      <c r="O85" s="65">
        <f>$F85*Outputs_Internal!L$52/12</f>
        <v>0</v>
      </c>
      <c r="P85" s="65">
        <f>$F85*Outputs_Internal!M$52/12</f>
        <v>0</v>
      </c>
      <c r="Q85" s="65">
        <f>$F85*Outputs_Internal!N$52/12</f>
        <v>0</v>
      </c>
      <c r="S85" s="65">
        <f t="shared" si="6"/>
        <v>0</v>
      </c>
      <c r="T85" s="65">
        <f t="shared" si="7"/>
        <v>0</v>
      </c>
      <c r="U85" s="65">
        <f t="shared" si="8"/>
        <v>0</v>
      </c>
      <c r="V85" s="65">
        <f t="shared" si="8"/>
        <v>0</v>
      </c>
      <c r="W85" s="65">
        <f t="shared" si="8"/>
        <v>0</v>
      </c>
    </row>
    <row r="86" spans="2:23" x14ac:dyDescent="0.25">
      <c r="B86" s="62">
        <f t="shared" si="5"/>
        <v>45444</v>
      </c>
      <c r="D86" s="66">
        <f>D85*IF(AND(MONTH(B86)=1,YEAR(B86)&gt;=YEAR(Prices!$I$15)),1+Prices!$I$14,1)</f>
        <v>1.0773831805458065</v>
      </c>
      <c r="E86" s="66">
        <f>IF(B86=Inputs!$C$1,D86,E85)</f>
        <v>1</v>
      </c>
      <c r="F86" s="66">
        <f>IF(AND(B86&gt;=Inputs!$C$1,B86&lt;EDATE(Inputs!$C$1,Inputs!$C$2)),E86,0)</f>
        <v>0</v>
      </c>
      <c r="H86" s="65">
        <f>IF($B86=Inputs!$C$1,SUM(Outputs_Internal!$D$4, Outputs_Internal!$D$5),0)*$D86</f>
        <v>0</v>
      </c>
      <c r="I86" s="65">
        <f>IF($B86=Inputs!$C$1,SUM(Outputs_Internal!K$4, Outputs_Internal!K$5),0)*$D86</f>
        <v>0</v>
      </c>
      <c r="J86" s="65">
        <f>IF($B86=Inputs!$C$1,SUM(Outputs_Internal!L$4, Outputs_Internal!L$5),0)*$D86</f>
        <v>0</v>
      </c>
      <c r="K86" s="65">
        <f>IF($B86=Inputs!$C$1,SUM(Outputs_Internal!M$4, Outputs_Internal!$M$5),0)*$D86</f>
        <v>0</v>
      </c>
      <c r="M86" s="65">
        <f>$F86*Outputs_Internal!$D$52/12</f>
        <v>0</v>
      </c>
      <c r="N86" s="65">
        <f>$F86*Outputs_Internal!K$52/12</f>
        <v>0</v>
      </c>
      <c r="O86" s="65">
        <f>$F86*Outputs_Internal!L$52/12</f>
        <v>0</v>
      </c>
      <c r="P86" s="65">
        <f>$F86*Outputs_Internal!M$52/12</f>
        <v>0</v>
      </c>
      <c r="Q86" s="65">
        <f>$F86*Outputs_Internal!N$52/12</f>
        <v>0</v>
      </c>
      <c r="S86" s="65">
        <f t="shared" si="6"/>
        <v>0</v>
      </c>
      <c r="T86" s="65">
        <f t="shared" si="7"/>
        <v>0</v>
      </c>
      <c r="U86" s="65">
        <f t="shared" si="8"/>
        <v>0</v>
      </c>
      <c r="V86" s="65">
        <f t="shared" si="8"/>
        <v>0</v>
      </c>
      <c r="W86" s="65">
        <f t="shared" si="8"/>
        <v>0</v>
      </c>
    </row>
    <row r="87" spans="2:23" x14ac:dyDescent="0.25">
      <c r="B87" s="62">
        <f t="shared" si="5"/>
        <v>45474</v>
      </c>
      <c r="D87" s="66">
        <f>D86*IF(AND(MONTH(B87)=1,YEAR(B87)&gt;=YEAR(Prices!$I$15)),1+Prices!$I$14,1)</f>
        <v>1.0773831805458065</v>
      </c>
      <c r="E87" s="66">
        <f>IF(B87=Inputs!$C$1,D87,E86)</f>
        <v>1</v>
      </c>
      <c r="F87" s="66">
        <f>IF(AND(B87&gt;=Inputs!$C$1,B87&lt;EDATE(Inputs!$C$1,Inputs!$C$2)),E87,0)</f>
        <v>0</v>
      </c>
      <c r="H87" s="65">
        <f>IF($B87=Inputs!$C$1,SUM(Outputs_Internal!$D$4, Outputs_Internal!$D$5),0)*$D87</f>
        <v>0</v>
      </c>
      <c r="I87" s="65">
        <f>IF($B87=Inputs!$C$1,SUM(Outputs_Internal!K$4, Outputs_Internal!K$5),0)*$D87</f>
        <v>0</v>
      </c>
      <c r="J87" s="65">
        <f>IF($B87=Inputs!$C$1,SUM(Outputs_Internal!L$4, Outputs_Internal!L$5),0)*$D87</f>
        <v>0</v>
      </c>
      <c r="K87" s="65">
        <f>IF($B87=Inputs!$C$1,SUM(Outputs_Internal!M$4, Outputs_Internal!$M$5),0)*$D87</f>
        <v>0</v>
      </c>
      <c r="M87" s="65">
        <f>$F87*Outputs_Internal!$D$52/12</f>
        <v>0</v>
      </c>
      <c r="N87" s="65">
        <f>$F87*Outputs_Internal!K$52/12</f>
        <v>0</v>
      </c>
      <c r="O87" s="65">
        <f>$F87*Outputs_Internal!L$52/12</f>
        <v>0</v>
      </c>
      <c r="P87" s="65">
        <f>$F87*Outputs_Internal!M$52/12</f>
        <v>0</v>
      </c>
      <c r="Q87" s="65">
        <f>$F87*Outputs_Internal!N$52/12</f>
        <v>0</v>
      </c>
      <c r="S87" s="65">
        <f t="shared" si="6"/>
        <v>0</v>
      </c>
      <c r="T87" s="65">
        <f t="shared" si="7"/>
        <v>0</v>
      </c>
      <c r="U87" s="65">
        <f t="shared" si="8"/>
        <v>0</v>
      </c>
      <c r="V87" s="65">
        <f t="shared" si="8"/>
        <v>0</v>
      </c>
      <c r="W87" s="65">
        <f t="shared" si="8"/>
        <v>0</v>
      </c>
    </row>
    <row r="88" spans="2:23" x14ac:dyDescent="0.25">
      <c r="B88" s="62">
        <f t="shared" si="5"/>
        <v>45505</v>
      </c>
      <c r="D88" s="66">
        <f>D87*IF(AND(MONTH(B88)=1,YEAR(B88)&gt;=YEAR(Prices!$I$15)),1+Prices!$I$14,1)</f>
        <v>1.0773831805458065</v>
      </c>
      <c r="E88" s="66">
        <f>IF(B88=Inputs!$C$1,D88,E87)</f>
        <v>1</v>
      </c>
      <c r="F88" s="66">
        <f>IF(AND(B88&gt;=Inputs!$C$1,B88&lt;EDATE(Inputs!$C$1,Inputs!$C$2)),E88,0)</f>
        <v>0</v>
      </c>
      <c r="H88" s="65">
        <f>IF($B88=Inputs!$C$1,SUM(Outputs_Internal!$D$4, Outputs_Internal!$D$5),0)*$D88</f>
        <v>0</v>
      </c>
      <c r="I88" s="65">
        <f>IF($B88=Inputs!$C$1,SUM(Outputs_Internal!K$4, Outputs_Internal!K$5),0)*$D88</f>
        <v>0</v>
      </c>
      <c r="J88" s="65">
        <f>IF($B88=Inputs!$C$1,SUM(Outputs_Internal!L$4, Outputs_Internal!L$5),0)*$D88</f>
        <v>0</v>
      </c>
      <c r="K88" s="65">
        <f>IF($B88=Inputs!$C$1,SUM(Outputs_Internal!M$4, Outputs_Internal!$M$5),0)*$D88</f>
        <v>0</v>
      </c>
      <c r="M88" s="65">
        <f>$F88*Outputs_Internal!$D$52/12</f>
        <v>0</v>
      </c>
      <c r="N88" s="65">
        <f>$F88*Outputs_Internal!K$52/12</f>
        <v>0</v>
      </c>
      <c r="O88" s="65">
        <f>$F88*Outputs_Internal!L$52/12</f>
        <v>0</v>
      </c>
      <c r="P88" s="65">
        <f>$F88*Outputs_Internal!M$52/12</f>
        <v>0</v>
      </c>
      <c r="Q88" s="65">
        <f>$F88*Outputs_Internal!N$52/12</f>
        <v>0</v>
      </c>
      <c r="S88" s="65">
        <f t="shared" si="6"/>
        <v>0</v>
      </c>
      <c r="T88" s="65">
        <f t="shared" si="7"/>
        <v>0</v>
      </c>
      <c r="U88" s="65">
        <f t="shared" si="8"/>
        <v>0</v>
      </c>
      <c r="V88" s="65">
        <f t="shared" si="8"/>
        <v>0</v>
      </c>
      <c r="W88" s="65">
        <f t="shared" si="8"/>
        <v>0</v>
      </c>
    </row>
    <row r="89" spans="2:23" x14ac:dyDescent="0.25">
      <c r="B89" s="62">
        <f t="shared" si="5"/>
        <v>45536</v>
      </c>
      <c r="D89" s="66">
        <f>D88*IF(AND(MONTH(B89)=1,YEAR(B89)&gt;=YEAR(Prices!$I$15)),1+Prices!$I$14,1)</f>
        <v>1.0773831805458065</v>
      </c>
      <c r="E89" s="66">
        <f>IF(B89=Inputs!$C$1,D89,E88)</f>
        <v>1</v>
      </c>
      <c r="F89" s="66">
        <f>IF(AND(B89&gt;=Inputs!$C$1,B89&lt;EDATE(Inputs!$C$1,Inputs!$C$2)),E89,0)</f>
        <v>0</v>
      </c>
      <c r="H89" s="65">
        <f>IF($B89=Inputs!$C$1,SUM(Outputs_Internal!$D$4, Outputs_Internal!$D$5),0)*$D89</f>
        <v>0</v>
      </c>
      <c r="I89" s="65">
        <f>IF($B89=Inputs!$C$1,SUM(Outputs_Internal!K$4, Outputs_Internal!K$5),0)*$D89</f>
        <v>0</v>
      </c>
      <c r="J89" s="65">
        <f>IF($B89=Inputs!$C$1,SUM(Outputs_Internal!L$4, Outputs_Internal!L$5),0)*$D89</f>
        <v>0</v>
      </c>
      <c r="K89" s="65">
        <f>IF($B89=Inputs!$C$1,SUM(Outputs_Internal!M$4, Outputs_Internal!$M$5),0)*$D89</f>
        <v>0</v>
      </c>
      <c r="M89" s="65">
        <f>$F89*Outputs_Internal!$D$52/12</f>
        <v>0</v>
      </c>
      <c r="N89" s="65">
        <f>$F89*Outputs_Internal!K$52/12</f>
        <v>0</v>
      </c>
      <c r="O89" s="65">
        <f>$F89*Outputs_Internal!L$52/12</f>
        <v>0</v>
      </c>
      <c r="P89" s="65">
        <f>$F89*Outputs_Internal!M$52/12</f>
        <v>0</v>
      </c>
      <c r="Q89" s="65">
        <f>$F89*Outputs_Internal!N$52/12</f>
        <v>0</v>
      </c>
      <c r="S89" s="65">
        <f t="shared" si="6"/>
        <v>0</v>
      </c>
      <c r="T89" s="65">
        <f t="shared" si="7"/>
        <v>0</v>
      </c>
      <c r="U89" s="65">
        <f t="shared" si="8"/>
        <v>0</v>
      </c>
      <c r="V89" s="65">
        <f t="shared" si="8"/>
        <v>0</v>
      </c>
      <c r="W89" s="65">
        <f t="shared" si="8"/>
        <v>0</v>
      </c>
    </row>
    <row r="90" spans="2:23" x14ac:dyDescent="0.25">
      <c r="B90" s="62">
        <f t="shared" si="5"/>
        <v>45566</v>
      </c>
      <c r="D90" s="66">
        <f>D89*IF(AND(MONTH(B90)=1,YEAR(B90)&gt;=YEAR(Prices!$I$15)),1+Prices!$I$14,1)</f>
        <v>1.0773831805458065</v>
      </c>
      <c r="E90" s="66">
        <f>IF(B90=Inputs!$C$1,D90,E89)</f>
        <v>1</v>
      </c>
      <c r="F90" s="66">
        <f>IF(AND(B90&gt;=Inputs!$C$1,B90&lt;EDATE(Inputs!$C$1,Inputs!$C$2)),E90,0)</f>
        <v>0</v>
      </c>
      <c r="H90" s="65">
        <f>IF($B90=Inputs!$C$1,SUM(Outputs_Internal!$D$4, Outputs_Internal!$D$5),0)*$D90</f>
        <v>0</v>
      </c>
      <c r="I90" s="65">
        <f>IF($B90=Inputs!$C$1,SUM(Outputs_Internal!K$4, Outputs_Internal!K$5),0)*$D90</f>
        <v>0</v>
      </c>
      <c r="J90" s="65">
        <f>IF($B90=Inputs!$C$1,SUM(Outputs_Internal!L$4, Outputs_Internal!L$5),0)*$D90</f>
        <v>0</v>
      </c>
      <c r="K90" s="65">
        <f>IF($B90=Inputs!$C$1,SUM(Outputs_Internal!M$4, Outputs_Internal!$M$5),0)*$D90</f>
        <v>0</v>
      </c>
      <c r="M90" s="65">
        <f>$F90*Outputs_Internal!$D$52/12</f>
        <v>0</v>
      </c>
      <c r="N90" s="65">
        <f>$F90*Outputs_Internal!K$52/12</f>
        <v>0</v>
      </c>
      <c r="O90" s="65">
        <f>$F90*Outputs_Internal!L$52/12</f>
        <v>0</v>
      </c>
      <c r="P90" s="65">
        <f>$F90*Outputs_Internal!M$52/12</f>
        <v>0</v>
      </c>
      <c r="Q90" s="65">
        <f>$F90*Outputs_Internal!N$52/12</f>
        <v>0</v>
      </c>
      <c r="S90" s="65">
        <f t="shared" si="6"/>
        <v>0</v>
      </c>
      <c r="T90" s="65">
        <f t="shared" si="7"/>
        <v>0</v>
      </c>
      <c r="U90" s="65">
        <f t="shared" si="8"/>
        <v>0</v>
      </c>
      <c r="V90" s="65">
        <f t="shared" si="8"/>
        <v>0</v>
      </c>
      <c r="W90" s="65">
        <f t="shared" si="8"/>
        <v>0</v>
      </c>
    </row>
    <row r="91" spans="2:23" x14ac:dyDescent="0.25">
      <c r="B91" s="62">
        <f t="shared" si="5"/>
        <v>45597</v>
      </c>
      <c r="D91" s="66">
        <f>D90*IF(AND(MONTH(B91)=1,YEAR(B91)&gt;=YEAR(Prices!$I$15)),1+Prices!$I$14,1)</f>
        <v>1.0773831805458065</v>
      </c>
      <c r="E91" s="66">
        <f>IF(B91=Inputs!$C$1,D91,E90)</f>
        <v>1</v>
      </c>
      <c r="F91" s="66">
        <f>IF(AND(B91&gt;=Inputs!$C$1,B91&lt;EDATE(Inputs!$C$1,Inputs!$C$2)),E91,0)</f>
        <v>0</v>
      </c>
      <c r="H91" s="65">
        <f>IF($B91=Inputs!$C$1,SUM(Outputs_Internal!$D$4, Outputs_Internal!$D$5),0)*$D91</f>
        <v>0</v>
      </c>
      <c r="I91" s="65">
        <f>IF($B91=Inputs!$C$1,SUM(Outputs_Internal!K$4, Outputs_Internal!K$5),0)*$D91</f>
        <v>0</v>
      </c>
      <c r="J91" s="65">
        <f>IF($B91=Inputs!$C$1,SUM(Outputs_Internal!L$4, Outputs_Internal!L$5),0)*$D91</f>
        <v>0</v>
      </c>
      <c r="K91" s="65">
        <f>IF($B91=Inputs!$C$1,SUM(Outputs_Internal!M$4, Outputs_Internal!$M$5),0)*$D91</f>
        <v>0</v>
      </c>
      <c r="M91" s="65">
        <f>$F91*Outputs_Internal!$D$52/12</f>
        <v>0</v>
      </c>
      <c r="N91" s="65">
        <f>$F91*Outputs_Internal!K$52/12</f>
        <v>0</v>
      </c>
      <c r="O91" s="65">
        <f>$F91*Outputs_Internal!L$52/12</f>
        <v>0</v>
      </c>
      <c r="P91" s="65">
        <f>$F91*Outputs_Internal!M$52/12</f>
        <v>0</v>
      </c>
      <c r="Q91" s="65">
        <f>$F91*Outputs_Internal!N$52/12</f>
        <v>0</v>
      </c>
      <c r="S91" s="65">
        <f t="shared" si="6"/>
        <v>0</v>
      </c>
      <c r="T91" s="65">
        <f t="shared" si="7"/>
        <v>0</v>
      </c>
      <c r="U91" s="65">
        <f t="shared" si="8"/>
        <v>0</v>
      </c>
      <c r="V91" s="65">
        <f t="shared" si="8"/>
        <v>0</v>
      </c>
      <c r="W91" s="65">
        <f t="shared" si="8"/>
        <v>0</v>
      </c>
    </row>
    <row r="92" spans="2:23" x14ac:dyDescent="0.25">
      <c r="B92" s="62">
        <f t="shared" si="5"/>
        <v>45627</v>
      </c>
      <c r="D92" s="66">
        <f>D91*IF(AND(MONTH(B92)=1,YEAR(B92)&gt;=YEAR(Prices!$I$15)),1+Prices!$I$14,1)</f>
        <v>1.0773831805458065</v>
      </c>
      <c r="E92" s="66">
        <f>IF(B92=Inputs!$C$1,D92,E91)</f>
        <v>1</v>
      </c>
      <c r="F92" s="66">
        <f>IF(AND(B92&gt;=Inputs!$C$1,B92&lt;EDATE(Inputs!$C$1,Inputs!$C$2)),E92,0)</f>
        <v>0</v>
      </c>
      <c r="H92" s="65">
        <f>IF($B92=Inputs!$C$1,SUM(Outputs_Internal!$D$4, Outputs_Internal!$D$5),0)*$D92</f>
        <v>0</v>
      </c>
      <c r="I92" s="65">
        <f>IF($B92=Inputs!$C$1,SUM(Outputs_Internal!K$4, Outputs_Internal!K$5),0)*$D92</f>
        <v>0</v>
      </c>
      <c r="J92" s="65">
        <f>IF($B92=Inputs!$C$1,SUM(Outputs_Internal!L$4, Outputs_Internal!L$5),0)*$D92</f>
        <v>0</v>
      </c>
      <c r="K92" s="65">
        <f>IF($B92=Inputs!$C$1,SUM(Outputs_Internal!M$4, Outputs_Internal!$M$5),0)*$D92</f>
        <v>0</v>
      </c>
      <c r="M92" s="65">
        <f>$F92*Outputs_Internal!$D$52/12</f>
        <v>0</v>
      </c>
      <c r="N92" s="65">
        <f>$F92*Outputs_Internal!K$52/12</f>
        <v>0</v>
      </c>
      <c r="O92" s="65">
        <f>$F92*Outputs_Internal!L$52/12</f>
        <v>0</v>
      </c>
      <c r="P92" s="65">
        <f>$F92*Outputs_Internal!M$52/12</f>
        <v>0</v>
      </c>
      <c r="Q92" s="65">
        <f>$F92*Outputs_Internal!N$52/12</f>
        <v>0</v>
      </c>
      <c r="S92" s="65">
        <f t="shared" si="6"/>
        <v>0</v>
      </c>
      <c r="T92" s="65">
        <f t="shared" si="7"/>
        <v>0</v>
      </c>
      <c r="U92" s="65">
        <f t="shared" si="8"/>
        <v>0</v>
      </c>
      <c r="V92" s="65">
        <f t="shared" si="8"/>
        <v>0</v>
      </c>
      <c r="W92" s="65">
        <f t="shared" si="8"/>
        <v>0</v>
      </c>
    </row>
    <row r="93" spans="2:23" x14ac:dyDescent="0.25">
      <c r="B93" s="62">
        <f t="shared" si="5"/>
        <v>45658</v>
      </c>
      <c r="D93" s="66">
        <f>D92*IF(AND(MONTH(B93)=1,YEAR(B93)&gt;=YEAR(Prices!$I$15)),1+Prices!$I$14,1)</f>
        <v>1.0908504703026289</v>
      </c>
      <c r="E93" s="66">
        <f>IF(B93=Inputs!$C$1,D93,E92)</f>
        <v>1</v>
      </c>
      <c r="F93" s="66">
        <f>IF(AND(B93&gt;=Inputs!$C$1,B93&lt;EDATE(Inputs!$C$1,Inputs!$C$2)),E93,0)</f>
        <v>0</v>
      </c>
      <c r="H93" s="65">
        <f>IF($B93=Inputs!$C$1,SUM(Outputs_Internal!$D$4, Outputs_Internal!$D$5),0)*$D93</f>
        <v>0</v>
      </c>
      <c r="I93" s="65">
        <f>IF($B93=Inputs!$C$1,SUM(Outputs_Internal!K$4, Outputs_Internal!K$5),0)*$D93</f>
        <v>0</v>
      </c>
      <c r="J93" s="65">
        <f>IF($B93=Inputs!$C$1,SUM(Outputs_Internal!L$4, Outputs_Internal!L$5),0)*$D93</f>
        <v>0</v>
      </c>
      <c r="K93" s="65">
        <f>IF($B93=Inputs!$C$1,SUM(Outputs_Internal!M$4, Outputs_Internal!$M$5),0)*$D93</f>
        <v>0</v>
      </c>
      <c r="M93" s="65">
        <f>$F93*Outputs_Internal!$D$52/12</f>
        <v>0</v>
      </c>
      <c r="N93" s="65">
        <f>$F93*Outputs_Internal!K$52/12</f>
        <v>0</v>
      </c>
      <c r="O93" s="65">
        <f>$F93*Outputs_Internal!L$52/12</f>
        <v>0</v>
      </c>
      <c r="P93" s="65">
        <f>$F93*Outputs_Internal!M$52/12</f>
        <v>0</v>
      </c>
      <c r="Q93" s="65">
        <f>$F93*Outputs_Internal!N$52/12</f>
        <v>0</v>
      </c>
      <c r="S93" s="65">
        <f t="shared" si="6"/>
        <v>0</v>
      </c>
      <c r="T93" s="65">
        <f t="shared" si="7"/>
        <v>0</v>
      </c>
      <c r="U93" s="65">
        <f t="shared" si="8"/>
        <v>0</v>
      </c>
      <c r="V93" s="65">
        <f t="shared" si="8"/>
        <v>0</v>
      </c>
      <c r="W93" s="65">
        <f t="shared" si="8"/>
        <v>0</v>
      </c>
    </row>
    <row r="94" spans="2:23" x14ac:dyDescent="0.25">
      <c r="B94" s="62">
        <f t="shared" si="5"/>
        <v>45689</v>
      </c>
      <c r="D94" s="66">
        <f>D93*IF(AND(MONTH(B94)=1,YEAR(B94)&gt;=YEAR(Prices!$I$15)),1+Prices!$I$14,1)</f>
        <v>1.0908504703026289</v>
      </c>
      <c r="E94" s="66">
        <f>IF(B94=Inputs!$C$1,D94,E93)</f>
        <v>1</v>
      </c>
      <c r="F94" s="66">
        <f>IF(AND(B94&gt;=Inputs!$C$1,B94&lt;EDATE(Inputs!$C$1,Inputs!$C$2)),E94,0)</f>
        <v>0</v>
      </c>
      <c r="H94" s="65">
        <f>IF($B94=Inputs!$C$1,SUM(Outputs_Internal!$D$4, Outputs_Internal!$D$5),0)*$D94</f>
        <v>0</v>
      </c>
      <c r="I94" s="65">
        <f>IF($B94=Inputs!$C$1,SUM(Outputs_Internal!K$4, Outputs_Internal!K$5),0)*$D94</f>
        <v>0</v>
      </c>
      <c r="J94" s="65">
        <f>IF($B94=Inputs!$C$1,SUM(Outputs_Internal!L$4, Outputs_Internal!L$5),0)*$D94</f>
        <v>0</v>
      </c>
      <c r="K94" s="65">
        <f>IF($B94=Inputs!$C$1,SUM(Outputs_Internal!M$4, Outputs_Internal!$M$5),0)*$D94</f>
        <v>0</v>
      </c>
      <c r="M94" s="65">
        <f>$F94*Outputs_Internal!$D$52/12</f>
        <v>0</v>
      </c>
      <c r="N94" s="65">
        <f>$F94*Outputs_Internal!K$52/12</f>
        <v>0</v>
      </c>
      <c r="O94" s="65">
        <f>$F94*Outputs_Internal!L$52/12</f>
        <v>0</v>
      </c>
      <c r="P94" s="65">
        <f>$F94*Outputs_Internal!M$52/12</f>
        <v>0</v>
      </c>
      <c r="Q94" s="65">
        <f>$F94*Outputs_Internal!N$52/12</f>
        <v>0</v>
      </c>
      <c r="S94" s="65">
        <f t="shared" si="6"/>
        <v>0</v>
      </c>
      <c r="T94" s="65">
        <f t="shared" si="7"/>
        <v>0</v>
      </c>
      <c r="U94" s="65">
        <f t="shared" si="8"/>
        <v>0</v>
      </c>
      <c r="V94" s="65">
        <f t="shared" si="8"/>
        <v>0</v>
      </c>
      <c r="W94" s="65">
        <f t="shared" si="8"/>
        <v>0</v>
      </c>
    </row>
  </sheetData>
  <conditionalFormatting sqref="D1:W1 D3:W3 D2:O2 R2:U2 D95:W1048576 R5:U94 R4:W4 D4:Q94">
    <cfRule type="cellIs" dxfId="3" priority="4" operator="equal">
      <formula>0</formula>
    </cfRule>
  </conditionalFormatting>
  <conditionalFormatting sqref="P2:Q2">
    <cfRule type="cellIs" dxfId="2" priority="3" operator="equal">
      <formula>0</formula>
    </cfRule>
  </conditionalFormatting>
  <conditionalFormatting sqref="V2:W2">
    <cfRule type="cellIs" dxfId="1" priority="2" operator="equal">
      <formula>0</formula>
    </cfRule>
  </conditionalFormatting>
  <conditionalFormatting sqref="V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  <c r="K2" s="21" t="s">
        <v>48</v>
      </c>
      <c r="L2" s="21" t="s">
        <v>49</v>
      </c>
      <c r="M2" s="21" t="s">
        <v>50</v>
      </c>
      <c r="N2" s="21" t="s">
        <v>51</v>
      </c>
      <c r="O2" s="21" t="s">
        <v>52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5000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45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71</v>
      </c>
    </row>
    <row r="9" spans="2:15" x14ac:dyDescent="0.25">
      <c r="C9" s="15" t="s">
        <v>2</v>
      </c>
      <c r="D9" s="16">
        <f>IF(Inputs!D4="Y", Prices!$C$6, IF(Inputs!D4="N", Prices!$D$6, 0))</f>
        <v>15000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6750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32</v>
      </c>
      <c r="D11" s="18">
        <f xml:space="preserve"> IF(OR(Inputs!D9="Y",Inputs!D$19="Y"), Prices!$C10, 0)</f>
        <v>1000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11</v>
      </c>
      <c r="D12" s="18">
        <f xml:space="preserve"> IF(OR(Inputs!D10="Y",Inputs!D$19="Y"), Prices!$C11, 0)</f>
        <v>4000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33</v>
      </c>
      <c r="D13" s="18">
        <f xml:space="preserve"> IF(OR(Inputs!D11="Y",Inputs!D$19="Y"), Prices!$C12, 0)</f>
        <v>2000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12</v>
      </c>
      <c r="D14" s="18">
        <f xml:space="preserve"> IF(OR(Inputs!D12="Y",Inputs!D$19="Y"), Prices!$C13, 0)</f>
        <v>2000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13</v>
      </c>
      <c r="D15" s="18">
        <f xml:space="preserve"> IF(OR(Inputs!D13="Y",Inputs!D$19="Y"), Prices!$C14, 0)</f>
        <v>6000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105</v>
      </c>
      <c r="D16" s="18">
        <f xml:space="preserve"> IF(OR(Inputs!D14="Y",Inputs!D$19="Y"), Prices!$C15, 0)</f>
        <v>4000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14</v>
      </c>
      <c r="D17" s="20">
        <f xml:space="preserve"> IF(OR(Inputs!D15="Y",Inputs!D$20="Y"), Prices!$C16, 0)</f>
        <v>10000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15</v>
      </c>
      <c r="D18" s="20">
        <f xml:space="preserve"> IF(OR(Inputs!D16="Y",Inputs!D$20="Y"), Prices!$C17, 0)</f>
        <v>5000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34</v>
      </c>
      <c r="D19" s="20">
        <f xml:space="preserve"> IF(OR(Inputs!D17="Y",Inputs!D$20="Y"), Prices!$C18, 0)</f>
        <v>5000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72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32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11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33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12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13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105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14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15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73</v>
      </c>
    </row>
    <row r="35" spans="2:8" x14ac:dyDescent="0.25">
      <c r="C35" s="15" t="s">
        <v>2</v>
      </c>
      <c r="D35" s="16">
        <f>IF(Inputs!D4="Y", Prices!$C$6, IF(Inputs!D4="N", Prices!$D$6, 0))</f>
        <v>15000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6750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32</v>
      </c>
      <c r="D37" s="18">
        <f>IF(AND(Inputs!D9="Y",Inputs!D$19="N"),Prices!$C10,0)</f>
        <v>1000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11</v>
      </c>
      <c r="D38" s="18">
        <f>IF(AND(Inputs!D10="Y",Inputs!D$19="N"),Prices!$C11,0)</f>
        <v>4000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33</v>
      </c>
      <c r="D39" s="18">
        <f>IF(AND(Inputs!D11="Y",Inputs!D$19="N"),Prices!$C12,0)</f>
        <v>2000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12</v>
      </c>
      <c r="D40" s="18">
        <f>IF(AND(Inputs!D12="Y",Inputs!D$19="N"),Prices!$C13,0)</f>
        <v>2000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13</v>
      </c>
      <c r="D41" s="18">
        <f>IF(AND(Inputs!D13="Y",Inputs!D$19="N"),Prices!$C14,0)</f>
        <v>6000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105</v>
      </c>
      <c r="D42" s="18">
        <f>IF(AND(Inputs!D14="Y",Inputs!D$19="N"),Prices!$C15,0)</f>
        <v>4000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14</v>
      </c>
      <c r="D43" s="20">
        <f>IF(AND(Inputs!D15="Y",Inputs!D$20="N"),Prices!$C16,0)</f>
        <v>10000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15</v>
      </c>
      <c r="D44" s="20">
        <f>IF(AND(Inputs!D16="Y",Inputs!D$20="N"),Prices!$C17,0)</f>
        <v>5000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34</v>
      </c>
      <c r="D45" s="20">
        <f>IF(AND(Inputs!D17="Y",Inputs!D$20="N"),Prices!$C18,0)</f>
        <v>5000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74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32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11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33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12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13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105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14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15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34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67</v>
      </c>
    </row>
    <row r="61" spans="2:15" x14ac:dyDescent="0.25">
      <c r="C61" s="17" t="s">
        <v>17</v>
      </c>
      <c r="D61" s="18">
        <f>IF(Inputs!D$19 = "Y", 0, IF(Inputs!D18="Y", Prices!$C20, 0))</f>
        <v>8500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1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18</v>
      </c>
      <c r="D62" s="18">
        <f>IF(Inputs!D19="Y", Prices!$C21, 0)</f>
        <v>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2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19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2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20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2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68</v>
      </c>
    </row>
    <row r="67" spans="2:15" x14ac:dyDescent="0.25">
      <c r="C67" s="28" t="s">
        <v>17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2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18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19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20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69</v>
      </c>
    </row>
    <row r="73" spans="2:15" x14ac:dyDescent="0.25">
      <c r="C73" s="17" t="s">
        <v>17</v>
      </c>
      <c r="D73" s="18">
        <f>D61</f>
        <v>8500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18</v>
      </c>
      <c r="D74" s="18">
        <f>IF(D62=0,0,D62-SUM(D11:D16))</f>
        <v>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19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20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70</v>
      </c>
    </row>
    <row r="79" spans="2:15" x14ac:dyDescent="0.25">
      <c r="C79" s="28" t="s">
        <v>17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2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18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19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20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46</v>
      </c>
    </row>
    <row r="85" spans="2:8" x14ac:dyDescent="0.25">
      <c r="C85" t="s">
        <v>37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38</v>
      </c>
      <c r="D86" s="1">
        <f>_xlfn.IFNA(SUM(INDEX(D$61:D$64, MATCH(3, K$61:K$64, 0)), INDEX(D$66:D$70, MATCH(3, K$61:K$64, 0)))*Prices!$I$5*-1, 0)</f>
        <v>0</v>
      </c>
      <c r="E86" s="1">
        <f>_xlfn.IFNA(SUM(INDEX(E$61:E$64, MATCH(3, L$61:L$64, 0)), INDEX(E$66:E$70, MATCH(3, L$61:L$64, 0)))*Prices!$I$5*-1, 0)</f>
        <v>0</v>
      </c>
      <c r="F86" s="1">
        <f>_xlfn.IFNA(SUM(INDEX(F$61:F$64, MATCH(3, M$61:M$64, 0)), INDEX(F$66:F$70, MATCH(3, M$61:M$64, 0)))*Prices!$I$5*-1, 0)</f>
        <v>0</v>
      </c>
      <c r="G86" s="1">
        <f>_xlfn.IFNA(SUM(INDEX(G$61:G$64, MATCH(3, N$61:N$64, 0)), INDEX(G$66:G$70, MATCH(3, N$61:N$64, 0)))*Prices!$I$5*-1, 0)</f>
        <v>0</v>
      </c>
      <c r="H86" s="1">
        <f>_xlfn.IFNA(SUM(INDEX(H$61:H$64, MATCH(3, O$61:O$64, 0)), INDEX(H$66:H$70, MATCH(3, O$61:O$64, 0)))*Prices!$I$5*-1, 0)</f>
        <v>0</v>
      </c>
    </row>
    <row r="88" spans="2:8" x14ac:dyDescent="0.25">
      <c r="B88" s="6" t="s">
        <v>47</v>
      </c>
      <c r="D88" s="7">
        <f>SUM(D35:D45, D48:D58, D61:D64, D67:D70, D85:D86)</f>
        <v>69250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64</v>
      </c>
      <c r="D90" s="1">
        <f>IF(D100=1, 0, IF(D100=2, $E$103, IF(D100=3, $E$104, IF(D100=4, $E$105, IF(D100=5, $E$106, "")))))</f>
        <v>0</v>
      </c>
      <c r="E90" s="1">
        <f t="shared" ref="E90:H90" si="21">IF(E100=1, 0, IF(E100=2, $E$103, IF(E100=3, $E$104, IF(E100=4, $E$105, IF(E100=5, $E$106,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1" spans="2:8" x14ac:dyDescent="0.25">
      <c r="D91" s="1"/>
      <c r="E91" s="1"/>
      <c r="F91" s="1"/>
      <c r="G91" s="1"/>
      <c r="H91" s="1"/>
    </row>
    <row r="92" spans="2:8" x14ac:dyDescent="0.25">
      <c r="B92" s="6" t="s">
        <v>104</v>
      </c>
      <c r="D92" s="2">
        <f>IF(Inputs!$D5="Y", Prices!$I$17, 0)*D94*-1</f>
        <v>0</v>
      </c>
      <c r="E92" s="2">
        <f>IF(Inputs!$D5="Y", Prices!$I$17, 0)*SUM(SUM(E73:E76), E94, -1*SUM(E85:E86))*-1</f>
        <v>0</v>
      </c>
      <c r="F92" s="2">
        <f>IF(Inputs!$D5="Y", Prices!$I$17, 0)*SUM(SUM(F73:F76), F94, -1*SUM(F85:F86))*-1</f>
        <v>0</v>
      </c>
      <c r="G92" s="2">
        <f>IF(Inputs!$D5="Y", Prices!$I$17, 0)*SUM(SUM(G73:G76), G94, -1*SUM(G85:G86))*-1</f>
        <v>0</v>
      </c>
      <c r="H92" s="2">
        <f>IF(Inputs!$D5="Y", Prices!$I$17, 0)*SUM(SUM(H73:H76), H94, -1*SUM(H85:H86))*-1</f>
        <v>0</v>
      </c>
    </row>
    <row r="94" spans="2:8" x14ac:dyDescent="0.25">
      <c r="B94" s="6" t="s">
        <v>56</v>
      </c>
      <c r="D94" s="7">
        <f>SUM(D88, D90)</f>
        <v>69250</v>
      </c>
      <c r="E94" s="7">
        <f>SUM(E88, E90)</f>
        <v>0</v>
      </c>
      <c r="F94" s="7">
        <f>SUM(F88, F90)</f>
        <v>0</v>
      </c>
      <c r="G94" s="7">
        <f>SUM(G88, G90)</f>
        <v>0</v>
      </c>
      <c r="H94" s="7">
        <f>SUM(H88, H90)</f>
        <v>0</v>
      </c>
    </row>
    <row r="97" spans="2:8" s="21" customFormat="1" x14ac:dyDescent="0.25">
      <c r="B97" s="27"/>
      <c r="C97" s="21" t="s">
        <v>65</v>
      </c>
      <c r="D97" s="21">
        <f>IFERROR(_xlfn.RANK.EQ(D88,$D$88:$H$88),5)</f>
        <v>1</v>
      </c>
      <c r="E97" s="21">
        <f t="shared" ref="E97:H97" si="22">IFERROR(_xlfn.RANK.EQ(E88,$D$88:$H$88),5)</f>
        <v>2</v>
      </c>
      <c r="F97" s="21">
        <f t="shared" si="22"/>
        <v>2</v>
      </c>
      <c r="G97" s="21">
        <f t="shared" si="22"/>
        <v>2</v>
      </c>
      <c r="H97" s="21">
        <f t="shared" si="22"/>
        <v>2</v>
      </c>
    </row>
    <row r="98" spans="2:8" s="21" customFormat="1" x14ac:dyDescent="0.25">
      <c r="B98" s="27"/>
      <c r="D98" s="21">
        <v>0.1</v>
      </c>
      <c r="E98" s="21">
        <v>0.2</v>
      </c>
      <c r="F98" s="21">
        <v>0.3</v>
      </c>
      <c r="G98" s="21">
        <v>0.4</v>
      </c>
      <c r="H98" s="21">
        <v>0.5</v>
      </c>
    </row>
    <row r="99" spans="2:8" s="21" customFormat="1" x14ac:dyDescent="0.25">
      <c r="B99" s="27"/>
      <c r="D99" s="21">
        <f>SUM(D97:D98)</f>
        <v>1.1000000000000001</v>
      </c>
      <c r="E99" s="21">
        <f t="shared" ref="E99:H99" si="23">SUM(E97:E98)</f>
        <v>2.2000000000000002</v>
      </c>
      <c r="F99" s="21">
        <f t="shared" si="23"/>
        <v>2.2999999999999998</v>
      </c>
      <c r="G99" s="21">
        <f t="shared" si="23"/>
        <v>2.4</v>
      </c>
      <c r="H99" s="21">
        <f t="shared" si="23"/>
        <v>2.5</v>
      </c>
    </row>
    <row r="100" spans="2:8" s="21" customFormat="1" x14ac:dyDescent="0.25">
      <c r="B100" s="27"/>
      <c r="D100" s="21">
        <f>_xlfn.RANK.EQ(D99, $D$99:$H$99, 5)</f>
        <v>1</v>
      </c>
      <c r="E100" s="21">
        <f t="shared" ref="E100:H100" si="24">_xlfn.RANK.EQ(E99, $D$99:$H$99, 5)</f>
        <v>2</v>
      </c>
      <c r="F100" s="21">
        <f t="shared" si="24"/>
        <v>3</v>
      </c>
      <c r="G100" s="21">
        <f t="shared" si="24"/>
        <v>4</v>
      </c>
      <c r="H100" s="21">
        <f t="shared" si="24"/>
        <v>5</v>
      </c>
    </row>
    <row r="101" spans="2:8" s="21" customFormat="1" x14ac:dyDescent="0.25">
      <c r="B101" s="27"/>
    </row>
    <row r="102" spans="2:8" s="21" customFormat="1" x14ac:dyDescent="0.25">
      <c r="B102" s="27"/>
      <c r="C102" s="21" t="s">
        <v>53</v>
      </c>
    </row>
    <row r="103" spans="2:8" s="21" customFormat="1" x14ac:dyDescent="0.25">
      <c r="B103" s="27"/>
      <c r="D103" s="21" t="s">
        <v>41</v>
      </c>
      <c r="E103" s="23">
        <f>INDEX($D$88:$H$88, 1, MATCH(2, $D$100:$H$100, 0))*Prices!$I$10*-1</f>
        <v>0</v>
      </c>
    </row>
    <row r="104" spans="2:8" s="21" customFormat="1" x14ac:dyDescent="0.25">
      <c r="B104" s="27"/>
      <c r="D104" s="21" t="s">
        <v>42</v>
      </c>
      <c r="E104" s="23">
        <f>INDEX($D$88:$H$88, 1, MATCH(3, $D$100:$H$100, 0))*Prices!$I$11*-1</f>
        <v>0</v>
      </c>
    </row>
    <row r="105" spans="2:8" s="21" customFormat="1" x14ac:dyDescent="0.25">
      <c r="B105" s="27"/>
      <c r="D105" s="21" t="s">
        <v>54</v>
      </c>
      <c r="E105" s="23">
        <f>INDEX($D$88:$H$88, 1, MATCH(4, $D$100:$H$100, 0))*Prices!$I$11*-1</f>
        <v>0</v>
      </c>
    </row>
    <row r="106" spans="2:8" s="21" customFormat="1" x14ac:dyDescent="0.25">
      <c r="B106" s="27"/>
      <c r="D106" s="21" t="s">
        <v>55</v>
      </c>
      <c r="E106" s="23">
        <f>INDEX($D$88:$H$88, 1, MATCH(5, $D$100:$H$100, 0))*Prices!$I$11*-1</f>
        <v>0</v>
      </c>
    </row>
    <row r="110" spans="2:8" x14ac:dyDescent="0.25">
      <c r="F11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27</v>
      </c>
    </row>
    <row r="3" spans="2:9" x14ac:dyDescent="0.25">
      <c r="B3" t="s">
        <v>26</v>
      </c>
      <c r="C3" s="1">
        <v>5000</v>
      </c>
      <c r="D3" s="1">
        <v>32750</v>
      </c>
      <c r="E3" s="1"/>
      <c r="H3" s="6" t="s">
        <v>35</v>
      </c>
    </row>
    <row r="4" spans="2:9" x14ac:dyDescent="0.25">
      <c r="B4" t="s">
        <v>29</v>
      </c>
      <c r="C4" s="1">
        <v>5000</v>
      </c>
      <c r="D4" s="1">
        <v>0</v>
      </c>
      <c r="E4" s="1"/>
      <c r="H4" t="s">
        <v>36</v>
      </c>
      <c r="I4" s="3">
        <v>0</v>
      </c>
    </row>
    <row r="5" spans="2:9" x14ac:dyDescent="0.25">
      <c r="E5" s="6" t="s">
        <v>28</v>
      </c>
      <c r="H5" t="s">
        <v>37</v>
      </c>
      <c r="I5" s="3">
        <v>0.3</v>
      </c>
    </row>
    <row r="6" spans="2:9" x14ac:dyDescent="0.25">
      <c r="B6" s="15" t="s">
        <v>30</v>
      </c>
      <c r="C6" s="43">
        <v>15000</v>
      </c>
      <c r="D6" s="43">
        <v>30000</v>
      </c>
      <c r="E6" s="39">
        <v>0.27</v>
      </c>
      <c r="H6" t="s">
        <v>38</v>
      </c>
      <c r="I6" s="3">
        <v>0.45</v>
      </c>
    </row>
    <row r="7" spans="2:9" x14ac:dyDescent="0.25">
      <c r="B7" s="15" t="s">
        <v>31</v>
      </c>
      <c r="C7" s="43">
        <v>6750</v>
      </c>
      <c r="D7" s="43">
        <v>6750</v>
      </c>
      <c r="E7" s="39">
        <v>0</v>
      </c>
    </row>
    <row r="8" spans="2:9" x14ac:dyDescent="0.25">
      <c r="C8" s="44"/>
      <c r="D8" s="40"/>
      <c r="H8" s="6" t="s">
        <v>40</v>
      </c>
    </row>
    <row r="9" spans="2:9" x14ac:dyDescent="0.25">
      <c r="C9" s="47" t="s">
        <v>43</v>
      </c>
      <c r="D9" s="48" t="s">
        <v>28</v>
      </c>
      <c r="H9" t="s">
        <v>39</v>
      </c>
      <c r="I9" s="3">
        <v>0</v>
      </c>
    </row>
    <row r="10" spans="2:9" x14ac:dyDescent="0.25">
      <c r="B10" s="17" t="s">
        <v>32</v>
      </c>
      <c r="C10" s="45">
        <v>1000</v>
      </c>
      <c r="D10" s="41">
        <v>0.04</v>
      </c>
      <c r="H10" t="s">
        <v>41</v>
      </c>
      <c r="I10" s="3">
        <v>0.45</v>
      </c>
    </row>
    <row r="11" spans="2:9" x14ac:dyDescent="0.25">
      <c r="B11" s="17" t="s">
        <v>11</v>
      </c>
      <c r="C11" s="45">
        <v>4000</v>
      </c>
      <c r="D11" s="41">
        <v>0.05</v>
      </c>
      <c r="H11" t="s">
        <v>42</v>
      </c>
      <c r="I11" s="3">
        <v>0.5</v>
      </c>
    </row>
    <row r="12" spans="2:9" x14ac:dyDescent="0.25">
      <c r="B12" s="17" t="s">
        <v>33</v>
      </c>
      <c r="C12" s="45">
        <v>2000</v>
      </c>
      <c r="D12" s="41">
        <v>0.04</v>
      </c>
    </row>
    <row r="13" spans="2:9" x14ac:dyDescent="0.25">
      <c r="B13" s="17" t="s">
        <v>12</v>
      </c>
      <c r="C13" s="45">
        <v>2000</v>
      </c>
      <c r="D13" s="41">
        <v>0.04</v>
      </c>
      <c r="H13" s="4"/>
    </row>
    <row r="14" spans="2:9" x14ac:dyDescent="0.25">
      <c r="B14" s="17" t="s">
        <v>13</v>
      </c>
      <c r="C14" s="45">
        <v>6000</v>
      </c>
      <c r="D14" s="41">
        <v>0.05</v>
      </c>
      <c r="H14" s="60" t="s">
        <v>83</v>
      </c>
      <c r="I14" s="59">
        <v>1.2500000000000001E-2</v>
      </c>
    </row>
    <row r="15" spans="2:9" x14ac:dyDescent="0.25">
      <c r="B15" s="17" t="s">
        <v>105</v>
      </c>
      <c r="C15" s="45">
        <v>4000</v>
      </c>
      <c r="D15" s="41">
        <v>0.05</v>
      </c>
      <c r="H15" s="4" t="s">
        <v>84</v>
      </c>
      <c r="I15" s="55">
        <v>43466</v>
      </c>
    </row>
    <row r="16" spans="2:9" x14ac:dyDescent="0.25">
      <c r="B16" s="19" t="s">
        <v>14</v>
      </c>
      <c r="C16" s="46">
        <v>10000</v>
      </c>
      <c r="D16" s="42">
        <v>0.18</v>
      </c>
      <c r="H16" s="4"/>
      <c r="I16" s="3"/>
    </row>
    <row r="17" spans="2:9" x14ac:dyDescent="0.25">
      <c r="B17" s="19" t="s">
        <v>15</v>
      </c>
      <c r="C17" s="46">
        <v>5000</v>
      </c>
      <c r="D17" s="42">
        <v>7.0000000000000007E-2</v>
      </c>
      <c r="H17" s="6" t="s">
        <v>101</v>
      </c>
      <c r="I17" s="3">
        <v>0.15</v>
      </c>
    </row>
    <row r="18" spans="2:9" x14ac:dyDescent="0.25">
      <c r="B18" s="19" t="s">
        <v>34</v>
      </c>
      <c r="C18" s="46">
        <v>5000</v>
      </c>
      <c r="D18" s="42">
        <v>0</v>
      </c>
      <c r="H18" s="4" t="s">
        <v>102</v>
      </c>
      <c r="I18" s="55">
        <v>44197</v>
      </c>
    </row>
    <row r="19" spans="2:9" x14ac:dyDescent="0.25">
      <c r="C19" s="44"/>
      <c r="D19" s="40"/>
    </row>
    <row r="20" spans="2:9" x14ac:dyDescent="0.25">
      <c r="B20" s="17" t="s">
        <v>17</v>
      </c>
      <c r="C20" s="45">
        <v>8500</v>
      </c>
      <c r="D20" s="41">
        <v>0</v>
      </c>
    </row>
    <row r="21" spans="2:9" x14ac:dyDescent="0.25">
      <c r="B21" s="17" t="s">
        <v>18</v>
      </c>
      <c r="C21" s="45">
        <v>33000</v>
      </c>
      <c r="D21" s="41">
        <v>0.28000000000000003</v>
      </c>
    </row>
    <row r="22" spans="2:9" x14ac:dyDescent="0.25">
      <c r="B22" s="19" t="s">
        <v>19</v>
      </c>
      <c r="C22" s="46">
        <v>35000</v>
      </c>
      <c r="D22" s="42">
        <v>0.28999999999999998</v>
      </c>
    </row>
    <row r="23" spans="2:9" x14ac:dyDescent="0.25">
      <c r="B23" s="19" t="s">
        <v>20</v>
      </c>
      <c r="C23" s="46">
        <v>28000</v>
      </c>
      <c r="D23" s="42">
        <v>0.18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2018-02-21T20:52:24Z</dcterms:modified>
</cp:coreProperties>
</file>