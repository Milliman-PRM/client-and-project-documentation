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MHA - Meritus Health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5" l="1"/>
  <c r="D92" i="1"/>
  <c r="H26" i="7" l="1"/>
  <c r="G26" i="7"/>
  <c r="I26" i="7" s="1"/>
  <c r="F26" i="7" l="1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0" i="7"/>
  <c r="H60" i="7"/>
  <c r="G60" i="7"/>
  <c r="F60" i="7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2" i="7"/>
  <c r="N39" i="7"/>
  <c r="N38" i="7"/>
  <c r="N33" i="7"/>
  <c r="N31" i="7"/>
  <c r="N23" i="7"/>
  <c r="N18" i="7"/>
  <c r="N17" i="7"/>
  <c r="N16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35" i="1"/>
  <c r="J5" i="8" l="1"/>
  <c r="I5" i="8"/>
  <c r="H5" i="8"/>
  <c r="K5" i="8"/>
  <c r="E6" i="8"/>
  <c r="D8" i="5"/>
  <c r="D7" i="8"/>
  <c r="D18" i="7"/>
  <c r="L18" i="7" s="1"/>
  <c r="D14" i="7"/>
  <c r="N14" i="7" s="1"/>
  <c r="D11" i="7"/>
  <c r="N11" i="7" s="1"/>
  <c r="D15" i="7"/>
  <c r="N15" i="7" s="1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K8" i="8" l="1"/>
  <c r="J8" i="8"/>
  <c r="I8" i="8"/>
  <c r="H8" i="8"/>
  <c r="E8" i="8"/>
  <c r="F7" i="8"/>
  <c r="F45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M60" i="7" l="1"/>
  <c r="K60" i="7"/>
  <c r="N60" i="7"/>
  <c r="L60" i="7"/>
  <c r="E9" i="8"/>
  <c r="F8" i="8"/>
  <c r="D4" i="7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K36" i="7" l="1"/>
  <c r="N36" i="7"/>
  <c r="D9" i="5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F47" i="8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N28" i="7" s="1"/>
  <c r="D29" i="7"/>
  <c r="N29" i="7" s="1"/>
  <c r="D31" i="7"/>
  <c r="D30" i="7"/>
  <c r="N30" i="7" s="1"/>
  <c r="D32" i="7"/>
  <c r="D25" i="7"/>
  <c r="N25" i="7" s="1"/>
  <c r="D26" i="7"/>
  <c r="N26" i="7" s="1"/>
  <c r="D27" i="7"/>
  <c r="N27" i="7" s="1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J11" i="8" l="1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D88" i="1" s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F61" i="7" l="1"/>
  <c r="K61" i="7" s="1"/>
  <c r="H61" i="7"/>
  <c r="M61" i="7" s="1"/>
  <c r="I61" i="7"/>
  <c r="N61" i="7" s="1"/>
  <c r="G61" i="7"/>
  <c r="L61" i="7" s="1"/>
  <c r="G48" i="7" s="1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H48" i="7" l="1"/>
  <c r="M48" i="7" s="1"/>
  <c r="I48" i="7"/>
  <c r="N48" i="7" s="1"/>
  <c r="F48" i="7"/>
  <c r="K48" i="7" s="1"/>
  <c r="L48" i="7"/>
  <c r="K14" i="8"/>
  <c r="I14" i="8"/>
  <c r="J14" i="8"/>
  <c r="H14" i="8"/>
  <c r="E14" i="8"/>
  <c r="F13" i="8"/>
  <c r="F51" i="8"/>
  <c r="D15" i="8"/>
  <c r="E99" i="1"/>
  <c r="H99" i="1"/>
  <c r="G99" i="1"/>
  <c r="F50" i="7" l="1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D28" i="5" l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D35" i="5" l="1"/>
  <c r="C40" i="5" s="1"/>
  <c r="D50" i="7"/>
  <c r="N50" i="7" s="1"/>
  <c r="N52" i="7" s="1"/>
  <c r="J20" i="8"/>
  <c r="K20" i="8"/>
  <c r="H20" i="8"/>
  <c r="I20" i="8"/>
  <c r="D21" i="8"/>
  <c r="E20" i="8"/>
  <c r="F19" i="8"/>
  <c r="F57" i="8"/>
  <c r="L50" i="7" l="1"/>
  <c r="L52" i="7" s="1"/>
  <c r="D52" i="7"/>
  <c r="M89" i="8" s="1"/>
  <c r="K50" i="7"/>
  <c r="K52" i="7" s="1"/>
  <c r="N4" i="8" s="1"/>
  <c r="M50" i="7"/>
  <c r="M52" i="7" s="1"/>
  <c r="P89" i="8" s="1"/>
  <c r="Q94" i="8"/>
  <c r="Q86" i="8"/>
  <c r="Q54" i="8"/>
  <c r="Q46" i="8"/>
  <c r="Q14" i="8"/>
  <c r="Q6" i="8"/>
  <c r="Q85" i="8"/>
  <c r="Q51" i="8"/>
  <c r="Q9" i="8"/>
  <c r="Q87" i="8"/>
  <c r="Q55" i="8"/>
  <c r="Q88" i="8"/>
  <c r="Q56" i="8"/>
  <c r="Q8" i="8"/>
  <c r="Q57" i="8"/>
  <c r="Q80" i="8"/>
  <c r="Q52" i="8"/>
  <c r="Q12" i="8"/>
  <c r="Q4" i="8"/>
  <c r="Q81" i="8"/>
  <c r="Q49" i="8"/>
  <c r="Q19" i="8"/>
  <c r="Q5" i="8"/>
  <c r="Q83" i="8"/>
  <c r="Q53" i="8"/>
  <c r="Q17" i="8"/>
  <c r="Q48" i="8"/>
  <c r="Q16" i="8"/>
  <c r="Q89" i="8"/>
  <c r="Q91" i="8"/>
  <c r="Q78" i="8"/>
  <c r="Q50" i="8"/>
  <c r="Q18" i="8"/>
  <c r="Q10" i="8"/>
  <c r="Q93" i="8"/>
  <c r="Q45" i="8"/>
  <c r="Q15" i="8"/>
  <c r="Q3" i="8"/>
  <c r="Q79" i="8"/>
  <c r="Q47" i="8"/>
  <c r="Q11" i="8"/>
  <c r="Q13" i="8"/>
  <c r="Q7" i="8"/>
  <c r="Q82" i="8"/>
  <c r="Q90" i="8"/>
  <c r="Q84" i="8"/>
  <c r="Q92" i="8"/>
  <c r="E21" i="8"/>
  <c r="F20" i="8"/>
  <c r="Q20" i="8" s="1"/>
  <c r="K21" i="8"/>
  <c r="I21" i="8"/>
  <c r="J21" i="8"/>
  <c r="H21" i="8"/>
  <c r="M11" i="8"/>
  <c r="N85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46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47" i="8"/>
  <c r="O82" i="8"/>
  <c r="O8" i="8"/>
  <c r="O13" i="8"/>
  <c r="O3" i="8"/>
  <c r="O86" i="8"/>
  <c r="O85" i="8"/>
  <c r="O4" i="8"/>
  <c r="O78" i="8"/>
  <c r="O49" i="8"/>
  <c r="O18" i="8"/>
  <c r="O11" i="8"/>
  <c r="O45" i="8"/>
  <c r="N51" i="8"/>
  <c r="N46" i="8"/>
  <c r="N55" i="8"/>
  <c r="N87" i="8"/>
  <c r="N19" i="8"/>
  <c r="N13" i="8"/>
  <c r="N20" i="8"/>
  <c r="N92" i="8"/>
  <c r="N12" i="8"/>
  <c r="N78" i="8"/>
  <c r="N86" i="8"/>
  <c r="N49" i="8"/>
  <c r="N84" i="8"/>
  <c r="N56" i="8"/>
  <c r="M3" i="8"/>
  <c r="N3" i="8"/>
  <c r="N11" i="8"/>
  <c r="N82" i="8"/>
  <c r="M84" i="8"/>
  <c r="M19" i="8"/>
  <c r="N91" i="8"/>
  <c r="N14" i="8"/>
  <c r="N47" i="8"/>
  <c r="N45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47" i="8"/>
  <c r="M46" i="8"/>
  <c r="M56" i="8"/>
  <c r="M90" i="8"/>
  <c r="M13" i="8"/>
  <c r="M45" i="8"/>
  <c r="M81" i="8"/>
  <c r="M85" i="8"/>
  <c r="M53" i="8"/>
  <c r="M57" i="8"/>
  <c r="O57" i="8"/>
  <c r="F58" i="8"/>
  <c r="Q58" i="8" s="1"/>
  <c r="D22" i="8"/>
  <c r="M51" i="8" l="1"/>
  <c r="M18" i="8"/>
  <c r="P81" i="8"/>
  <c r="P82" i="8"/>
  <c r="P6" i="8"/>
  <c r="P50" i="8"/>
  <c r="N18" i="8"/>
  <c r="N5" i="8"/>
  <c r="T5" i="8" s="1"/>
  <c r="N6" i="8"/>
  <c r="N90" i="8"/>
  <c r="N88" i="8"/>
  <c r="N52" i="8"/>
  <c r="N79" i="8"/>
  <c r="N83" i="8"/>
  <c r="N80" i="8"/>
  <c r="N8" i="8"/>
  <c r="N94" i="8"/>
  <c r="N17" i="8"/>
  <c r="P18" i="8"/>
  <c r="P55" i="8"/>
  <c r="P92" i="8"/>
  <c r="N57" i="8"/>
  <c r="N93" i="8"/>
  <c r="N48" i="8"/>
  <c r="N10" i="8"/>
  <c r="N7" i="8"/>
  <c r="N81" i="8"/>
  <c r="N16" i="8"/>
  <c r="N15" i="8"/>
  <c r="N50" i="8"/>
  <c r="N54" i="8"/>
  <c r="N89" i="8"/>
  <c r="P17" i="8"/>
  <c r="P85" i="8"/>
  <c r="P10" i="8"/>
  <c r="P20" i="8"/>
  <c r="P52" i="8"/>
  <c r="P84" i="8"/>
  <c r="P94" i="8"/>
  <c r="P79" i="8"/>
  <c r="P3" i="8"/>
  <c r="P5" i="8"/>
  <c r="P15" i="8"/>
  <c r="P45" i="8"/>
  <c r="P93" i="8"/>
  <c r="P12" i="8"/>
  <c r="P54" i="8"/>
  <c r="P86" i="8"/>
  <c r="P47" i="8"/>
  <c r="P83" i="8"/>
  <c r="P9" i="8"/>
  <c r="P11" i="8"/>
  <c r="P49" i="8"/>
  <c r="P4" i="8"/>
  <c r="P14" i="8"/>
  <c r="P46" i="8"/>
  <c r="P58" i="8"/>
  <c r="P78" i="8"/>
  <c r="P90" i="8"/>
  <c r="P51" i="8"/>
  <c r="P91" i="8"/>
  <c r="D53" i="7"/>
  <c r="N9" i="8"/>
  <c r="P19" i="8"/>
  <c r="P13" i="8"/>
  <c r="P7" i="8"/>
  <c r="P53" i="8"/>
  <c r="P87" i="8"/>
  <c r="P8" i="8"/>
  <c r="P16" i="8"/>
  <c r="P48" i="8"/>
  <c r="P56" i="8"/>
  <c r="P80" i="8"/>
  <c r="P88" i="8"/>
  <c r="P57" i="8"/>
  <c r="K22" i="8"/>
  <c r="I22" i="8"/>
  <c r="J22" i="8"/>
  <c r="H22" i="8"/>
  <c r="E22" i="8"/>
  <c r="F21" i="8"/>
  <c r="Q21" i="8" s="1"/>
  <c r="S5" i="8"/>
  <c r="T14" i="8"/>
  <c r="U20" i="8"/>
  <c r="U5" i="8"/>
  <c r="U11" i="8"/>
  <c r="U8" i="8"/>
  <c r="T20" i="8"/>
  <c r="U17" i="8"/>
  <c r="U14" i="8"/>
  <c r="S20" i="8"/>
  <c r="S11" i="8"/>
  <c r="S8" i="8"/>
  <c r="S14" i="8"/>
  <c r="S17" i="8"/>
  <c r="N58" i="8"/>
  <c r="M58" i="8"/>
  <c r="O58" i="8"/>
  <c r="F59" i="8"/>
  <c r="Q59" i="8" s="1"/>
  <c r="D23" i="8"/>
  <c r="T8" i="8" l="1"/>
  <c r="P21" i="8"/>
  <c r="P59" i="8"/>
  <c r="T17" i="8"/>
  <c r="T11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Q22" i="8" l="1"/>
  <c r="P22" i="8"/>
  <c r="Q60" i="8"/>
  <c r="P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61" i="8" l="1"/>
  <c r="P61" i="8"/>
  <c r="Q23" i="8"/>
  <c r="P23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Q62" i="8" l="1"/>
  <c r="P62" i="8"/>
  <c r="Q24" i="8"/>
  <c r="P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Q25" i="8" l="1"/>
  <c r="P25" i="8"/>
  <c r="Q63" i="8"/>
  <c r="P63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Q64" i="8" l="1"/>
  <c r="P64" i="8"/>
  <c r="Q26" i="8"/>
  <c r="P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Q66" i="8" l="1"/>
  <c r="P66" i="8"/>
  <c r="Q28" i="8"/>
  <c r="P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Q67" i="8" l="1"/>
  <c r="P67" i="8"/>
  <c r="Q29" i="8"/>
  <c r="P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Q68" i="8" l="1"/>
  <c r="P68" i="8"/>
  <c r="Q30" i="8"/>
  <c r="P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Q69" i="8" l="1"/>
  <c r="P69" i="8"/>
  <c r="Q31" i="8"/>
  <c r="P31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Q70" i="8" l="1"/>
  <c r="P70" i="8"/>
  <c r="Q32" i="8"/>
  <c r="P32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Q71" i="8" l="1"/>
  <c r="P71" i="8"/>
  <c r="Q33" i="8"/>
  <c r="P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Q72" i="8" l="1"/>
  <c r="P72" i="8"/>
  <c r="Q34" i="8"/>
  <c r="P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Q73" i="8" l="1"/>
  <c r="P73" i="8"/>
  <c r="Q35" i="8"/>
  <c r="P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Q74" i="8" l="1"/>
  <c r="P74" i="8"/>
  <c r="Q36" i="8"/>
  <c r="P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Q75" i="8" l="1"/>
  <c r="P75" i="8"/>
  <c r="Q37" i="8"/>
  <c r="P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Q76" i="8" l="1"/>
  <c r="P76" i="8"/>
  <c r="Q38" i="8"/>
  <c r="P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Q77" i="8" l="1"/>
  <c r="P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Q40" i="8" l="1"/>
  <c r="P40" i="8"/>
  <c r="M40" i="8"/>
  <c r="O40" i="8"/>
  <c r="N40" i="8"/>
  <c r="K42" i="8"/>
  <c r="I42" i="8"/>
  <c r="H42" i="8"/>
  <c r="J42" i="8"/>
  <c r="E42" i="8"/>
  <c r="F41" i="8"/>
  <c r="D43" i="8"/>
  <c r="Q41" i="8" l="1"/>
  <c r="P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Q42" i="8" l="1"/>
  <c r="P42" i="8"/>
  <c r="E44" i="8"/>
  <c r="F43" i="8"/>
  <c r="J44" i="8"/>
  <c r="H44" i="8"/>
  <c r="K44" i="8"/>
  <c r="I44" i="8"/>
  <c r="O42" i="8"/>
  <c r="N42" i="8"/>
  <c r="M42" i="8"/>
  <c r="D45" i="8"/>
  <c r="E45" i="8" l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M43" i="8"/>
  <c r="Q43" i="8"/>
  <c r="O43" i="8"/>
  <c r="N43" i="8"/>
  <c r="P43" i="8"/>
  <c r="F1" i="8"/>
  <c r="K45" i="8"/>
  <c r="I45" i="8"/>
  <c r="J45" i="8"/>
  <c r="H45" i="8"/>
  <c r="D46" i="8"/>
  <c r="M44" i="8" l="1"/>
  <c r="S44" i="8" s="1"/>
  <c r="Q44" i="8"/>
  <c r="O44" i="8"/>
  <c r="U44" i="8" s="1"/>
  <c r="N44" i="8"/>
  <c r="T44" i="8" s="1"/>
  <c r="P44" i="8"/>
  <c r="K46" i="8"/>
  <c r="I46" i="8"/>
  <c r="J46" i="8"/>
  <c r="H46" i="8"/>
  <c r="D47" i="8"/>
  <c r="J47" i="8" l="1"/>
  <c r="U47" i="8" s="1"/>
  <c r="H47" i="8"/>
  <c r="I47" i="8"/>
  <c r="K47" i="8"/>
  <c r="D48" i="8"/>
  <c r="S47" i="8"/>
  <c r="T47" i="8"/>
  <c r="J48" i="8" l="1"/>
  <c r="H48" i="8"/>
  <c r="I48" i="8"/>
  <c r="K48" i="8"/>
  <c r="D49" i="8"/>
  <c r="K49" i="8" l="1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U56" i="8" s="1"/>
  <c r="H56" i="8"/>
  <c r="S56" i="8" s="1"/>
  <c r="K56" i="8"/>
  <c r="I56" i="8"/>
  <c r="T56" i="8" s="1"/>
  <c r="D57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D87" i="8"/>
  <c r="T86" i="8"/>
  <c r="U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H92" i="8"/>
  <c r="K92" i="8"/>
  <c r="I92" i="8"/>
  <c r="T92" i="8" s="1"/>
  <c r="K55" i="7" s="1"/>
  <c r="D93" i="8"/>
  <c r="U92" i="8"/>
  <c r="L55" i="7" s="1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<sst xmlns="http://schemas.openxmlformats.org/spreadsheetml/2006/main" count="285" uniqueCount="108">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</sst>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18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8" sqref="D8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6750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33000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-3525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51225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76837.5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76837.5</v>
      </c>
    </row>
    <row r="40" spans="2:21" x14ac:dyDescent="0.25">
      <c r="C40" s="53">
        <f>SUM(D35:H35)</f>
        <v>76837.5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30" activePane="bottomRight" state="frozen"/>
      <selection pane="topRight" activeCell="D1" sqref="D1"/>
      <selection pane="bottomLeft" activeCell="A3" sqref="A3"/>
      <selection pane="bottomRight" activeCell="D52" sqref="D5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10.8554687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6750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1350</v>
      </c>
      <c r="L9" s="16">
        <f t="shared" ref="L9:L17" si="4">G9*$D9</f>
        <v>5400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1000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100</v>
      </c>
      <c r="L10" s="18">
        <f t="shared" si="4"/>
        <v>900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4000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1800</v>
      </c>
      <c r="L11" s="18">
        <f t="shared" si="4"/>
        <v>1800</v>
      </c>
      <c r="M11" s="18">
        <f t="shared" si="2"/>
        <v>0</v>
      </c>
      <c r="N11" s="18">
        <f t="shared" si="2"/>
        <v>400</v>
      </c>
    </row>
    <row r="12" spans="2:14" x14ac:dyDescent="0.25">
      <c r="C12" s="17" t="s">
        <v>33</v>
      </c>
      <c r="D12" s="18">
        <f>SUM(Calcs!D13:H13)</f>
        <v>2000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1800</v>
      </c>
      <c r="L12" s="18">
        <f t="shared" si="4"/>
        <v>200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2000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200</v>
      </c>
      <c r="L13" s="18">
        <f t="shared" si="4"/>
        <v>1800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6000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600</v>
      </c>
      <c r="L14" s="18">
        <f t="shared" si="4"/>
        <v>600</v>
      </c>
      <c r="M14" s="18">
        <f t="shared" si="2"/>
        <v>4800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4000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2400</v>
      </c>
      <c r="L15" s="18">
        <f t="shared" si="4"/>
        <v>1600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14000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12600</v>
      </c>
      <c r="L37" s="18">
        <f t="shared" si="12"/>
        <v>1400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0.59922896413007032</v>
      </c>
      <c r="G48" s="8">
        <f>IFERROR(SUM(L59:L62)/SUM($K$59:$M$62), 0)</f>
        <v>0.2550564308861325</v>
      </c>
      <c r="H48" s="8">
        <f>IFERROR(SUM(M59:M62)/SUM($K$59:$M$62), 0)</f>
        <v>0.14571460498379707</v>
      </c>
      <c r="I48" s="8">
        <f>IFERROR(SUM(N59:N62)/SUM($K$59:$M$62), 0)</f>
        <v>1.2142883748649755E-2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0.49041095890410957</v>
      </c>
      <c r="G49" s="3">
        <f>IFERROR(SUM(L8:L48)/SUM($K8:$N48), 0)</f>
        <v>0.41461187214611872</v>
      </c>
      <c r="H49" s="3">
        <f>IFERROR(SUM(M8:M48)/SUM($K8:$N48), 0)</f>
        <v>8.7671232876712329E-2</v>
      </c>
      <c r="I49" s="3">
        <f>1-F49-G49-H49</f>
        <v>7.305936073059377E-3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-3525</v>
      </c>
      <c r="F50" s="3">
        <f>IFERROR(SUM(K8:K48)/SUM($K$8:$N48), 0)</f>
        <v>0.49041095890410957</v>
      </c>
      <c r="G50" s="3">
        <f>IFERROR(SUM(L8:L48)/SUM($K$8:$N48), 0)</f>
        <v>0.41461187214611872</v>
      </c>
      <c r="H50" s="3">
        <f>IFERROR(SUM(M8:M48)/SUM($K$8:$N48), 0)</f>
        <v>8.7671232876712329E-2</v>
      </c>
      <c r="I50" s="3">
        <f>1-F50-G50-H50</f>
        <v>7.305936073059377E-3</v>
      </c>
      <c r="K50" s="80">
        <f>F50*$D$50</f>
        <v>-1728.6986301369861</v>
      </c>
      <c r="L50" s="80">
        <f>G50*$D$50</f>
        <v>-1461.5068493150684</v>
      </c>
      <c r="M50" s="12">
        <f>H50*$D$50</f>
        <v>-309.04109589041099</v>
      </c>
      <c r="N50" s="12">
        <f>I50*$D$50</f>
        <v>-25.753424657534303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51225</v>
      </c>
      <c r="F52" s="2"/>
      <c r="K52" s="12">
        <f>SUM(K48:K50, K36:K39, K8:K18,K23:K33,K42:K45)</f>
        <v>25121.301369863013</v>
      </c>
      <c r="L52" s="12">
        <f>SUM(L48:L50, L36:L39, L8:L18,L23:L33,L42:L45)</f>
        <v>21238.493150684932</v>
      </c>
      <c r="M52" s="12">
        <f>SUM(M48:M50, M36:M39, M8:M18,M23:M33,M42:M45)</f>
        <v>4490.9589041095887</v>
      </c>
      <c r="N52" s="12">
        <f>SUM(N48:N50, N36:N39, N8:N18,N23:N33,N42:N45)</f>
        <v>374.24657534246569</v>
      </c>
    </row>
    <row r="53" spans="2:14" x14ac:dyDescent="0.25">
      <c r="C53" s="21" t="s">
        <v>80</v>
      </c>
      <c r="D53" s="23">
        <f>SUM(K52:N52)</f>
        <v>51225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76837.5</v>
      </c>
      <c r="K55" s="12">
        <f>SUM(Outputs_Timeline!T:T)</f>
        <v>37681.952054794521</v>
      </c>
      <c r="L55" s="12">
        <f>SUM(Outputs_Timeline!U:U)</f>
        <v>31857.739726027394</v>
      </c>
      <c r="M55" s="12">
        <f>SUM(Outputs_Timeline!V:V)</f>
        <v>6736.4383561643835</v>
      </c>
      <c r="N55" s="12">
        <f>SUM(Outputs_Timeline!W:W)</f>
        <v>561.36986301369859</v>
      </c>
    </row>
    <row r="56" spans="2:14" x14ac:dyDescent="0.25">
      <c r="D56" s="1"/>
      <c r="K56" s="54">
        <f>IFERROR(K55/$D$55, 0)</f>
        <v>0.49041095890410957</v>
      </c>
      <c r="L56" s="54">
        <f>IFERROR(L55/$D$55, 0)</f>
        <v>0.41461187214611867</v>
      </c>
      <c r="M56" s="54">
        <f>IFERROR(M55/$D$55, 0)</f>
        <v>8.7671232876712329E-2</v>
      </c>
      <c r="N56" s="54">
        <f>IFERROR(N55/$D$55, 0)</f>
        <v>7.3059360730593605E-3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0</v>
      </c>
      <c r="L60" s="25">
        <f t="shared" si="18"/>
        <v>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33000</v>
      </c>
      <c r="E61" s="21"/>
      <c r="F61" s="24">
        <f>IFERROR(SUM(K$37,K$10:K$15,K$43,K$25:K$30)/SUM($K$37:$M$37,$K$10:$M$15,$K$43:$M$43,$K$25:$M$30),0)</f>
        <v>0.59815950920245398</v>
      </c>
      <c r="G61" s="24">
        <f t="shared" ref="G61" si="19">IFERROR(SUM(L$37,L$10:L$15,L$43,L$25:L$30)/SUM($K$37:$M$37,$K$10:$M$15,$K$43:$M$43,$K$25:$M$30),0)</f>
        <v>0.254601226993865</v>
      </c>
      <c r="H61" s="24">
        <f>IFERROR(SUM(M$37,M$10:M$15,M$43,M$25:M$30)/SUM($K$37:$N$37,$K$10:$N$15,$K$43:$N$43,$K$25:$N$30),0)</f>
        <v>0.14545454545454545</v>
      </c>
      <c r="I61" s="24">
        <f>IFERROR(SUM(N$37,N$10:N$15,N$43,N$25:N$30)/SUM($K$37:$N$37,$K$10:$N$15,$K$43:$N$43,$K$25:$N$30),0)</f>
        <v>1.2121212121212121E-2</v>
      </c>
      <c r="J61" s="21"/>
      <c r="K61" s="25">
        <f t="shared" si="18"/>
        <v>19739.26380368098</v>
      </c>
      <c r="L61" s="25">
        <f t="shared" si="18"/>
        <v>8401.8404907975455</v>
      </c>
      <c r="M61" s="25">
        <f t="shared" si="18"/>
        <v>4800</v>
      </c>
      <c r="N61" s="25">
        <f t="shared" si="18"/>
        <v>400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:P26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18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$F3*Outputs_Internal!M$52/12</f>
        <v>0</v>
      </c>
      <c r="Q3" s="65">
        <f>$F3*Outputs_Internal!N$52/12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$F4*Outputs_Internal!M$52/12</f>
        <v>0</v>
      </c>
      <c r="Q4" s="65">
        <f>$F4*Outputs_Internal!N$52/12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$F5*Outputs_Internal!M$52/12</f>
        <v>0</v>
      </c>
      <c r="Q5" s="65">
        <f>$F5*Outputs_Internal!N$52/12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$F6*Outputs_Internal!M$52/12</f>
        <v>0</v>
      </c>
      <c r="Q6" s="65">
        <f>$F6*Outputs_Internal!N$52/12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$F7*Outputs_Internal!M$52/12</f>
        <v>0</v>
      </c>
      <c r="Q7" s="65">
        <f>$F7*Outputs_Internal!N$52/12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$F8*Outputs_Internal!M$52/12</f>
        <v>0</v>
      </c>
      <c r="Q8" s="65">
        <f>$F8*Outputs_Internal!N$52/12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0</v>
      </c>
      <c r="I9" s="65">
        <f>IF($B9=Inputs!$C$1,SUM(Outputs_Internal!K$4, Outputs_Internal!K$5),0)*$D9</f>
        <v>0</v>
      </c>
      <c r="J9" s="65">
        <f>IF($B9=Inputs!$C$1,SUM(Outputs_Internal!L$4, Outputs_Internal!L$5),0)*$D9</f>
        <v>0</v>
      </c>
      <c r="K9" s="65">
        <f>IF($B9=Inputs!$C$1,SUM(Outputs_Internal!M$4, Outputs_Internal!$M$5),0)*$D9</f>
        <v>0</v>
      </c>
      <c r="M9" s="65">
        <f>$F9*Outputs_Internal!$D$52/12</f>
        <v>4268.75</v>
      </c>
      <c r="N9" s="65">
        <f>$F9*Outputs_Internal!K$52/12</f>
        <v>2093.4417808219177</v>
      </c>
      <c r="O9" s="65">
        <f>$F9*Outputs_Internal!L$52/12</f>
        <v>1769.8744292237443</v>
      </c>
      <c r="P9" s="65">
        <f>$F9*Outputs_Internal!M$52/12</f>
        <v>374.24657534246575</v>
      </c>
      <c r="Q9" s="65">
        <f>$F9*Outputs_Internal!N$52/12</f>
        <v>31.18721461187214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4268.75</v>
      </c>
      <c r="N10" s="65">
        <f>$F10*Outputs_Internal!K$52/12</f>
        <v>2093.4417808219177</v>
      </c>
      <c r="O10" s="65">
        <f>$F10*Outputs_Internal!L$52/12</f>
        <v>1769.8744292237443</v>
      </c>
      <c r="P10" s="65">
        <f>$F10*Outputs_Internal!M$52/12</f>
        <v>374.24657534246575</v>
      </c>
      <c r="Q10" s="65">
        <f>$F10*Outputs_Internal!N$52/12</f>
        <v>31.18721461187214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4268.75</v>
      </c>
      <c r="N11" s="65">
        <f>$F11*Outputs_Internal!K$52/12</f>
        <v>2093.4417808219177</v>
      </c>
      <c r="O11" s="65">
        <f>$F11*Outputs_Internal!L$52/12</f>
        <v>1769.8744292237443</v>
      </c>
      <c r="P11" s="65">
        <f>$F11*Outputs_Internal!M$52/12</f>
        <v>374.24657534246575</v>
      </c>
      <c r="Q11" s="65">
        <f>$F11*Outputs_Internal!N$52/12</f>
        <v>31.18721461187214</v>
      </c>
      <c r="S11" s="65">
        <f t="shared" si="2"/>
        <v>12806.25</v>
      </c>
      <c r="T11" s="65">
        <f t="shared" si="3"/>
        <v>6280.3253424657532</v>
      </c>
      <c r="U11" s="65">
        <f>IF(MOD(MONTH($B11),3)=0,SUM(J9:J11,O9:O11),0)</f>
        <v>5309.6232876712329</v>
      </c>
      <c r="V11" s="65">
        <f t="shared" si="4"/>
        <v>1122.7397260273972</v>
      </c>
      <c r="W11" s="65">
        <f t="shared" si="4"/>
        <v>93.561643835616422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4268.75</v>
      </c>
      <c r="N12" s="65">
        <f>$F12*Outputs_Internal!K$52/12</f>
        <v>2093.4417808219177</v>
      </c>
      <c r="O12" s="65">
        <f>$F12*Outputs_Internal!L$52/12</f>
        <v>1769.8744292237443</v>
      </c>
      <c r="P12" s="65">
        <f>$F12*Outputs_Internal!M$52/12</f>
        <v>374.24657534246575</v>
      </c>
      <c r="Q12" s="65">
        <f>$F12*Outputs_Internal!N$52/12</f>
        <v>31.18721461187214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4268.75</v>
      </c>
      <c r="N13" s="65">
        <f>$F13*Outputs_Internal!K$52/12</f>
        <v>2093.4417808219177</v>
      </c>
      <c r="O13" s="65">
        <f>$F13*Outputs_Internal!L$52/12</f>
        <v>1769.8744292237443</v>
      </c>
      <c r="P13" s="65">
        <f>$F13*Outputs_Internal!M$52/12</f>
        <v>374.24657534246575</v>
      </c>
      <c r="Q13" s="65">
        <f>$F13*Outputs_Internal!N$52/12</f>
        <v>31.18721461187214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4268.75</v>
      </c>
      <c r="N14" s="65">
        <f>$F14*Outputs_Internal!K$52/12</f>
        <v>2093.4417808219177</v>
      </c>
      <c r="O14" s="65">
        <f>$F14*Outputs_Internal!L$52/12</f>
        <v>1769.8744292237443</v>
      </c>
      <c r="P14" s="65">
        <f>$F14*Outputs_Internal!M$52/12</f>
        <v>374.24657534246575</v>
      </c>
      <c r="Q14" s="65">
        <f>$F14*Outputs_Internal!N$52/12</f>
        <v>31.18721461187214</v>
      </c>
      <c r="S14" s="65">
        <f t="shared" si="2"/>
        <v>12806.25</v>
      </c>
      <c r="T14" s="65">
        <f t="shared" si="3"/>
        <v>6280.3253424657532</v>
      </c>
      <c r="U14" s="65">
        <f t="shared" si="4"/>
        <v>5309.6232876712329</v>
      </c>
      <c r="V14" s="65">
        <f t="shared" si="4"/>
        <v>1122.7397260273972</v>
      </c>
      <c r="W14" s="65">
        <f t="shared" si="4"/>
        <v>93.561643835616422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4268.75</v>
      </c>
      <c r="N15" s="65">
        <f>$F15*Outputs_Internal!K$52/12</f>
        <v>2093.4417808219177</v>
      </c>
      <c r="O15" s="65">
        <f>$F15*Outputs_Internal!L$52/12</f>
        <v>1769.8744292237443</v>
      </c>
      <c r="P15" s="65">
        <f>$F15*Outputs_Internal!M$52/12</f>
        <v>374.24657534246575</v>
      </c>
      <c r="Q15" s="65">
        <f>$F15*Outputs_Internal!N$52/12</f>
        <v>31.18721461187214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4268.75</v>
      </c>
      <c r="N16" s="65">
        <f>$F16*Outputs_Internal!K$52/12</f>
        <v>2093.4417808219177</v>
      </c>
      <c r="O16" s="65">
        <f>$F16*Outputs_Internal!L$52/12</f>
        <v>1769.8744292237443</v>
      </c>
      <c r="P16" s="65">
        <f>$F16*Outputs_Internal!M$52/12</f>
        <v>374.24657534246575</v>
      </c>
      <c r="Q16" s="65">
        <f>$F16*Outputs_Internal!N$52/12</f>
        <v>31.18721461187214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4268.75</v>
      </c>
      <c r="N17" s="65">
        <f>$F17*Outputs_Internal!K$52/12</f>
        <v>2093.4417808219177</v>
      </c>
      <c r="O17" s="65">
        <f>$F17*Outputs_Internal!L$52/12</f>
        <v>1769.8744292237443</v>
      </c>
      <c r="P17" s="65">
        <f>$F17*Outputs_Internal!M$52/12</f>
        <v>374.24657534246575</v>
      </c>
      <c r="Q17" s="65">
        <f>$F17*Outputs_Internal!N$52/12</f>
        <v>31.18721461187214</v>
      </c>
      <c r="S17" s="65">
        <f t="shared" si="2"/>
        <v>12806.25</v>
      </c>
      <c r="T17" s="65">
        <f t="shared" si="3"/>
        <v>6280.3253424657532</v>
      </c>
      <c r="U17" s="65">
        <f t="shared" si="4"/>
        <v>5309.6232876712329</v>
      </c>
      <c r="V17" s="65">
        <f t="shared" si="4"/>
        <v>1122.7397260273972</v>
      </c>
      <c r="W17" s="65">
        <f t="shared" si="4"/>
        <v>93.561643835616422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4268.75</v>
      </c>
      <c r="N18" s="65">
        <f>$F18*Outputs_Internal!K$52/12</f>
        <v>2093.4417808219177</v>
      </c>
      <c r="O18" s="65">
        <f>$F18*Outputs_Internal!L$52/12</f>
        <v>1769.8744292237443</v>
      </c>
      <c r="P18" s="65">
        <f>$F18*Outputs_Internal!M$52/12</f>
        <v>374.24657534246575</v>
      </c>
      <c r="Q18" s="65">
        <f>$F18*Outputs_Internal!N$52/12</f>
        <v>31.18721461187214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4268.75</v>
      </c>
      <c r="N19" s="65">
        <f>$F19*Outputs_Internal!K$52/12</f>
        <v>2093.4417808219177</v>
      </c>
      <c r="O19" s="65">
        <f>$F19*Outputs_Internal!L$52/12</f>
        <v>1769.8744292237443</v>
      </c>
      <c r="P19" s="65">
        <f>$F19*Outputs_Internal!M$52/12</f>
        <v>374.24657534246575</v>
      </c>
      <c r="Q19" s="65">
        <f>$F19*Outputs_Internal!N$52/12</f>
        <v>31.18721461187214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4268.75</v>
      </c>
      <c r="N20" s="65">
        <f>$F20*Outputs_Internal!K$52/12</f>
        <v>2093.4417808219177</v>
      </c>
      <c r="O20" s="65">
        <f>$F20*Outputs_Internal!L$52/12</f>
        <v>1769.8744292237443</v>
      </c>
      <c r="P20" s="65">
        <f>$F20*Outputs_Internal!M$52/12</f>
        <v>374.24657534246575</v>
      </c>
      <c r="Q20" s="65">
        <f>$F20*Outputs_Internal!N$52/12</f>
        <v>31.18721461187214</v>
      </c>
      <c r="S20" s="65">
        <f t="shared" si="2"/>
        <v>12806.25</v>
      </c>
      <c r="T20" s="65">
        <f t="shared" si="3"/>
        <v>6280.3253424657532</v>
      </c>
      <c r="U20" s="65">
        <f t="shared" si="4"/>
        <v>5309.6232876712329</v>
      </c>
      <c r="V20" s="65">
        <f t="shared" si="4"/>
        <v>1122.7397260273972</v>
      </c>
      <c r="W20" s="65">
        <f t="shared" si="4"/>
        <v>93.561643835616422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4268.75</v>
      </c>
      <c r="N21" s="65">
        <f>$F21*Outputs_Internal!K$52/12</f>
        <v>2093.4417808219177</v>
      </c>
      <c r="O21" s="65">
        <f>$F21*Outputs_Internal!L$52/12</f>
        <v>1769.8744292237443</v>
      </c>
      <c r="P21" s="65">
        <f>$F21*Outputs_Internal!M$52/12</f>
        <v>374.24657534246575</v>
      </c>
      <c r="Q21" s="65">
        <f>$F21*Outputs_Internal!N$52/12</f>
        <v>31.18721461187214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4268.75</v>
      </c>
      <c r="N22" s="65">
        <f>$F22*Outputs_Internal!K$52/12</f>
        <v>2093.4417808219177</v>
      </c>
      <c r="O22" s="65">
        <f>$F22*Outputs_Internal!L$52/12</f>
        <v>1769.8744292237443</v>
      </c>
      <c r="P22" s="65">
        <f>$F22*Outputs_Internal!M$52/12</f>
        <v>374.24657534246575</v>
      </c>
      <c r="Q22" s="65">
        <f>$F22*Outputs_Internal!N$52/12</f>
        <v>31.18721461187214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4268.75</v>
      </c>
      <c r="N23" s="65">
        <f>$F23*Outputs_Internal!K$52/12</f>
        <v>2093.4417808219177</v>
      </c>
      <c r="O23" s="65">
        <f>$F23*Outputs_Internal!L$52/12</f>
        <v>1769.8744292237443</v>
      </c>
      <c r="P23" s="65">
        <f>$F23*Outputs_Internal!M$52/12</f>
        <v>374.24657534246575</v>
      </c>
      <c r="Q23" s="65">
        <f>$F23*Outputs_Internal!N$52/12</f>
        <v>31.18721461187214</v>
      </c>
      <c r="S23" s="65">
        <f t="shared" si="2"/>
        <v>12806.25</v>
      </c>
      <c r="T23" s="65">
        <f t="shared" si="3"/>
        <v>6280.3253424657532</v>
      </c>
      <c r="U23" s="65">
        <f t="shared" si="4"/>
        <v>5309.6232876712329</v>
      </c>
      <c r="V23" s="65">
        <f t="shared" si="4"/>
        <v>1122.7397260273972</v>
      </c>
      <c r="W23" s="65">
        <f t="shared" si="4"/>
        <v>93.561643835616422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4268.75</v>
      </c>
      <c r="N24" s="65">
        <f>$F24*Outputs_Internal!K$52/12</f>
        <v>2093.4417808219177</v>
      </c>
      <c r="O24" s="65">
        <f>$F24*Outputs_Internal!L$52/12</f>
        <v>1769.8744292237443</v>
      </c>
      <c r="P24" s="65">
        <f>$F24*Outputs_Internal!M$52/12</f>
        <v>374.24657534246575</v>
      </c>
      <c r="Q24" s="65">
        <f>$F24*Outputs_Internal!N$52/12</f>
        <v>31.18721461187214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4268.75</v>
      </c>
      <c r="N25" s="65">
        <f>$F25*Outputs_Internal!K$52/12</f>
        <v>2093.4417808219177</v>
      </c>
      <c r="O25" s="65">
        <f>$F25*Outputs_Internal!L$52/12</f>
        <v>1769.8744292237443</v>
      </c>
      <c r="P25" s="65">
        <f>$F25*Outputs_Internal!M$52/12</f>
        <v>374.24657534246575</v>
      </c>
      <c r="Q25" s="65">
        <f>$F25*Outputs_Internal!N$52/12</f>
        <v>31.18721461187214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4268.75</v>
      </c>
      <c r="N26" s="65">
        <f>$F26*Outputs_Internal!K$52/12</f>
        <v>2093.4417808219177</v>
      </c>
      <c r="O26" s="65">
        <f>$F26*Outputs_Internal!L$52/12</f>
        <v>1769.8744292237443</v>
      </c>
      <c r="P26" s="65">
        <f>$F26*Outputs_Internal!M$52/12</f>
        <v>374.24657534246575</v>
      </c>
      <c r="Q26" s="65">
        <f>$F26*Outputs_Internal!N$52/12</f>
        <v>31.18721461187214</v>
      </c>
      <c r="S26" s="65">
        <f t="shared" si="2"/>
        <v>12806.25</v>
      </c>
      <c r="T26" s="65">
        <f t="shared" si="3"/>
        <v>6280.3253424657532</v>
      </c>
      <c r="U26" s="65">
        <f t="shared" si="4"/>
        <v>5309.6232876712329</v>
      </c>
      <c r="V26" s="65">
        <f t="shared" si="4"/>
        <v>1122.7397260273972</v>
      </c>
      <c r="W26" s="65">
        <f t="shared" si="4"/>
        <v>93.561643835616422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0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0</v>
      </c>
      <c r="N27" s="65">
        <f>$F27*Outputs_Internal!K$52/12</f>
        <v>0</v>
      </c>
      <c r="O27" s="65">
        <f>$F27*Outputs_Internal!L$52/12</f>
        <v>0</v>
      </c>
      <c r="P27" s="65">
        <f>$F27*Outputs_Internal!M$52/12</f>
        <v>0</v>
      </c>
      <c r="Q27" s="65">
        <f>$F27*Outputs_Internal!N$52/12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0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0</v>
      </c>
      <c r="N28" s="65">
        <f>$F28*Outputs_Internal!K$52/12</f>
        <v>0</v>
      </c>
      <c r="O28" s="65">
        <f>$F28*Outputs_Internal!L$52/12</f>
        <v>0</v>
      </c>
      <c r="P28" s="65">
        <f>$F28*Outputs_Internal!M$52/12</f>
        <v>0</v>
      </c>
      <c r="Q28" s="65">
        <f>$F28*Outputs_Internal!N$52/12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0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0</v>
      </c>
      <c r="N29" s="65">
        <f>$F29*Outputs_Internal!K$52/12</f>
        <v>0</v>
      </c>
      <c r="O29" s="65">
        <f>$F29*Outputs_Internal!L$52/12</f>
        <v>0</v>
      </c>
      <c r="P29" s="65">
        <f>$F29*Outputs_Internal!M$52/12</f>
        <v>0</v>
      </c>
      <c r="Q29" s="65">
        <f>$F29*Outputs_Internal!N$52/12</f>
        <v>0</v>
      </c>
      <c r="S29" s="65">
        <f t="shared" si="2"/>
        <v>0</v>
      </c>
      <c r="T29" s="65">
        <f t="shared" si="3"/>
        <v>0</v>
      </c>
      <c r="U29" s="65">
        <f t="shared" si="4"/>
        <v>0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0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0</v>
      </c>
      <c r="N30" s="65">
        <f>$F30*Outputs_Internal!K$52/12</f>
        <v>0</v>
      </c>
      <c r="O30" s="65">
        <f>$F30*Outputs_Internal!L$52/12</f>
        <v>0</v>
      </c>
      <c r="P30" s="65">
        <f>$F30*Outputs_Internal!M$52/12</f>
        <v>0</v>
      </c>
      <c r="Q30" s="65">
        <f>$F30*Outputs_Internal!N$52/12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0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0</v>
      </c>
      <c r="N31" s="65">
        <f>$F31*Outputs_Internal!K$52/12</f>
        <v>0</v>
      </c>
      <c r="O31" s="65">
        <f>$F31*Outputs_Internal!L$52/12</f>
        <v>0</v>
      </c>
      <c r="P31" s="65">
        <f>$F31*Outputs_Internal!M$52/12</f>
        <v>0</v>
      </c>
      <c r="Q31" s="65">
        <f>$F31*Outputs_Internal!N$52/12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0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0</v>
      </c>
      <c r="N32" s="65">
        <f>$F32*Outputs_Internal!K$52/12</f>
        <v>0</v>
      </c>
      <c r="O32" s="65">
        <f>$F32*Outputs_Internal!L$52/12</f>
        <v>0</v>
      </c>
      <c r="P32" s="65">
        <f>$F32*Outputs_Internal!M$52/12</f>
        <v>0</v>
      </c>
      <c r="Q32" s="65">
        <f>$F32*Outputs_Internal!N$52/12</f>
        <v>0</v>
      </c>
      <c r="S32" s="65">
        <f t="shared" si="2"/>
        <v>0</v>
      </c>
      <c r="T32" s="65">
        <f t="shared" si="3"/>
        <v>0</v>
      </c>
      <c r="U32" s="65">
        <f t="shared" si="4"/>
        <v>0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0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0</v>
      </c>
      <c r="N33" s="65">
        <f>$F33*Outputs_Internal!K$52/12</f>
        <v>0</v>
      </c>
      <c r="O33" s="65">
        <f>$F33*Outputs_Internal!L$52/12</f>
        <v>0</v>
      </c>
      <c r="P33" s="65">
        <f>$F33*Outputs_Internal!M$52/12</f>
        <v>0</v>
      </c>
      <c r="Q33" s="65">
        <f>$F33*Outputs_Internal!N$52/12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0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0</v>
      </c>
      <c r="N34" s="65">
        <f>$F34*Outputs_Internal!K$52/12</f>
        <v>0</v>
      </c>
      <c r="O34" s="65">
        <f>$F34*Outputs_Internal!L$52/12</f>
        <v>0</v>
      </c>
      <c r="P34" s="65">
        <f>$F34*Outputs_Internal!M$52/12</f>
        <v>0</v>
      </c>
      <c r="Q34" s="65">
        <f>$F34*Outputs_Internal!N$52/12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0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0</v>
      </c>
      <c r="N35" s="65">
        <f>$F35*Outputs_Internal!K$52/12</f>
        <v>0</v>
      </c>
      <c r="O35" s="65">
        <f>$F35*Outputs_Internal!L$52/12</f>
        <v>0</v>
      </c>
      <c r="P35" s="65">
        <f>$F35*Outputs_Internal!M$52/12</f>
        <v>0</v>
      </c>
      <c r="Q35" s="65">
        <f>$F35*Outputs_Internal!N$52/12</f>
        <v>0</v>
      </c>
      <c r="S35" s="65">
        <f t="shared" si="2"/>
        <v>0</v>
      </c>
      <c r="T35" s="65">
        <f t="shared" si="3"/>
        <v>0</v>
      </c>
      <c r="U35" s="65">
        <f t="shared" si="4"/>
        <v>0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0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0</v>
      </c>
      <c r="N36" s="65">
        <f>$F36*Outputs_Internal!K$52/12</f>
        <v>0</v>
      </c>
      <c r="O36" s="65">
        <f>$F36*Outputs_Internal!L$52/12</f>
        <v>0</v>
      </c>
      <c r="P36" s="65">
        <f>$F36*Outputs_Internal!M$52/12</f>
        <v>0</v>
      </c>
      <c r="Q36" s="65">
        <f>$F36*Outputs_Internal!N$52/12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0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0</v>
      </c>
      <c r="N37" s="65">
        <f>$F37*Outputs_Internal!K$52/12</f>
        <v>0</v>
      </c>
      <c r="O37" s="65">
        <f>$F37*Outputs_Internal!L$52/12</f>
        <v>0</v>
      </c>
      <c r="P37" s="65">
        <f>$F37*Outputs_Internal!M$52/12</f>
        <v>0</v>
      </c>
      <c r="Q37" s="65">
        <f>$F37*Outputs_Internal!N$52/12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0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0</v>
      </c>
      <c r="N38" s="65">
        <f>$F38*Outputs_Internal!K$52/12</f>
        <v>0</v>
      </c>
      <c r="O38" s="65">
        <f>$F38*Outputs_Internal!L$52/12</f>
        <v>0</v>
      </c>
      <c r="P38" s="65">
        <f>$F38*Outputs_Internal!M$52/12</f>
        <v>0</v>
      </c>
      <c r="Q38" s="65">
        <f>$F38*Outputs_Internal!N$52/12</f>
        <v>0</v>
      </c>
      <c r="S38" s="65">
        <f t="shared" si="2"/>
        <v>0</v>
      </c>
      <c r="T38" s="65">
        <f t="shared" si="3"/>
        <v>0</v>
      </c>
      <c r="U38" s="65">
        <f t="shared" si="4"/>
        <v>0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0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0</v>
      </c>
      <c r="N39" s="65">
        <f>$F39*Outputs_Internal!K$52/12</f>
        <v>0</v>
      </c>
      <c r="O39" s="65">
        <f>$F39*Outputs_Internal!L$52/12</f>
        <v>0</v>
      </c>
      <c r="P39" s="65">
        <f>$F39*Outputs_Internal!M$52/12</f>
        <v>0</v>
      </c>
      <c r="Q39" s="65">
        <f>$F39*Outputs_Internal!N$52/12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0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0</v>
      </c>
      <c r="N40" s="65">
        <f>$F40*Outputs_Internal!K$52/12</f>
        <v>0</v>
      </c>
      <c r="O40" s="65">
        <f>$F40*Outputs_Internal!L$52/12</f>
        <v>0</v>
      </c>
      <c r="P40" s="65">
        <f>$F40*Outputs_Internal!M$52/12</f>
        <v>0</v>
      </c>
      <c r="Q40" s="65">
        <f>$F40*Outputs_Internal!N$52/12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0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0</v>
      </c>
      <c r="N41" s="65">
        <f>$F41*Outputs_Internal!K$52/12</f>
        <v>0</v>
      </c>
      <c r="O41" s="65">
        <f>$F41*Outputs_Internal!L$52/12</f>
        <v>0</v>
      </c>
      <c r="P41" s="65">
        <f>$F41*Outputs_Internal!M$52/12</f>
        <v>0</v>
      </c>
      <c r="Q41" s="65">
        <f>$F41*Outputs_Internal!N$52/12</f>
        <v>0</v>
      </c>
      <c r="S41" s="65">
        <f t="shared" si="2"/>
        <v>0</v>
      </c>
      <c r="T41" s="65">
        <f t="shared" si="3"/>
        <v>0</v>
      </c>
      <c r="U41" s="65">
        <f t="shared" si="4"/>
        <v>0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0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0</v>
      </c>
      <c r="N42" s="65">
        <f>$F42*Outputs_Internal!K$52/12</f>
        <v>0</v>
      </c>
      <c r="O42" s="65">
        <f>$F42*Outputs_Internal!L$52/12</f>
        <v>0</v>
      </c>
      <c r="P42" s="65">
        <f>$F42*Outputs_Internal!M$52/12</f>
        <v>0</v>
      </c>
      <c r="Q42" s="65">
        <f>$F42*Outputs_Internal!N$52/12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0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0</v>
      </c>
      <c r="N43" s="65">
        <f>$F43*Outputs_Internal!K$52/12</f>
        <v>0</v>
      </c>
      <c r="O43" s="65">
        <f>$F43*Outputs_Internal!L$52/12</f>
        <v>0</v>
      </c>
      <c r="P43" s="65">
        <f>$F43*Outputs_Internal!M$52/12</f>
        <v>0</v>
      </c>
      <c r="Q43" s="65">
        <f>$F43*Outputs_Internal!N$52/12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0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0</v>
      </c>
      <c r="N44" s="65">
        <f>$F44*Outputs_Internal!K$52/12</f>
        <v>0</v>
      </c>
      <c r="O44" s="65">
        <f>$F44*Outputs_Internal!L$52/12</f>
        <v>0</v>
      </c>
      <c r="P44" s="65">
        <f>$F44*Outputs_Internal!M$52/12</f>
        <v>0</v>
      </c>
      <c r="Q44" s="65">
        <f>$F44*Outputs_Internal!N$52/12</f>
        <v>0</v>
      </c>
      <c r="S44" s="65">
        <f>IF(MOD(MONTH($B44),3)=0,SUM(H42:H44,M42:M44),0)</f>
        <v>0</v>
      </c>
      <c r="T44" s="65">
        <f t="shared" si="3"/>
        <v>0</v>
      </c>
      <c r="U44" s="65">
        <f t="shared" si="4"/>
        <v>0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$F45*Outputs_Internal!M$52/12</f>
        <v>0</v>
      </c>
      <c r="Q45" s="65">
        <f>$F45*Outputs_Internal!N$52/12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$F46*Outputs_Internal!M$52/12</f>
        <v>0</v>
      </c>
      <c r="Q46" s="65">
        <f>$F46*Outputs_Internal!N$52/12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$F47*Outputs_Internal!M$52/12</f>
        <v>0</v>
      </c>
      <c r="Q47" s="65">
        <f>$F47*Outputs_Internal!N$52/12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$F48*Outputs_Internal!M$52/12</f>
        <v>0</v>
      </c>
      <c r="Q48" s="65">
        <f>$F48*Outputs_Internal!N$52/12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$F49*Outputs_Internal!M$52/12</f>
        <v>0</v>
      </c>
      <c r="Q49" s="65">
        <f>$F49*Outputs_Internal!N$52/12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$F50*Outputs_Internal!M$52/12</f>
        <v>0</v>
      </c>
      <c r="Q50" s="65">
        <f>$F50*Outputs_Internal!N$52/12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$F51*Outputs_Internal!M$52/12</f>
        <v>0</v>
      </c>
      <c r="Q51" s="65">
        <f>$F51*Outputs_Internal!N$52/12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$F52*Outputs_Internal!M$52/12</f>
        <v>0</v>
      </c>
      <c r="Q52" s="65">
        <f>$F52*Outputs_Internal!N$52/12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$F53*Outputs_Internal!M$52/12</f>
        <v>0</v>
      </c>
      <c r="Q53" s="65">
        <f>$F53*Outputs_Internal!N$52/12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$F54*Outputs_Internal!M$52/12</f>
        <v>0</v>
      </c>
      <c r="Q54" s="65">
        <f>$F54*Outputs_Internal!N$52/12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$F55*Outputs_Internal!M$52/12</f>
        <v>0</v>
      </c>
      <c r="Q55" s="65">
        <f>$F55*Outputs_Internal!N$52/12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$F56*Outputs_Internal!M$52/12</f>
        <v>0</v>
      </c>
      <c r="Q56" s="65">
        <f>$F56*Outputs_Internal!N$52/12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$F57*Outputs_Internal!M$52/12</f>
        <v>0</v>
      </c>
      <c r="Q57" s="65">
        <f>$F57*Outputs_Internal!N$52/12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$F58*Outputs_Internal!M$52/12</f>
        <v>0</v>
      </c>
      <c r="Q58" s="65">
        <f>$F58*Outputs_Internal!N$52/12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$F59*Outputs_Internal!M$52/12</f>
        <v>0</v>
      </c>
      <c r="Q59" s="65">
        <f>$F59*Outputs_Internal!N$52/12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$F60*Outputs_Internal!M$52/12</f>
        <v>0</v>
      </c>
      <c r="Q60" s="65">
        <f>$F60*Outputs_Internal!N$52/12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$F61*Outputs_Internal!M$52/12</f>
        <v>0</v>
      </c>
      <c r="Q61" s="65">
        <f>$F61*Outputs_Internal!N$52/12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$F62*Outputs_Internal!M$52/12</f>
        <v>0</v>
      </c>
      <c r="Q62" s="65">
        <f>$F62*Outputs_Internal!N$52/12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$F63*Outputs_Internal!M$52/12</f>
        <v>0</v>
      </c>
      <c r="Q63" s="65">
        <f>$F63*Outputs_Internal!N$52/12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$F64*Outputs_Internal!M$52/12</f>
        <v>0</v>
      </c>
      <c r="Q64" s="65">
        <f>$F64*Outputs_Internal!N$52/12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$F65*Outputs_Internal!M$52/12</f>
        <v>0</v>
      </c>
      <c r="Q65" s="65">
        <f>$F65*Outputs_Internal!N$52/12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$F66*Outputs_Internal!M$52/12</f>
        <v>0</v>
      </c>
      <c r="Q66" s="65">
        <f>$F66*Outputs_Internal!N$52/12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$F67*Outputs_Internal!M$52/12</f>
        <v>0</v>
      </c>
      <c r="Q67" s="65">
        <f>$F67*Outputs_Internal!N$52/12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$F68*Outputs_Internal!M$52/12</f>
        <v>0</v>
      </c>
      <c r="Q68" s="65">
        <f>$F68*Outputs_Internal!N$52/12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$F69*Outputs_Internal!M$52/12</f>
        <v>0</v>
      </c>
      <c r="Q69" s="65">
        <f>$F69*Outputs_Internal!N$52/12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$F70*Outputs_Internal!M$52/12</f>
        <v>0</v>
      </c>
      <c r="Q70" s="65">
        <f>$F70*Outputs_Internal!N$52/12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$F71*Outputs_Internal!M$52/12</f>
        <v>0</v>
      </c>
      <c r="Q71" s="65">
        <f>$F71*Outputs_Internal!N$52/12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$F72*Outputs_Internal!M$52/12</f>
        <v>0</v>
      </c>
      <c r="Q72" s="65">
        <f>$F72*Outputs_Internal!N$52/12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$F73*Outputs_Internal!M$52/12</f>
        <v>0</v>
      </c>
      <c r="Q73" s="65">
        <f>$F73*Outputs_Internal!N$52/12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$F74*Outputs_Internal!M$52/12</f>
        <v>0</v>
      </c>
      <c r="Q74" s="65">
        <f>$F74*Outputs_Internal!N$52/12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$F75*Outputs_Internal!M$52/12</f>
        <v>0</v>
      </c>
      <c r="Q75" s="65">
        <f>$F75*Outputs_Internal!N$52/12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$F76*Outputs_Internal!M$52/12</f>
        <v>0</v>
      </c>
      <c r="Q76" s="65">
        <f>$F76*Outputs_Internal!N$52/12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$F77*Outputs_Internal!M$52/12</f>
        <v>0</v>
      </c>
      <c r="Q77" s="65">
        <f>$F77*Outputs_Internal!N$52/12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$F78*Outputs_Internal!M$52/12</f>
        <v>0</v>
      </c>
      <c r="Q78" s="65">
        <f>$F78*Outputs_Internal!N$52/12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$F79*Outputs_Internal!M$52/12</f>
        <v>0</v>
      </c>
      <c r="Q79" s="65">
        <f>$F79*Outputs_Internal!N$52/12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$F80*Outputs_Internal!M$52/12</f>
        <v>0</v>
      </c>
      <c r="Q80" s="65">
        <f>$F80*Outputs_Internal!N$52/12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$F81*Outputs_Internal!M$52/12</f>
        <v>0</v>
      </c>
      <c r="Q81" s="65">
        <f>$F81*Outputs_Internal!N$52/12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$F82*Outputs_Internal!M$52/12</f>
        <v>0</v>
      </c>
      <c r="Q82" s="65">
        <f>$F82*Outputs_Internal!N$52/12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$F83*Outputs_Internal!M$52/12</f>
        <v>0</v>
      </c>
      <c r="Q83" s="65">
        <f>$F83*Outputs_Internal!N$52/12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$F84*Outputs_Internal!M$52/12</f>
        <v>0</v>
      </c>
      <c r="Q84" s="65">
        <f>$F84*Outputs_Internal!N$52/12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$F85*Outputs_Internal!M$52/12</f>
        <v>0</v>
      </c>
      <c r="Q85" s="65">
        <f>$F85*Outputs_Internal!N$52/12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$F86*Outputs_Internal!M$52/12</f>
        <v>0</v>
      </c>
      <c r="Q86" s="65">
        <f>$F86*Outputs_Internal!N$52/12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$F87*Outputs_Internal!M$52/12</f>
        <v>0</v>
      </c>
      <c r="Q87" s="65">
        <f>$F87*Outputs_Internal!N$52/12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$F88*Outputs_Internal!M$52/12</f>
        <v>0</v>
      </c>
      <c r="Q88" s="65">
        <f>$F88*Outputs_Internal!N$52/12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$F89*Outputs_Internal!M$52/12</f>
        <v>0</v>
      </c>
      <c r="Q89" s="65">
        <f>$F89*Outputs_Internal!N$52/12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$F90*Outputs_Internal!M$52/12</f>
        <v>0</v>
      </c>
      <c r="Q90" s="65">
        <f>$F90*Outputs_Internal!N$52/12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$F91*Outputs_Internal!M$52/12</f>
        <v>0</v>
      </c>
      <c r="Q91" s="65">
        <f>$F91*Outputs_Internal!N$52/12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$F92*Outputs_Internal!M$52/12</f>
        <v>0</v>
      </c>
      <c r="Q92" s="65">
        <f>$F92*Outputs_Internal!N$52/12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$F93*Outputs_Internal!M$52/12</f>
        <v>0</v>
      </c>
      <c r="Q93" s="65">
        <f>$F93*Outputs_Internal!N$52/12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$F94*Outputs_Internal!M$52/12</f>
        <v>0</v>
      </c>
      <c r="Q94" s="65">
        <f>$F94*Outputs_Internal!N$52/12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67" activePane="bottomRight" state="frozen"/>
      <selection pane="topRight" activeCell="D1" sqref="D1"/>
      <selection pane="bottomLeft" activeCell="A3" sqref="A3"/>
      <selection pane="bottomRight" activeCell="D88" sqref="D88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6750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1000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4000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2000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2000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6000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4000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6750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2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33000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14000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54750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0)*SUM(Prices!C6,Prices!C20)*-1</f>
        <v>-3525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54750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2018-02-21T22:19:27Z</dcterms:modified>
</cp:coreProperties>
</file>