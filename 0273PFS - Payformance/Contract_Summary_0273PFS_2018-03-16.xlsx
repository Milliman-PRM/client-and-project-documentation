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ustom.xml" ContentType="application/vnd.openxmlformats-officedocument.custom-properties+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53222"/>
  <mc:AlternateContent xmlns:mc="http://schemas.openxmlformats.org/markup-compatibility/2006">
    <mc:Choice Requires="x15">
      <x15ac:absPath xmlns:x15ac="http://schemas.microsoft.com/office/spreadsheetml/2010/11/ac" url="C:\Users\bill.mckinley\Desktop\"/>
    </mc:Choice>
  </mc:AlternateContent>
  <bookViews>
    <workbookView xWindow="0" yWindow="0" windowWidth="20490" windowHeight="7020"/>
  </bookViews>
  <sheets>
    <sheet name="Contract Summary" sheetId="1" r:id="rId1"/>
    <sheet name="Transition Info" sheetId="11" r:id="rId2"/>
    <sheet name="Billing Schedule" sheetId="7" r:id="rId3"/>
    <sheet name="MI Price Sheet" sheetId="9" r:id="rId4"/>
    <sheet name="Allocations" sheetId="4" r:id="rId5"/>
    <sheet name="Lists" sheetId="2" state="hidden" r:id="rId6"/>
  </sheets>
  <externalReferences>
    <externalReference r:id="rId7"/>
  </externalReferences>
  <definedNames>
    <definedName name="Annual_Membership">'[1]MI License Price'!$A$4</definedName>
    <definedName name="Delivery_Selection">'MI Price Sheet'!#REF!</definedName>
    <definedName name="Original">Lists!$H$1:$H$4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2" i="11" l="1"/>
  <c r="A32" i="11"/>
  <c r="D29" i="11"/>
  <c r="D28" i="11"/>
  <c r="D32" i="11"/>
  <c r="D6" i="11"/>
  <c r="D5" i="11"/>
  <c r="B4" i="11"/>
  <c r="B5" i="11"/>
  <c r="B6" i="11"/>
  <c r="B19" i="11"/>
  <c r="D27" i="11"/>
  <c r="B29" i="11"/>
  <c r="D26" i="11"/>
  <c r="D25" i="11"/>
  <c r="N45" i="7"/>
  <c r="N44" i="7"/>
  <c r="N43" i="7"/>
  <c r="N42" i="7"/>
  <c r="N46" i="7"/>
  <c r="N41" i="7"/>
  <c r="N7" i="7"/>
  <c r="N36" i="7"/>
  <c r="N35" i="7"/>
  <c r="N34" i="7"/>
  <c r="N33" i="7"/>
  <c r="N32" i="7"/>
  <c r="N27" i="7"/>
  <c r="N26" i="7"/>
  <c r="N25" i="7"/>
  <c r="N24" i="7"/>
  <c r="N23" i="7"/>
  <c r="N18" i="7"/>
  <c r="N17" i="7"/>
  <c r="N16" i="7"/>
  <c r="N15" i="7"/>
  <c r="N14" i="7"/>
  <c r="N6" i="7"/>
  <c r="N9" i="7"/>
  <c r="N8" i="7"/>
  <c r="B32" i="11"/>
  <c r="N19" i="7"/>
  <c r="N37" i="7"/>
  <c r="N28" i="7"/>
  <c r="B28" i="11"/>
  <c r="B27" i="11"/>
  <c r="B26" i="11"/>
  <c r="B25" i="11"/>
  <c r="B24" i="11"/>
  <c r="B23" i="11"/>
  <c r="B22" i="11"/>
  <c r="B21" i="11"/>
  <c r="B20" i="11"/>
  <c r="B15" i="11"/>
  <c r="B14" i="11"/>
  <c r="B9" i="11"/>
  <c r="D3" i="11"/>
  <c r="B3" i="11"/>
  <c r="N5" i="7"/>
  <c r="N10" i="7"/>
</calcChain>
</file>

<file path=xl/comments1.xml><?xml version="1.0" encoding="utf-8"?>
<comments xmlns="http://schemas.openxmlformats.org/spreadsheetml/2006/main">
  <authors>
    <author>Nancy Zoelzer</author>
  </authors>
  <commentList>
    <comment ref="B14" authorId="0" shapeId="0">
      <text>
        <r>
          <rPr>
            <b/>
            <sz val="9"/>
            <color indexed="81"/>
            <rFont val="Tahoma"/>
            <family val="2"/>
          </rPr>
          <t>Nancy Zoelzer:</t>
        </r>
        <r>
          <rPr>
            <sz val="9"/>
            <color indexed="81"/>
            <rFont val="Tahoma"/>
            <family val="2"/>
          </rPr>
          <t xml:space="preserve">
Over write if initial membership is different from the member cap</t>
        </r>
      </text>
    </comment>
  </commentList>
</comments>
</file>

<file path=xl/sharedStrings.xml><?xml version="1.0" encoding="utf-8"?>
<sst xmlns="http://schemas.openxmlformats.org/spreadsheetml/2006/main" count="412" uniqueCount="235">
  <si>
    <t>CONTRACT FACE SHEET</t>
  </si>
  <si>
    <t>FACE SHEET COMPLETED BY:</t>
  </si>
  <si>
    <t>McKinley</t>
  </si>
  <si>
    <t>FACE SHEET APPROVED BY:</t>
  </si>
  <si>
    <t>Zoelzer</t>
  </si>
  <si>
    <t>Client Legal Name</t>
  </si>
  <si>
    <t>Payformance Solutions, Inc. (They're a subsidiary of Altarum)</t>
  </si>
  <si>
    <t>Client Code</t>
  </si>
  <si>
    <t>0273PFS01; 0009PFS01</t>
  </si>
  <si>
    <t>Client Abbreviated Name</t>
  </si>
  <si>
    <t xml:space="preserve">Payformance  </t>
  </si>
  <si>
    <t>Salesperson</t>
  </si>
  <si>
    <t>Type of contract</t>
  </si>
  <si>
    <t>New</t>
  </si>
  <si>
    <t>Contract Term (months)</t>
  </si>
  <si>
    <t>120 days after access to data</t>
  </si>
  <si>
    <t>Date contract was fully executed by both parties</t>
  </si>
  <si>
    <t>Current Contract/ Amendment eff date</t>
  </si>
  <si>
    <t>Original Contract eff date</t>
  </si>
  <si>
    <t>Contract/Amendment end date</t>
  </si>
  <si>
    <t>Who approved business terms</t>
  </si>
  <si>
    <t>Jason Altieri</t>
  </si>
  <si>
    <t>Assigned project manager</t>
  </si>
  <si>
    <t>Milliman contract signer</t>
  </si>
  <si>
    <t>Rich Moyer</t>
  </si>
  <si>
    <t>Who approved legal terms</t>
  </si>
  <si>
    <t>Jay Spencer</t>
  </si>
  <si>
    <t>Products/Services are part of this contract</t>
  </si>
  <si>
    <t>Consulting</t>
  </si>
  <si>
    <t>Market segment</t>
  </si>
  <si>
    <t>Other - Misc</t>
  </si>
  <si>
    <t>Payer Segment Details:</t>
  </si>
  <si>
    <t>Provider Segment Details:</t>
  </si>
  <si>
    <t xml:space="preserve">     BCBS</t>
  </si>
  <si>
    <t>No</t>
  </si>
  <si>
    <t xml:space="preserve">     ACO - Commercial</t>
  </si>
  <si>
    <t xml:space="preserve">     Commercial</t>
  </si>
  <si>
    <t xml:space="preserve">     ACO - Medicaid</t>
  </si>
  <si>
    <t xml:space="preserve">     Exchange</t>
  </si>
  <si>
    <t xml:space="preserve">     ACO - MSSP</t>
  </si>
  <si>
    <t xml:space="preserve">     Medicaid</t>
  </si>
  <si>
    <t xml:space="preserve">     ACO - Next Gen</t>
  </si>
  <si>
    <t xml:space="preserve">     Medicare</t>
  </si>
  <si>
    <t xml:space="preserve">     Health System</t>
  </si>
  <si>
    <t xml:space="preserve">     Provider Sponsored</t>
  </si>
  <si>
    <t>Client Contract Owner</t>
  </si>
  <si>
    <t>Client Billing Contact</t>
  </si>
  <si>
    <t>Name</t>
  </si>
  <si>
    <t>Brett Furst</t>
  </si>
  <si>
    <t>Kevin Mehta</t>
  </si>
  <si>
    <t>Title</t>
  </si>
  <si>
    <t>CEO</t>
  </si>
  <si>
    <t>CTO</t>
  </si>
  <si>
    <t>Address (if applicable)</t>
  </si>
  <si>
    <t>3520 Green Ct, #300; Ann Arbor, MI; 48015</t>
  </si>
  <si>
    <t>Email</t>
  </si>
  <si>
    <t>brett@foresightventures.net</t>
  </si>
  <si>
    <t>Kevin.Mehta@payformancesolutions.com</t>
  </si>
  <si>
    <t>Phone</t>
  </si>
  <si>
    <t>248-496-2584</t>
  </si>
  <si>
    <t>Contract Notification Contact</t>
  </si>
  <si>
    <t>Legal Dept</t>
  </si>
  <si>
    <t>3520 Green Ct., #300; Ann Arbor, MI; 48015</t>
  </si>
  <si>
    <t xml:space="preserve">Address </t>
  </si>
  <si>
    <t>If MedInsight contract, what Milliman components are included</t>
  </si>
  <si>
    <t>If Tools contract, what products are included</t>
  </si>
  <si>
    <t>HCGs</t>
  </si>
  <si>
    <t>HCG Grouper</t>
  </si>
  <si>
    <t>Benchmarks</t>
  </si>
  <si>
    <t>CCHGs</t>
  </si>
  <si>
    <t>CCHG Grouper</t>
  </si>
  <si>
    <t>EBMs</t>
  </si>
  <si>
    <t>HECS</t>
  </si>
  <si>
    <t>GlobalRVUs</t>
  </si>
  <si>
    <t>Medicare Repricer</t>
  </si>
  <si>
    <t>Waste Calculator</t>
  </si>
  <si>
    <t>Guideline Analytics</t>
  </si>
  <si>
    <t>Solutions included in this contract (MedInsight only)</t>
  </si>
  <si>
    <t>EGR Solution</t>
  </si>
  <si>
    <t>Care Mgmt Solution</t>
  </si>
  <si>
    <t>List third party tools in this contract</t>
  </si>
  <si>
    <t>MEGs</t>
  </si>
  <si>
    <t>MARA</t>
  </si>
  <si>
    <t>ETGs</t>
  </si>
  <si>
    <t>ERG</t>
  </si>
  <si>
    <t>MS-DRG</t>
  </si>
  <si>
    <t>DxCG</t>
  </si>
  <si>
    <t>CMS-HCC</t>
  </si>
  <si>
    <t>CDPS</t>
  </si>
  <si>
    <t>Standard MedInsight contract?</t>
  </si>
  <si>
    <t>Yes</t>
  </si>
  <si>
    <t>If yes, are there revisions?</t>
  </si>
  <si>
    <t>List major contract revisions - terms and SLAs</t>
  </si>
  <si>
    <t>This is a license for a pilot for PRM data analysis, this is a one time event on the state of Michigan data. Once we receive final approval from the state of Michigan that we may use their data (we currently receive it in the Indy office for consulting purposes) for this pilot, it will commence. If successful, a full license will be executed with Altarum / Payformance for broader utilization.</t>
  </si>
  <si>
    <t>Rights to client's data?</t>
  </si>
  <si>
    <t>BAA attached w contract?</t>
  </si>
  <si>
    <r>
      <t xml:space="preserve">Minimum contract reqs in place?
</t>
    </r>
    <r>
      <rPr>
        <b/>
        <sz val="9"/>
        <color theme="1"/>
        <rFont val="Calibri"/>
        <family val="2"/>
        <scheme val="minor"/>
      </rPr>
      <t>Limit of Liability, Dispute Resolution, Third Party Distribution</t>
    </r>
  </si>
  <si>
    <t>Membership cap at beginning of contract</t>
  </si>
  <si>
    <t>Membership limits/how are membership increases handled in contract</t>
  </si>
  <si>
    <t>NA</t>
  </si>
  <si>
    <t>Termination without cause provision?</t>
  </si>
  <si>
    <t>Payment Terms</t>
  </si>
  <si>
    <t>net 30</t>
  </si>
  <si>
    <t>Revenue type</t>
  </si>
  <si>
    <t>1-time</t>
  </si>
  <si>
    <t>Total guaranteed value of contract</t>
  </si>
  <si>
    <t>List persons who should receive a copy of face sheet and fully executed contract</t>
  </si>
  <si>
    <t>Pedersen, Zoelzer, Leonardo, Turner, Andersen, Fessler, Suelzle, Watson, Altieri
If Tools, include Fox, Dachary</t>
  </si>
  <si>
    <t>Did a Milliman (non MedInsight) consultant help with this sale?</t>
  </si>
  <si>
    <t>Cross Credit Terms (if any) and Consultant Name</t>
  </si>
  <si>
    <t>Renewal Type</t>
  </si>
  <si>
    <t>Non Automatic</t>
  </si>
  <si>
    <t>Renewal Inflator %</t>
  </si>
  <si>
    <t>Renewal Notification Period</t>
  </si>
  <si>
    <t>Other</t>
  </si>
  <si>
    <t>Renewal Term</t>
  </si>
  <si>
    <t>Miscellaneous Notes</t>
  </si>
  <si>
    <t>This pilot is a one time event. There isn't anything added to the Price Sheet or Allocation tabs as PRM is not part of the Pricer + this is simply a PRM Pilot.</t>
  </si>
  <si>
    <t># of authorized users</t>
  </si>
  <si>
    <t>Face Sheet Version</t>
  </si>
  <si>
    <t>Original</t>
  </si>
  <si>
    <t>v.20171016</t>
  </si>
  <si>
    <t>Transition to Implementation Info</t>
  </si>
  <si>
    <t>To be completed for all MedInsight contracts requiring implementation</t>
  </si>
  <si>
    <t>Org Contract effective date</t>
  </si>
  <si>
    <t>Contract/amendment end date</t>
  </si>
  <si>
    <t>Implementation Start Date, if stated in contract</t>
  </si>
  <si>
    <t>As soon as possible</t>
  </si>
  <si>
    <t>Implementation End Date, if stated in contract</t>
  </si>
  <si>
    <t>Are there penalties or incentives associated with implementation?</t>
  </si>
  <si>
    <t>Describe implementation penalties or incentives</t>
  </si>
  <si>
    <t>Milliman Project Manager</t>
  </si>
  <si>
    <t>Client Executive Sponsor</t>
  </si>
  <si>
    <t>Main Client Contacts during sale
(name, title)</t>
  </si>
  <si>
    <t>Brett Furst, CEO of Foresight Ventures, Kevin Mehta, CTO of Payformance Solutions, Inc.</t>
  </si>
  <si>
    <t>Client Key Objectives and Business Issues</t>
  </si>
  <si>
    <t>Evaluate the State of Michigan's data and identify / predict areas for improvement around cost, efficiency, etc.</t>
  </si>
  <si>
    <t>Key Discussion Topics</t>
  </si>
  <si>
    <t>Waiting on the State of Michigan to approve use of their data for this pilot, discussion lead is the client</t>
  </si>
  <si>
    <t>Client Lines of Business (IMPORTANT)</t>
  </si>
  <si>
    <t>Data Refresh Frequency</t>
  </si>
  <si>
    <t>Initial Membership</t>
  </si>
  <si>
    <t>Number of users</t>
  </si>
  <si>
    <t>Non-client-employee users? If yes, describe</t>
  </si>
  <si>
    <t>Initial # Years History to Load</t>
  </si>
  <si>
    <t>Number of data suppliers</t>
  </si>
  <si>
    <t>List Non Standard File Types (ie lab, EMR, premiums, authorizations)</t>
  </si>
  <si>
    <t>Any capitation arrangements? If yes, does the encounter data come with the claims file, or separately?</t>
  </si>
  <si>
    <t>Components/Methodologies Included:</t>
  </si>
  <si>
    <t>IBNR</t>
  </si>
  <si>
    <t>IBNR - Milliman Calculated</t>
  </si>
  <si>
    <t>IBNR - Client Provided</t>
  </si>
  <si>
    <t>Physician Attribution</t>
  </si>
  <si>
    <t>Methodology, if known</t>
  </si>
  <si>
    <t>Non Standard:</t>
  </si>
  <si>
    <t>ERGs</t>
  </si>
  <si>
    <t>CDPS (Medicaid only)</t>
  </si>
  <si>
    <t>MS-DRGs</t>
  </si>
  <si>
    <t>CMS HCC</t>
  </si>
  <si>
    <t>DRGs Client Provided</t>
  </si>
  <si>
    <t>Solutions included in this contract</t>
  </si>
  <si>
    <t>Other Information</t>
  </si>
  <si>
    <t>Outbound extracts required?</t>
  </si>
  <si>
    <t>Describe required extracts</t>
  </si>
  <si>
    <t>Transport database required?</t>
  </si>
  <si>
    <t>Claims Audit Included?</t>
  </si>
  <si>
    <t>Other Information relevent to implementation</t>
  </si>
  <si>
    <t>Implementation billing will be based on work completed previous month. The amounts in the below schedule are just estimates.</t>
  </si>
  <si>
    <t>2017 Billing Schedule</t>
  </si>
  <si>
    <t>Item</t>
  </si>
  <si>
    <t>Jan</t>
  </si>
  <si>
    <t>Feb</t>
  </si>
  <si>
    <t>Mar</t>
  </si>
  <si>
    <t>Apr</t>
  </si>
  <si>
    <t>May</t>
  </si>
  <si>
    <t>Jun</t>
  </si>
  <si>
    <t>Jul</t>
  </si>
  <si>
    <t>Aug</t>
  </si>
  <si>
    <t>Sep</t>
  </si>
  <si>
    <t>Oct</t>
  </si>
  <si>
    <t>Nov</t>
  </si>
  <si>
    <t>Dec</t>
  </si>
  <si>
    <t>Totals</t>
  </si>
  <si>
    <t>License Total</t>
  </si>
  <si>
    <t>Implementation</t>
  </si>
  <si>
    <t>SaaS</t>
  </si>
  <si>
    <t>SaaS - Milwaukee</t>
  </si>
  <si>
    <t>SaaS - San Diego</t>
  </si>
  <si>
    <t>Total</t>
  </si>
  <si>
    <t>2018 Billing Schedule</t>
  </si>
  <si>
    <t>2019 Billing Schedule</t>
  </si>
  <si>
    <t>2020 Billing Schedule</t>
  </si>
  <si>
    <t>2021 Billing Schedule</t>
  </si>
  <si>
    <t>Wallace</t>
  </si>
  <si>
    <t>MedInsight</t>
  </si>
  <si>
    <t>Payer</t>
  </si>
  <si>
    <t>Recurring</t>
  </si>
  <si>
    <t>Automatic with Inflator</t>
  </si>
  <si>
    <t>30 days</t>
  </si>
  <si>
    <t>Milliman</t>
  </si>
  <si>
    <t>Renewal</t>
  </si>
  <si>
    <t>Tools</t>
  </si>
  <si>
    <t>Provider</t>
  </si>
  <si>
    <t>net 45</t>
  </si>
  <si>
    <t>Original - revised</t>
  </si>
  <si>
    <t>60 days</t>
  </si>
  <si>
    <t>Client</t>
  </si>
  <si>
    <t>CSA</t>
  </si>
  <si>
    <t>Fessler</t>
  </si>
  <si>
    <t>Government - City</t>
  </si>
  <si>
    <t>net 60</t>
  </si>
  <si>
    <t>90 days</t>
  </si>
  <si>
    <t>Unknown</t>
  </si>
  <si>
    <t>Amendment</t>
  </si>
  <si>
    <t>Pedersen</t>
  </si>
  <si>
    <t>Government - County</t>
  </si>
  <si>
    <t>net 90</t>
  </si>
  <si>
    <t>120 days</t>
  </si>
  <si>
    <t>Christiansen</t>
  </si>
  <si>
    <t>Government - Federal</t>
  </si>
  <si>
    <t>other</t>
  </si>
  <si>
    <t>150 days</t>
  </si>
  <si>
    <t>State - Employer</t>
  </si>
  <si>
    <t>180 days</t>
  </si>
  <si>
    <t>State - Medicaid</t>
  </si>
  <si>
    <t>State - Exchange</t>
  </si>
  <si>
    <t>Multi Payer - APCD</t>
  </si>
  <si>
    <t>Multi Payer - Coalition</t>
  </si>
  <si>
    <t>Employer - Small</t>
  </si>
  <si>
    <t>Employer - Medium</t>
  </si>
  <si>
    <t>Employer - Large</t>
  </si>
  <si>
    <t>Employer - Union</t>
  </si>
  <si>
    <t>Other - TPA</t>
  </si>
  <si>
    <t>Other - Milliman</t>
  </si>
  <si>
    <t>Other - Global Supplier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</si>
</sst>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quot;$&quot;#,##0.00"/>
  </numFmts>
  <fonts count="21">
    <font>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sz val="8"/>
      <color theme="1"/>
      <name val="Calibri"/>
      <family val="2"/>
      <scheme val="minor"/>
    </font>
    <font>
      <sz val="26"/>
      <color theme="0"/>
      <name val="Calibri"/>
      <family val="2"/>
      <scheme val="minor"/>
    </font>
    <font>
      <b/>
      <sz val="9"/>
      <color theme="1"/>
      <name val="Calibri"/>
      <family val="2"/>
      <scheme val="minor"/>
    </font>
    <font>
      <sz val="11"/>
      <name val="Calibri"/>
      <family val="2"/>
    </font>
    <font>
      <b/>
      <sz val="11"/>
      <name val="Calibri"/>
      <family val="2"/>
    </font>
    <font>
      <sz val="8"/>
      <color rgb="FFFF0000"/>
      <name val="Calibri"/>
      <family val="2"/>
      <scheme val="minor"/>
    </font>
    <font>
      <u/>
      <sz val="10"/>
      <color theme="10"/>
      <name val="Calibri"/>
      <family val="2"/>
      <scheme val="minor"/>
    </font>
    <font>
      <sz val="10"/>
      <color rgb="FFFF0000"/>
      <name val="Calibri"/>
      <family val="2"/>
      <scheme val="minor"/>
    </font>
    <font>
      <b/>
      <sz val="9"/>
      <color indexed="81"/>
      <name val="Tahoma"/>
      <family val="2"/>
    </font>
    <font>
      <sz val="9"/>
      <color indexed="81"/>
      <name val="Tahoma"/>
      <family val="2"/>
    </font>
    <font>
      <sz val="10"/>
      <color theme="0"/>
      <name val="Calibri"/>
      <family val="2"/>
      <scheme val="minor"/>
    </font>
    <font>
      <b/>
      <sz val="14"/>
      <color theme="1"/>
      <name val="Calibri"/>
      <family val="2"/>
      <scheme val="minor"/>
    </font>
    <font>
      <sz val="11"/>
      <color rgb="FF1F497D"/>
      <name val="Calibri"/>
      <family val="2"/>
      <scheme val="minor"/>
    </font>
    <font>
      <u/>
      <sz val="9"/>
      <color rgb="FF0000FF"/>
      <name val="Calibri"/>
      <family val="2"/>
      <scheme val="minor"/>
    </font>
    <font>
      <sz val="9"/>
      <color rgb="FF002060"/>
      <name val="Calibri"/>
      <family val="2"/>
      <scheme val="minor"/>
    </font>
    <font>
      <u/>
      <sz val="8"/>
      <color theme="10"/>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1"/>
        <bgColor indexed="64"/>
      </patternFill>
    </fill>
    <fill>
      <patternFill patternType="solid">
        <fgColor rgb="FF00206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15">
    <xf numFmtId="0" fontId="0" fillId="0" borderId="0" xfId="0"/>
    <xf numFmtId="0" fontId="3" fillId="0" borderId="0" xfId="0" applyFont="1"/>
    <xf numFmtId="0" fontId="7" fillId="5" borderId="1" xfId="0" applyFont="1" applyFill="1" applyBorder="1"/>
    <xf numFmtId="0" fontId="5" fillId="0" borderId="1" xfId="0" applyFont="1" applyBorder="1" applyAlignment="1" applyProtection="1">
      <alignment wrapText="1"/>
      <protection locked="0"/>
    </xf>
    <xf numFmtId="0" fontId="2" fillId="2" borderId="1" xfId="0" applyFont="1" applyFill="1" applyBorder="1" applyAlignment="1" applyProtection="1">
      <alignment horizontal="right" wrapText="1"/>
      <protection locked="0"/>
    </xf>
    <xf numFmtId="0" fontId="10" fillId="0" borderId="5" xfId="0" applyFont="1" applyBorder="1" applyAlignment="1" applyProtection="1">
      <alignment wrapText="1"/>
      <protection locked="0"/>
    </xf>
    <xf numFmtId="0" fontId="0" fillId="0" borderId="0" xfId="0" applyProtection="1">
      <protection locked="0"/>
    </xf>
    <xf numFmtId="0" fontId="7" fillId="5" borderId="1" xfId="0" applyFont="1" applyFill="1" applyBorder="1" applyProtection="1">
      <protection locked="0"/>
    </xf>
    <xf numFmtId="0" fontId="3" fillId="0" borderId="1" xfId="0" applyFont="1" applyBorder="1" applyProtection="1">
      <protection locked="0"/>
    </xf>
    <xf numFmtId="0" fontId="3" fillId="0" borderId="0" xfId="0" applyFont="1" applyProtection="1">
      <protection locked="0"/>
    </xf>
    <xf numFmtId="164" fontId="5" fillId="0" borderId="0" xfId="0" applyNumberFormat="1" applyFont="1" applyProtection="1">
      <protection locked="0"/>
    </xf>
    <xf numFmtId="0" fontId="8" fillId="0" borderId="0" xfId="0" applyFont="1" applyAlignment="1" applyProtection="1">
      <alignment horizontal="center"/>
      <protection locked="0"/>
    </xf>
    <xf numFmtId="0" fontId="9" fillId="0" borderId="0" xfId="0" applyFont="1" applyAlignment="1" applyProtection="1">
      <alignment horizontal="center"/>
      <protection locked="0"/>
    </xf>
    <xf numFmtId="0" fontId="8" fillId="0" borderId="0" xfId="0" applyFont="1" applyProtection="1">
      <protection locked="0"/>
    </xf>
    <xf numFmtId="0" fontId="1" fillId="0" borderId="1" xfId="0" applyFont="1" applyBorder="1" applyAlignment="1" applyProtection="1">
      <alignment vertical="top" wrapText="1"/>
      <protection locked="0"/>
    </xf>
    <xf numFmtId="0" fontId="2" fillId="2" borderId="4" xfId="0" applyFont="1" applyFill="1" applyBorder="1" applyAlignment="1" applyProtection="1">
      <alignment vertical="top" wrapText="1"/>
      <protection locked="0"/>
    </xf>
    <xf numFmtId="0" fontId="1" fillId="0" borderId="1" xfId="0" applyFont="1" applyBorder="1" applyAlignment="1" applyProtection="1">
      <alignment vertical="top"/>
      <protection locked="0"/>
    </xf>
    <xf numFmtId="0" fontId="2" fillId="2" borderId="1" xfId="0" applyFont="1" applyFill="1" applyBorder="1" applyAlignment="1" applyProtection="1">
      <alignment vertical="top" wrapText="1"/>
      <protection locked="0"/>
    </xf>
    <xf numFmtId="0" fontId="7" fillId="2" borderId="1" xfId="0" applyFont="1" applyFill="1" applyBorder="1" applyAlignment="1" applyProtection="1">
      <alignment vertical="top" wrapText="1"/>
      <protection locked="0"/>
    </xf>
    <xf numFmtId="0" fontId="5" fillId="0" borderId="5" xfId="0" applyFont="1" applyBorder="1" applyAlignment="1" applyProtection="1">
      <alignment vertical="top" wrapText="1"/>
      <protection locked="0"/>
    </xf>
    <xf numFmtId="0" fontId="3" fillId="0" borderId="5" xfId="0" applyFont="1" applyBorder="1" applyAlignment="1" applyProtection="1">
      <alignment vertical="top" wrapText="1"/>
      <protection locked="0"/>
    </xf>
    <xf numFmtId="0" fontId="2" fillId="2" borderId="7" xfId="0" applyFont="1" applyFill="1" applyBorder="1" applyAlignment="1" applyProtection="1">
      <alignment vertical="top" wrapText="1"/>
      <protection locked="0"/>
    </xf>
    <xf numFmtId="0" fontId="1" fillId="0" borderId="0" xfId="0" applyFont="1" applyAlignment="1">
      <alignment horizontal="left" vertical="top" wrapText="1"/>
    </xf>
    <xf numFmtId="0" fontId="1" fillId="0" borderId="5" xfId="0" applyNumberFormat="1" applyFont="1" applyBorder="1" applyAlignment="1" applyProtection="1">
      <alignment horizontal="left" vertical="top" wrapText="1"/>
      <protection locked="0"/>
    </xf>
    <xf numFmtId="14" fontId="1" fillId="0" borderId="1" xfId="0" applyNumberFormat="1" applyFont="1" applyBorder="1" applyAlignment="1" applyProtection="1">
      <alignment horizontal="left" vertical="top" wrapText="1"/>
      <protection locked="0"/>
    </xf>
    <xf numFmtId="3" fontId="1" fillId="0" borderId="1" xfId="0" applyNumberFormat="1" applyFont="1" applyBorder="1" applyAlignment="1">
      <alignment horizontal="left" vertical="top" wrapText="1"/>
    </xf>
    <xf numFmtId="0" fontId="2" fillId="2" borderId="1" xfId="0" applyFont="1" applyFill="1" applyBorder="1" applyAlignment="1" applyProtection="1">
      <alignment horizontal="left" vertical="top" wrapText="1" indent="3"/>
      <protection locked="0"/>
    </xf>
    <xf numFmtId="0" fontId="1" fillId="0" borderId="1" xfId="0" applyFont="1" applyBorder="1" applyAlignment="1">
      <alignment vertical="top" wrapText="1"/>
    </xf>
    <xf numFmtId="0" fontId="1" fillId="6" borderId="1" xfId="0" applyFont="1" applyFill="1" applyBorder="1" applyAlignment="1">
      <alignment horizontal="left" vertical="top" wrapText="1"/>
    </xf>
    <xf numFmtId="0" fontId="2" fillId="2" borderId="3" xfId="0" applyFont="1" applyFill="1" applyBorder="1" applyAlignment="1" applyProtection="1">
      <alignment horizontal="left" vertical="top" wrapText="1"/>
      <protection locked="0"/>
    </xf>
    <xf numFmtId="165" fontId="5" fillId="0" borderId="1" xfId="0" applyNumberFormat="1" applyFont="1" applyBorder="1" applyProtection="1">
      <protection locked="0"/>
    </xf>
    <xf numFmtId="165" fontId="0" fillId="0" borderId="1" xfId="0" applyNumberFormat="1" applyBorder="1"/>
    <xf numFmtId="0" fontId="16" fillId="0" borderId="0" xfId="0" applyFont="1"/>
    <xf numFmtId="164" fontId="16" fillId="0" borderId="0" xfId="0" applyNumberFormat="1" applyFont="1" applyProtection="1">
      <protection locked="0"/>
    </xf>
    <xf numFmtId="0" fontId="16" fillId="0" borderId="0" xfId="0" applyNumberFormat="1" applyFont="1" applyAlignment="1" applyProtection="1">
      <alignment horizontal="left"/>
      <protection locked="0"/>
    </xf>
    <xf numFmtId="164" fontId="16" fillId="0" borderId="0" xfId="0" applyNumberFormat="1" applyFont="1"/>
    <xf numFmtId="3" fontId="1" fillId="0" borderId="16" xfId="0" applyNumberFormat="1" applyFont="1" applyBorder="1" applyAlignment="1" applyProtection="1">
      <alignment vertical="top" wrapText="1"/>
      <protection locked="0"/>
    </xf>
    <xf numFmtId="0" fontId="2" fillId="2" borderId="4" xfId="0" applyFont="1" applyFill="1" applyBorder="1" applyAlignment="1" applyProtection="1">
      <alignment vertical="center" wrapText="1"/>
      <protection locked="0"/>
    </xf>
    <xf numFmtId="3" fontId="1" fillId="0" borderId="1" xfId="0" applyNumberFormat="1" applyFont="1" applyBorder="1" applyAlignment="1" applyProtection="1">
      <alignment vertical="top" wrapText="1"/>
      <protection locked="0"/>
    </xf>
    <xf numFmtId="0" fontId="1" fillId="0" borderId="0" xfId="0" applyFont="1" applyAlignment="1">
      <alignment wrapText="1"/>
    </xf>
    <xf numFmtId="0" fontId="2" fillId="2" borderId="14" xfId="0" applyFont="1" applyFill="1" applyBorder="1" applyAlignment="1" applyProtection="1">
      <alignment vertical="top" wrapText="1"/>
      <protection locked="0"/>
    </xf>
    <xf numFmtId="0" fontId="2" fillId="2" borderId="15" xfId="0" applyFont="1" applyFill="1" applyBorder="1" applyAlignment="1" applyProtection="1">
      <alignment vertical="top" wrapText="1"/>
      <protection locked="0"/>
    </xf>
    <xf numFmtId="14" fontId="1" fillId="0" borderId="5" xfId="0" applyNumberFormat="1" applyFont="1" applyBorder="1" applyAlignment="1" applyProtection="1">
      <alignment vertical="top" wrapText="1"/>
      <protection locked="0"/>
    </xf>
    <xf numFmtId="0" fontId="1" fillId="0" borderId="5" xfId="0" applyFont="1" applyBorder="1" applyAlignment="1" applyProtection="1">
      <alignment vertical="top" wrapText="1"/>
      <protection locked="0"/>
    </xf>
    <xf numFmtId="0" fontId="2" fillId="2" borderId="4" xfId="0" applyFont="1" applyFill="1" applyBorder="1" applyAlignment="1" applyProtection="1">
      <alignment horizontal="right" wrapText="1"/>
      <protection locked="0"/>
    </xf>
    <xf numFmtId="0" fontId="11" fillId="0" borderId="1" xfId="1" applyFont="1" applyBorder="1" applyAlignment="1" applyProtection="1">
      <alignment wrapText="1"/>
      <protection locked="0"/>
    </xf>
    <xf numFmtId="0" fontId="2" fillId="2" borderId="4" xfId="0" applyFont="1" applyFill="1" applyBorder="1" applyAlignment="1" applyProtection="1">
      <alignment horizontal="right" vertical="top" wrapText="1"/>
      <protection locked="0"/>
    </xf>
    <xf numFmtId="0" fontId="2" fillId="2" borderId="1" xfId="0" applyFont="1" applyFill="1" applyBorder="1" applyAlignment="1" applyProtection="1">
      <alignment horizontal="right" vertical="top" wrapText="1"/>
      <protection locked="0"/>
    </xf>
    <xf numFmtId="0" fontId="2" fillId="2" borderId="12" xfId="0" applyFont="1" applyFill="1" applyBorder="1" applyAlignment="1" applyProtection="1">
      <alignment horizontal="right" vertical="top" wrapText="1"/>
      <protection locked="0"/>
    </xf>
    <xf numFmtId="0" fontId="2" fillId="2" borderId="2" xfId="0" applyFont="1" applyFill="1" applyBorder="1" applyAlignment="1" applyProtection="1">
      <alignment horizontal="right" vertical="top" wrapText="1"/>
      <protection locked="0"/>
    </xf>
    <xf numFmtId="0" fontId="1" fillId="3" borderId="4" xfId="0" applyFont="1" applyFill="1" applyBorder="1" applyAlignment="1" applyProtection="1">
      <alignment wrapText="1"/>
      <protection locked="0"/>
    </xf>
    <xf numFmtId="0" fontId="1" fillId="3" borderId="1" xfId="0" applyFont="1" applyFill="1" applyBorder="1" applyAlignment="1" applyProtection="1">
      <alignment wrapText="1"/>
      <protection locked="0"/>
    </xf>
    <xf numFmtId="0" fontId="1" fillId="3" borderId="5" xfId="0" applyFont="1" applyFill="1" applyBorder="1" applyAlignment="1" applyProtection="1">
      <alignment wrapText="1"/>
      <protection locked="0"/>
    </xf>
    <xf numFmtId="0" fontId="1" fillId="0" borderId="5" xfId="0" applyFont="1" applyBorder="1" applyAlignment="1" applyProtection="1">
      <alignment wrapText="1"/>
      <protection locked="0"/>
    </xf>
    <xf numFmtId="0" fontId="2" fillId="0" borderId="1" xfId="0" applyFont="1" applyBorder="1" applyAlignment="1" applyProtection="1">
      <alignment vertical="top" wrapText="1"/>
      <protection locked="0"/>
    </xf>
    <xf numFmtId="164" fontId="1" fillId="0" borderId="5" xfId="0" applyNumberFormat="1" applyFont="1" applyBorder="1" applyAlignment="1">
      <alignment vertical="top" wrapText="1"/>
    </xf>
    <xf numFmtId="0" fontId="2" fillId="2" borderId="6" xfId="0" applyFont="1" applyFill="1" applyBorder="1" applyAlignment="1" applyProtection="1">
      <alignment vertical="top" wrapText="1"/>
      <protection locked="0"/>
    </xf>
    <xf numFmtId="3" fontId="1" fillId="0" borderId="7" xfId="0" applyNumberFormat="1" applyFont="1" applyBorder="1" applyAlignment="1" applyProtection="1">
      <alignment vertical="top" wrapText="1"/>
      <protection locked="0"/>
    </xf>
    <xf numFmtId="0" fontId="1" fillId="0" borderId="8" xfId="0" applyFont="1" applyBorder="1" applyAlignment="1" applyProtection="1">
      <alignment vertical="top" wrapText="1"/>
      <protection locked="0"/>
    </xf>
    <xf numFmtId="0" fontId="5" fillId="7" borderId="0" xfId="0" applyFont="1" applyFill="1" applyAlignment="1" applyProtection="1">
      <alignment wrapText="1"/>
    </xf>
    <xf numFmtId="0" fontId="1" fillId="0" borderId="1" xfId="0" applyFont="1" applyFill="1" applyBorder="1" applyAlignment="1">
      <alignment horizontal="left" vertical="top" wrapText="1"/>
    </xf>
    <xf numFmtId="0" fontId="2" fillId="2" borderId="1" xfId="0" applyFont="1" applyFill="1" applyBorder="1" applyAlignment="1" applyProtection="1">
      <alignment horizontal="left" wrapText="1"/>
      <protection locked="0"/>
    </xf>
    <xf numFmtId="1" fontId="1" fillId="0" borderId="5" xfId="0" applyNumberFormat="1" applyFont="1" applyBorder="1" applyAlignment="1" applyProtection="1">
      <alignment vertical="top" wrapText="1"/>
      <protection locked="0"/>
    </xf>
    <xf numFmtId="1" fontId="1" fillId="0" borderId="1" xfId="0" applyNumberFormat="1" applyFont="1" applyBorder="1" applyAlignment="1" applyProtection="1">
      <alignment horizontal="left" vertical="top" wrapText="1"/>
      <protection locked="0"/>
    </xf>
    <xf numFmtId="0" fontId="1" fillId="0" borderId="1" xfId="0" applyNumberFormat="1" applyFont="1" applyBorder="1" applyAlignment="1" applyProtection="1">
      <alignment horizontal="left" vertical="top" wrapText="1"/>
      <protection locked="0"/>
    </xf>
    <xf numFmtId="0" fontId="2" fillId="6" borderId="1" xfId="0" applyFont="1" applyFill="1" applyBorder="1" applyAlignment="1" applyProtection="1">
      <alignment horizontal="right" vertical="top"/>
      <protection locked="0"/>
    </xf>
    <xf numFmtId="0" fontId="1" fillId="0" borderId="1" xfId="0" applyFont="1" applyFill="1" applyBorder="1" applyAlignment="1">
      <alignment vertical="top" wrapText="1"/>
    </xf>
    <xf numFmtId="0" fontId="2" fillId="2" borderId="4" xfId="0" applyFont="1" applyFill="1" applyBorder="1" applyAlignment="1" applyProtection="1">
      <alignment horizontal="left" vertical="top"/>
      <protection locked="0"/>
    </xf>
    <xf numFmtId="0" fontId="2" fillId="6" borderId="1" xfId="0" applyFont="1" applyFill="1" applyBorder="1" applyAlignment="1" applyProtection="1">
      <alignment vertical="top" wrapText="1"/>
      <protection locked="0"/>
    </xf>
    <xf numFmtId="0" fontId="1" fillId="6" borderId="1" xfId="0" applyFont="1" applyFill="1" applyBorder="1" applyAlignment="1" applyProtection="1">
      <alignment vertical="top" wrapText="1"/>
      <protection locked="0"/>
    </xf>
    <xf numFmtId="0" fontId="17" fillId="0" borderId="0" xfId="0" applyFont="1" applyAlignment="1">
      <alignment vertical="center"/>
    </xf>
    <xf numFmtId="0" fontId="17" fillId="0" borderId="0" xfId="0" applyFont="1" applyAlignment="1">
      <alignment vertical="center" wrapText="1"/>
    </xf>
    <xf numFmtId="0" fontId="18" fillId="0" borderId="0" xfId="0" applyFont="1"/>
    <xf numFmtId="0" fontId="19" fillId="0" borderId="0" xfId="0" applyFont="1"/>
    <xf numFmtId="0" fontId="20" fillId="0" borderId="5" xfId="1" applyFont="1" applyBorder="1" applyAlignment="1" applyProtection="1">
      <alignment wrapText="1"/>
      <protection locked="0"/>
    </xf>
    <xf numFmtId="0" fontId="1" fillId="0" borderId="1" xfId="0" applyFont="1" applyBorder="1" applyAlignment="1" applyProtection="1">
      <alignment horizontal="left" vertical="top" wrapText="1"/>
      <protection locked="0"/>
    </xf>
    <xf numFmtId="0" fontId="2" fillId="2" borderId="1" xfId="0" applyFont="1" applyFill="1" applyBorder="1" applyAlignment="1" applyProtection="1">
      <alignment horizontal="left" vertical="top" wrapText="1"/>
      <protection locked="0"/>
    </xf>
    <xf numFmtId="0" fontId="2" fillId="2" borderId="4" xfId="0" applyFont="1" applyFill="1" applyBorder="1" applyAlignment="1" applyProtection="1">
      <alignment horizontal="left" vertical="top" wrapText="1"/>
      <protection locked="0"/>
    </xf>
    <xf numFmtId="0" fontId="1" fillId="0" borderId="1" xfId="0"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2" fillId="0" borderId="5" xfId="0" applyFont="1" applyBorder="1" applyAlignment="1" applyProtection="1">
      <alignment horizontal="left" vertical="top" wrapText="1"/>
      <protection locked="0"/>
    </xf>
    <xf numFmtId="0" fontId="1" fillId="0" borderId="1" xfId="0" applyFont="1" applyBorder="1" applyAlignment="1" applyProtection="1">
      <alignment horizontal="left" vertical="top" wrapText="1"/>
      <protection locked="0"/>
    </xf>
    <xf numFmtId="0" fontId="1" fillId="0" borderId="5" xfId="0" applyFont="1" applyBorder="1" applyAlignment="1" applyProtection="1">
      <alignment horizontal="left" vertical="top" wrapText="1"/>
      <protection locked="0"/>
    </xf>
    <xf numFmtId="0" fontId="2" fillId="2" borderId="1" xfId="0" applyFont="1" applyFill="1" applyBorder="1" applyAlignment="1" applyProtection="1">
      <alignment horizontal="left" vertical="top" wrapText="1"/>
      <protection locked="0"/>
    </xf>
    <xf numFmtId="0" fontId="2" fillId="2" borderId="5" xfId="0" applyFont="1" applyFill="1" applyBorder="1" applyAlignment="1" applyProtection="1">
      <alignment horizontal="left" vertical="top" wrapText="1"/>
      <protection locked="0"/>
    </xf>
    <xf numFmtId="0" fontId="6" fillId="4" borderId="9" xfId="0" applyFont="1" applyFill="1" applyBorder="1" applyAlignment="1" applyProtection="1">
      <alignment horizontal="center" vertical="center" wrapText="1"/>
      <protection locked="0"/>
    </xf>
    <xf numFmtId="0" fontId="6" fillId="4" borderId="10" xfId="0" applyFont="1" applyFill="1" applyBorder="1" applyAlignment="1" applyProtection="1">
      <alignment horizontal="center" vertical="center" wrapText="1"/>
      <protection locked="0"/>
    </xf>
    <xf numFmtId="0" fontId="6" fillId="4" borderId="11" xfId="0" applyFont="1" applyFill="1" applyBorder="1" applyAlignment="1" applyProtection="1">
      <alignment horizontal="center" vertical="center" wrapText="1"/>
      <protection locked="0"/>
    </xf>
    <xf numFmtId="0" fontId="2" fillId="2" borderId="4" xfId="0" applyFont="1" applyFill="1" applyBorder="1" applyAlignment="1" applyProtection="1">
      <alignment horizontal="left" vertical="top" wrapText="1"/>
      <protection locked="0"/>
    </xf>
    <xf numFmtId="0" fontId="7" fillId="0" borderId="1" xfId="0" applyFont="1" applyFill="1" applyBorder="1" applyAlignment="1" applyProtection="1">
      <alignment horizontal="center" vertical="top" wrapText="1"/>
      <protection locked="0"/>
    </xf>
    <xf numFmtId="0" fontId="7" fillId="0" borderId="5" xfId="0" applyFont="1" applyFill="1" applyBorder="1" applyAlignment="1" applyProtection="1">
      <alignment horizontal="center" vertical="top" wrapText="1"/>
      <protection locked="0"/>
    </xf>
    <xf numFmtId="0" fontId="5" fillId="0" borderId="1" xfId="0" applyFont="1" applyBorder="1" applyAlignment="1" applyProtection="1">
      <alignment horizontal="left" wrapText="1"/>
      <protection locked="0"/>
    </xf>
    <xf numFmtId="0" fontId="5" fillId="0" borderId="5" xfId="0" applyFont="1" applyBorder="1" applyAlignment="1" applyProtection="1">
      <alignment horizontal="left" wrapText="1"/>
      <protection locked="0"/>
    </xf>
    <xf numFmtId="0" fontId="2" fillId="3" borderId="4" xfId="0" applyFont="1" applyFill="1" applyBorder="1" applyAlignment="1" applyProtection="1">
      <alignment horizontal="center" wrapText="1"/>
      <protection locked="0"/>
    </xf>
    <xf numFmtId="0" fontId="2" fillId="3" borderId="1" xfId="0" applyFont="1" applyFill="1" applyBorder="1" applyAlignment="1" applyProtection="1">
      <alignment horizontal="center" wrapText="1"/>
      <protection locked="0"/>
    </xf>
    <xf numFmtId="0" fontId="2" fillId="3" borderId="5" xfId="0" applyFont="1" applyFill="1" applyBorder="1" applyAlignment="1" applyProtection="1">
      <alignment horizontal="center" wrapText="1"/>
      <protection locked="0"/>
    </xf>
    <xf numFmtId="0" fontId="2" fillId="2" borderId="12" xfId="0" applyFont="1" applyFill="1" applyBorder="1" applyAlignment="1" applyProtection="1">
      <alignment horizontal="center" vertical="top" wrapText="1"/>
      <protection locked="0"/>
    </xf>
    <xf numFmtId="0" fontId="2" fillId="2" borderId="2" xfId="0" applyFont="1" applyFill="1" applyBorder="1" applyAlignment="1" applyProtection="1">
      <alignment horizontal="center" vertical="top" wrapText="1"/>
      <protection locked="0"/>
    </xf>
    <xf numFmtId="0" fontId="2" fillId="2" borderId="13" xfId="0" applyFont="1" applyFill="1" applyBorder="1" applyAlignment="1" applyProtection="1">
      <alignment horizontal="center" vertical="top" wrapText="1"/>
      <protection locked="0"/>
    </xf>
    <xf numFmtId="0" fontId="2" fillId="2" borderId="12" xfId="0" applyFont="1" applyFill="1" applyBorder="1" applyAlignment="1" applyProtection="1">
      <alignment horizontal="center" vertical="top"/>
      <protection locked="0"/>
    </xf>
    <xf numFmtId="0" fontId="2" fillId="2" borderId="2" xfId="0" applyFont="1" applyFill="1" applyBorder="1" applyAlignment="1" applyProtection="1">
      <alignment horizontal="center" vertical="top"/>
      <protection locked="0"/>
    </xf>
    <xf numFmtId="0" fontId="2" fillId="2" borderId="13" xfId="0" applyFont="1" applyFill="1" applyBorder="1" applyAlignment="1" applyProtection="1">
      <alignment horizontal="center" vertical="top"/>
      <protection locked="0"/>
    </xf>
    <xf numFmtId="0" fontId="1" fillId="0" borderId="1" xfId="0" applyFont="1" applyBorder="1" applyAlignment="1">
      <alignment horizontal="left" vertical="top" wrapText="1"/>
    </xf>
    <xf numFmtId="0" fontId="6" fillId="4" borderId="9" xfId="0" applyFont="1" applyFill="1" applyBorder="1" applyAlignment="1" applyProtection="1">
      <alignment horizontal="center" vertical="top" wrapText="1"/>
      <protection locked="0"/>
    </xf>
    <xf numFmtId="0" fontId="6" fillId="4" borderId="10" xfId="0" applyFont="1" applyFill="1" applyBorder="1" applyAlignment="1" applyProtection="1">
      <alignment horizontal="center" vertical="top" wrapText="1"/>
      <protection locked="0"/>
    </xf>
    <xf numFmtId="0" fontId="6" fillId="4" borderId="11" xfId="0" applyFont="1" applyFill="1" applyBorder="1" applyAlignment="1" applyProtection="1">
      <alignment horizontal="center" vertical="top" wrapText="1"/>
      <protection locked="0"/>
    </xf>
    <xf numFmtId="0" fontId="2" fillId="2" borderId="1" xfId="0" applyFont="1" applyFill="1" applyBorder="1" applyAlignment="1" applyProtection="1">
      <alignment horizontal="center" vertical="top" wrapText="1"/>
      <protection locked="0"/>
    </xf>
    <xf numFmtId="0" fontId="15" fillId="4" borderId="12" xfId="0" applyFont="1" applyFill="1" applyBorder="1" applyAlignment="1" applyProtection="1">
      <alignment horizontal="center" vertical="top" wrapText="1"/>
      <protection locked="0"/>
    </xf>
    <xf numFmtId="0" fontId="15" fillId="4" borderId="2" xfId="0" applyFont="1" applyFill="1" applyBorder="1" applyAlignment="1" applyProtection="1">
      <alignment horizontal="center" vertical="top" wrapText="1"/>
      <protection locked="0"/>
    </xf>
    <xf numFmtId="0" fontId="1" fillId="0" borderId="17"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17"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3" xfId="0" applyFont="1" applyFill="1" applyBorder="1" applyAlignment="1">
      <alignment horizontal="left" vertical="top" wrapText="1"/>
    </xf>
  </cellXfs>
  <cellStyles count="2">
    <cellStyle name="Hyperlink" xfId="1" builtinId="8"/>
    <cellStyle name="Normal" xfId="0" builtinId="0"/>
  </cellStyles>
  <dxfs count="31">
    <dxf>
      <font>
        <color rgb="FFFF0000"/>
      </font>
      <fill>
        <patternFill>
          <bgColor rgb="FFFFC7CE"/>
        </patternFill>
      </fill>
    </dxf>
    <dxf>
      <font>
        <color rgb="FFFF0000"/>
      </font>
      <fill>
        <patternFill>
          <bgColor rgb="FFFFC7CE"/>
        </patternFill>
      </fill>
    </dxf>
    <dxf>
      <font>
        <color rgb="FFFF0000"/>
      </font>
      <fill>
        <patternFill>
          <bgColor rgb="FFFFC7CE"/>
        </patternFill>
      </fill>
    </dxf>
    <dxf>
      <font>
        <color rgb="FFFF0000"/>
      </font>
      <fill>
        <patternFill>
          <bgColor rgb="FFFFC7CE"/>
        </patternFill>
      </fill>
    </dxf>
    <dxf>
      <font>
        <color rgb="FFFF0000"/>
      </font>
      <fill>
        <patternFill>
          <bgColor rgb="FFFFC7CE"/>
        </patternFill>
      </fill>
    </dxf>
    <dxf>
      <font>
        <color rgb="FFFF0000"/>
      </font>
      <fill>
        <patternFill>
          <bgColor rgb="FFFFC7CE"/>
        </patternFill>
      </fill>
    </dxf>
    <dxf>
      <font>
        <color rgb="FFFF0000"/>
      </font>
      <fill>
        <patternFill>
          <bgColor rgb="FFFFC7CE"/>
        </patternFill>
      </fill>
    </dxf>
    <dxf>
      <font>
        <color rgb="FFFF0000"/>
      </font>
      <fill>
        <patternFill>
          <bgColor rgb="FFFFC7C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7CE"/>
      <color rgb="FFFF6699"/>
      <color rgb="FFE14F37"/>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file>

<file path=xl/externalLinks/_rels/externalLink1.xml.rels><?xml version="1.0" encoding="UTF-8" standalone="yes"?>
<Relationships xmlns="http://schemas.openxmlformats.org/package/2006/relationships"><Relationship Id="rId1" Type="http://schemas.microsoft.com/office/2006/relationships/xlExternalLinkPath/xlPathMissing" Target="Medinsight%20pricing%2020150108%20DRAF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MI License Price"/>
      <sheetName val="Allocation"/>
      <sheetName val="Tool Pricing Factors"/>
      <sheetName val="MI Pricing Table"/>
      <sheetName val="MI Tier Calculator"/>
      <sheetName val="HCG"/>
      <sheetName val="GlobalRVUs"/>
      <sheetName val="MedRePricer"/>
      <sheetName val="CCHG"/>
      <sheetName val="MARA"/>
      <sheetName val="MEGS"/>
      <sheetName val="3M DRG"/>
      <sheetName val="Waste Calc"/>
      <sheetName val="Guideline Analytics"/>
      <sheetName val="Benchmark"/>
      <sheetName val="EBM"/>
      <sheetName val="ASP"/>
      <sheetName val="Lists"/>
      <sheetName val="Atmosphere"/>
    </sheetNames>
    <sheetDataSet>
      <sheetData sheetId="0"/>
      <sheetData sheetId="1">
        <row r="4">
          <cell r="A4">
            <v>150000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63"/>
  <sheetViews>
    <sheetView tabSelected="1" zoomScale="145" zoomScaleNormal="145" workbookViewId="0">
      <selection activeCell="B61" sqref="B61"/>
    </sheetView>
  </sheetViews>
  <sheetFormatPr defaultColWidth="9.140625" defaultRowHeight="12.75"/>
  <cols>
    <col min="1" max="1" width="26.28515625" style="39" customWidth="1"/>
    <col min="2" max="2" width="21.28515625" style="39" customWidth="1"/>
    <col min="3" max="3" width="21.85546875" style="39" customWidth="1"/>
    <col min="4" max="4" width="18.85546875" style="39" customWidth="1"/>
    <col min="5" max="16384" width="9.140625" style="39"/>
  </cols>
  <sheetData>
    <row r="1" spans="1:4" ht="40.5" customHeight="1">
      <c r="A1" s="85" t="s">
        <v>0</v>
      </c>
      <c r="B1" s="86"/>
      <c r="C1" s="86"/>
      <c r="D1" s="87"/>
    </row>
    <row r="2" spans="1:4" ht="25.5">
      <c r="A2" s="40" t="s">
        <v>1</v>
      </c>
      <c r="B2" s="14" t="s">
        <v>2</v>
      </c>
      <c r="C2" s="41" t="s">
        <v>3</v>
      </c>
      <c r="D2" s="36" t="s">
        <v>4</v>
      </c>
    </row>
    <row r="3" spans="1:4" ht="38.25">
      <c r="A3" s="15" t="s">
        <v>5</v>
      </c>
      <c r="B3" s="14" t="s">
        <v>6</v>
      </c>
      <c r="C3" s="17" t="s">
        <v>7</v>
      </c>
      <c r="D3" s="71" t="s">
        <v>8</v>
      </c>
    </row>
    <row r="4" spans="1:4" ht="15">
      <c r="A4" s="15" t="s">
        <v>9</v>
      </c>
      <c r="B4" s="14" t="s">
        <v>10</v>
      </c>
      <c r="C4" s="61" t="s">
        <v>11</v>
      </c>
      <c r="D4" s="70" t="s">
        <v>2</v>
      </c>
    </row>
    <row r="5" spans="1:4" ht="25.5">
      <c r="A5" s="15" t="s">
        <v>12</v>
      </c>
      <c r="B5" s="14" t="s">
        <v>13</v>
      </c>
      <c r="C5" s="15" t="s">
        <v>14</v>
      </c>
      <c r="D5" s="62" t="s">
        <v>15</v>
      </c>
    </row>
    <row r="6" spans="1:4" ht="25.5">
      <c r="A6" s="17" t="s">
        <v>16</v>
      </c>
      <c r="B6" s="42">
        <v>43165</v>
      </c>
      <c r="C6" s="17" t="s">
        <v>17</v>
      </c>
      <c r="D6" s="42">
        <v>43165</v>
      </c>
    </row>
    <row r="7" spans="1:4" ht="25.5">
      <c r="A7" s="17" t="s">
        <v>18</v>
      </c>
      <c r="B7" s="42">
        <v>43165</v>
      </c>
      <c r="C7" s="17" t="s">
        <v>19</v>
      </c>
      <c r="D7" s="42" t="s">
        <v>15</v>
      </c>
    </row>
    <row r="8" spans="1:4">
      <c r="A8" s="15" t="s">
        <v>20</v>
      </c>
      <c r="B8" s="14" t="s">
        <v>21</v>
      </c>
      <c r="C8" s="17" t="s">
        <v>22</v>
      </c>
      <c r="D8" s="43" t="s">
        <v>21</v>
      </c>
    </row>
    <row r="9" spans="1:4" ht="25.5">
      <c r="A9" s="15" t="s">
        <v>23</v>
      </c>
      <c r="B9" s="14" t="s">
        <v>24</v>
      </c>
      <c r="C9" s="17" t="s">
        <v>25</v>
      </c>
      <c r="D9" s="43" t="s">
        <v>26</v>
      </c>
    </row>
    <row r="10" spans="1:4" ht="25.5">
      <c r="A10" s="15" t="s">
        <v>27</v>
      </c>
      <c r="B10" s="14" t="s">
        <v>28</v>
      </c>
      <c r="C10" s="17" t="s">
        <v>29</v>
      </c>
      <c r="D10" s="43" t="s">
        <v>30</v>
      </c>
    </row>
    <row r="11" spans="1:4">
      <c r="A11" s="15" t="s">
        <v>31</v>
      </c>
      <c r="B11" s="14"/>
      <c r="C11" s="17" t="s">
        <v>32</v>
      </c>
      <c r="D11" s="14"/>
    </row>
    <row r="12" spans="1:4">
      <c r="A12" s="46" t="s">
        <v>33</v>
      </c>
      <c r="B12" s="14" t="s">
        <v>34</v>
      </c>
      <c r="C12" s="47" t="s">
        <v>35</v>
      </c>
      <c r="D12" s="14" t="s">
        <v>34</v>
      </c>
    </row>
    <row r="13" spans="1:4">
      <c r="A13" s="46" t="s">
        <v>36</v>
      </c>
      <c r="B13" s="14" t="s">
        <v>34</v>
      </c>
      <c r="C13" s="47" t="s">
        <v>37</v>
      </c>
      <c r="D13" s="14" t="s">
        <v>34</v>
      </c>
    </row>
    <row r="14" spans="1:4">
      <c r="A14" s="46" t="s">
        <v>38</v>
      </c>
      <c r="B14" s="14" t="s">
        <v>34</v>
      </c>
      <c r="C14" s="47" t="s">
        <v>39</v>
      </c>
      <c r="D14" s="14" t="s">
        <v>34</v>
      </c>
    </row>
    <row r="15" spans="1:4">
      <c r="A15" s="46" t="s">
        <v>40</v>
      </c>
      <c r="B15" s="14" t="s">
        <v>34</v>
      </c>
      <c r="C15" s="47" t="s">
        <v>41</v>
      </c>
      <c r="D15" s="14" t="s">
        <v>34</v>
      </c>
    </row>
    <row r="16" spans="1:4">
      <c r="A16" s="46" t="s">
        <v>42</v>
      </c>
      <c r="B16" s="14" t="s">
        <v>34</v>
      </c>
      <c r="C16" s="47" t="s">
        <v>43</v>
      </c>
      <c r="D16" s="14" t="s">
        <v>34</v>
      </c>
    </row>
    <row r="17" spans="1:4">
      <c r="A17" s="46" t="s">
        <v>44</v>
      </c>
      <c r="B17" s="14" t="s">
        <v>34</v>
      </c>
      <c r="C17" s="68"/>
      <c r="D17" s="69"/>
    </row>
    <row r="18" spans="1:4">
      <c r="A18" s="88" t="s">
        <v>45</v>
      </c>
      <c r="B18" s="83"/>
      <c r="C18" s="83" t="s">
        <v>46</v>
      </c>
      <c r="D18" s="84"/>
    </row>
    <row r="19" spans="1:4">
      <c r="A19" s="44" t="s">
        <v>47</v>
      </c>
      <c r="B19" s="3" t="s">
        <v>48</v>
      </c>
      <c r="C19" s="4" t="s">
        <v>47</v>
      </c>
      <c r="D19" s="5" t="s">
        <v>49</v>
      </c>
    </row>
    <row r="20" spans="1:4">
      <c r="A20" s="44" t="s">
        <v>50</v>
      </c>
      <c r="B20" s="3" t="s">
        <v>51</v>
      </c>
      <c r="C20" s="4" t="s">
        <v>50</v>
      </c>
      <c r="D20" s="5" t="s">
        <v>52</v>
      </c>
    </row>
    <row r="21" spans="1:4" ht="22.5">
      <c r="A21" s="44" t="s">
        <v>53</v>
      </c>
      <c r="B21" s="3"/>
      <c r="C21" s="4"/>
      <c r="D21" s="5" t="s">
        <v>54</v>
      </c>
    </row>
    <row r="22" spans="1:4" ht="22.5">
      <c r="A22" s="44" t="s">
        <v>55</v>
      </c>
      <c r="B22" s="72" t="s">
        <v>56</v>
      </c>
      <c r="C22" s="4" t="s">
        <v>55</v>
      </c>
      <c r="D22" s="74" t="s">
        <v>57</v>
      </c>
    </row>
    <row r="23" spans="1:4">
      <c r="A23" s="44" t="s">
        <v>58</v>
      </c>
      <c r="B23" s="73" t="s">
        <v>59</v>
      </c>
      <c r="C23" s="4" t="s">
        <v>58</v>
      </c>
      <c r="D23" s="5"/>
    </row>
    <row r="24" spans="1:4">
      <c r="A24" s="88" t="s">
        <v>60</v>
      </c>
      <c r="B24" s="83"/>
      <c r="C24" s="83"/>
      <c r="D24" s="84"/>
    </row>
    <row r="25" spans="1:4">
      <c r="A25" s="44" t="s">
        <v>47</v>
      </c>
      <c r="B25" s="3" t="s">
        <v>61</v>
      </c>
      <c r="C25" s="68"/>
      <c r="D25" s="69"/>
    </row>
    <row r="26" spans="1:4" ht="22.5">
      <c r="A26" s="44" t="s">
        <v>50</v>
      </c>
      <c r="B26" s="3" t="s">
        <v>62</v>
      </c>
      <c r="C26" s="68"/>
      <c r="D26" s="69"/>
    </row>
    <row r="27" spans="1:4">
      <c r="A27" s="44" t="s">
        <v>63</v>
      </c>
      <c r="B27" s="3"/>
      <c r="C27" s="68"/>
      <c r="D27" s="69"/>
    </row>
    <row r="28" spans="1:4">
      <c r="A28" s="44" t="s">
        <v>55</v>
      </c>
      <c r="B28" s="45"/>
      <c r="C28" s="68"/>
      <c r="D28" s="69"/>
    </row>
    <row r="29" spans="1:4">
      <c r="A29" s="44" t="s">
        <v>58</v>
      </c>
      <c r="B29" s="3"/>
      <c r="C29" s="68"/>
      <c r="D29" s="69"/>
    </row>
    <row r="30" spans="1:4" ht="6.75" customHeight="1">
      <c r="A30" s="93"/>
      <c r="B30" s="94"/>
      <c r="C30" s="94"/>
      <c r="D30" s="95"/>
    </row>
    <row r="31" spans="1:4">
      <c r="A31" s="88" t="s">
        <v>64</v>
      </c>
      <c r="B31" s="83"/>
      <c r="C31" s="83" t="s">
        <v>65</v>
      </c>
      <c r="D31" s="84"/>
    </row>
    <row r="32" spans="1:4">
      <c r="A32" s="46" t="s">
        <v>66</v>
      </c>
      <c r="B32" s="14" t="s">
        <v>34</v>
      </c>
      <c r="C32" s="47" t="s">
        <v>67</v>
      </c>
      <c r="D32" s="14" t="s">
        <v>34</v>
      </c>
    </row>
    <row r="33" spans="1:4">
      <c r="A33" s="46" t="s">
        <v>68</v>
      </c>
      <c r="B33" s="14" t="s">
        <v>34</v>
      </c>
      <c r="C33" s="47" t="s">
        <v>68</v>
      </c>
      <c r="D33" s="14" t="s">
        <v>34</v>
      </c>
    </row>
    <row r="34" spans="1:4">
      <c r="A34" s="46" t="s">
        <v>69</v>
      </c>
      <c r="B34" s="14" t="s">
        <v>34</v>
      </c>
      <c r="C34" s="47" t="s">
        <v>70</v>
      </c>
      <c r="D34" s="14" t="s">
        <v>34</v>
      </c>
    </row>
    <row r="35" spans="1:4">
      <c r="A35" s="46" t="s">
        <v>71</v>
      </c>
      <c r="B35" s="14" t="s">
        <v>34</v>
      </c>
      <c r="C35" s="47" t="s">
        <v>72</v>
      </c>
      <c r="D35" s="14" t="s">
        <v>34</v>
      </c>
    </row>
    <row r="36" spans="1:4">
      <c r="A36" s="46" t="s">
        <v>73</v>
      </c>
      <c r="B36" s="14" t="s">
        <v>34</v>
      </c>
      <c r="C36" s="47" t="s">
        <v>73</v>
      </c>
      <c r="D36" s="14" t="s">
        <v>34</v>
      </c>
    </row>
    <row r="37" spans="1:4">
      <c r="A37" s="48" t="s">
        <v>74</v>
      </c>
      <c r="B37" s="14" t="s">
        <v>34</v>
      </c>
      <c r="C37" s="49" t="s">
        <v>74</v>
      </c>
      <c r="D37" s="14" t="s">
        <v>34</v>
      </c>
    </row>
    <row r="38" spans="1:4">
      <c r="A38" s="46" t="s">
        <v>75</v>
      </c>
      <c r="B38" s="14" t="s">
        <v>34</v>
      </c>
      <c r="C38" s="47" t="s">
        <v>75</v>
      </c>
      <c r="D38" s="14" t="s">
        <v>34</v>
      </c>
    </row>
    <row r="39" spans="1:4">
      <c r="A39" s="46" t="s">
        <v>76</v>
      </c>
      <c r="B39" s="14" t="s">
        <v>34</v>
      </c>
      <c r="C39" s="47" t="s">
        <v>76</v>
      </c>
      <c r="D39" s="14" t="s">
        <v>34</v>
      </c>
    </row>
    <row r="40" spans="1:4">
      <c r="A40" s="96" t="s">
        <v>77</v>
      </c>
      <c r="B40" s="97"/>
      <c r="C40" s="97"/>
      <c r="D40" s="98"/>
    </row>
    <row r="41" spans="1:4">
      <c r="A41" s="46" t="s">
        <v>78</v>
      </c>
      <c r="B41" s="14" t="s">
        <v>34</v>
      </c>
      <c r="C41" s="47" t="s">
        <v>79</v>
      </c>
      <c r="D41" s="14" t="s">
        <v>34</v>
      </c>
    </row>
    <row r="42" spans="1:4">
      <c r="A42" s="68"/>
      <c r="B42" s="69"/>
      <c r="C42" s="68"/>
      <c r="D42" s="69"/>
    </row>
    <row r="43" spans="1:4">
      <c r="A43" s="96" t="s">
        <v>80</v>
      </c>
      <c r="B43" s="97"/>
      <c r="C43" s="97"/>
      <c r="D43" s="98"/>
    </row>
    <row r="44" spans="1:4">
      <c r="A44" s="46" t="s">
        <v>81</v>
      </c>
      <c r="B44" s="14" t="s">
        <v>34</v>
      </c>
      <c r="C44" s="47" t="s">
        <v>82</v>
      </c>
      <c r="D44" s="14" t="s">
        <v>34</v>
      </c>
    </row>
    <row r="45" spans="1:4">
      <c r="A45" s="46" t="s">
        <v>83</v>
      </c>
      <c r="B45" s="14" t="s">
        <v>34</v>
      </c>
      <c r="C45" s="47" t="s">
        <v>84</v>
      </c>
      <c r="D45" s="14" t="s">
        <v>34</v>
      </c>
    </row>
    <row r="46" spans="1:4">
      <c r="A46" s="46" t="s">
        <v>85</v>
      </c>
      <c r="B46" s="14" t="s">
        <v>34</v>
      </c>
      <c r="C46" s="47" t="s">
        <v>86</v>
      </c>
      <c r="D46" s="14" t="s">
        <v>34</v>
      </c>
    </row>
    <row r="47" spans="1:4">
      <c r="A47" s="46" t="s">
        <v>87</v>
      </c>
      <c r="B47" s="14" t="s">
        <v>34</v>
      </c>
      <c r="C47" s="47" t="s">
        <v>88</v>
      </c>
      <c r="D47" s="14" t="s">
        <v>34</v>
      </c>
    </row>
    <row r="48" spans="1:4" ht="6.75" customHeight="1">
      <c r="A48" s="50"/>
      <c r="B48" s="51"/>
      <c r="C48" s="51"/>
      <c r="D48" s="52"/>
    </row>
    <row r="49" spans="1:4">
      <c r="A49" s="15" t="s">
        <v>89</v>
      </c>
      <c r="B49" s="14" t="s">
        <v>90</v>
      </c>
      <c r="C49" s="17" t="s">
        <v>91</v>
      </c>
      <c r="D49" s="53" t="s">
        <v>90</v>
      </c>
    </row>
    <row r="50" spans="1:4" ht="91.5" customHeight="1">
      <c r="A50" s="37" t="s">
        <v>92</v>
      </c>
      <c r="B50" s="91" t="s">
        <v>93</v>
      </c>
      <c r="C50" s="91"/>
      <c r="D50" s="92"/>
    </row>
    <row r="51" spans="1:4">
      <c r="A51" s="15" t="s">
        <v>94</v>
      </c>
      <c r="B51" s="54" t="s">
        <v>34</v>
      </c>
      <c r="C51" s="17" t="s">
        <v>95</v>
      </c>
      <c r="D51" s="43" t="s">
        <v>90</v>
      </c>
    </row>
    <row r="52" spans="1:4" ht="23.25" hidden="1" customHeight="1">
      <c r="A52" s="88" t="s">
        <v>96</v>
      </c>
      <c r="B52" s="83"/>
      <c r="C52" s="89"/>
      <c r="D52" s="90"/>
    </row>
    <row r="53" spans="1:4" ht="36">
      <c r="A53" s="15" t="s">
        <v>97</v>
      </c>
      <c r="B53" s="38">
        <v>200000</v>
      </c>
      <c r="C53" s="18" t="s">
        <v>98</v>
      </c>
      <c r="D53" s="19" t="s">
        <v>99</v>
      </c>
    </row>
    <row r="54" spans="1:4" ht="25.5">
      <c r="A54" s="15" t="s">
        <v>100</v>
      </c>
      <c r="B54" s="14" t="s">
        <v>34</v>
      </c>
      <c r="C54" s="17" t="s">
        <v>101</v>
      </c>
      <c r="D54" s="43" t="s">
        <v>102</v>
      </c>
    </row>
    <row r="55" spans="1:4" ht="25.5">
      <c r="A55" s="15" t="s">
        <v>103</v>
      </c>
      <c r="B55" s="14" t="s">
        <v>104</v>
      </c>
      <c r="C55" s="17" t="s">
        <v>105</v>
      </c>
      <c r="D55" s="55">
        <v>10000</v>
      </c>
    </row>
    <row r="56" spans="1:4" ht="38.25">
      <c r="A56" s="15" t="s">
        <v>106</v>
      </c>
      <c r="B56" s="81" t="s">
        <v>107</v>
      </c>
      <c r="C56" s="81"/>
      <c r="D56" s="82"/>
    </row>
    <row r="57" spans="1:4" ht="25.5">
      <c r="A57" s="15" t="s">
        <v>108</v>
      </c>
      <c r="B57" s="14" t="s">
        <v>34</v>
      </c>
      <c r="C57" s="17" t="s">
        <v>109</v>
      </c>
      <c r="D57" s="20"/>
    </row>
    <row r="58" spans="1:4">
      <c r="A58" s="15" t="s">
        <v>110</v>
      </c>
      <c r="B58" s="38" t="s">
        <v>111</v>
      </c>
      <c r="C58" s="17" t="s">
        <v>112</v>
      </c>
      <c r="D58" s="20" t="s">
        <v>99</v>
      </c>
    </row>
    <row r="59" spans="1:4">
      <c r="A59" s="15" t="s">
        <v>113</v>
      </c>
      <c r="B59" s="38" t="s">
        <v>114</v>
      </c>
      <c r="C59" s="17" t="s">
        <v>115</v>
      </c>
      <c r="D59" s="20" t="s">
        <v>99</v>
      </c>
    </row>
    <row r="60" spans="1:4" ht="30" customHeight="1">
      <c r="A60" s="15" t="s">
        <v>116</v>
      </c>
      <c r="B60" s="79" t="s">
        <v>117</v>
      </c>
      <c r="C60" s="79"/>
      <c r="D60" s="80"/>
    </row>
    <row r="61" spans="1:4" ht="13.5" thickBot="1">
      <c r="A61" s="56" t="s">
        <v>118</v>
      </c>
      <c r="B61" s="57">
        <v>5</v>
      </c>
      <c r="C61" s="21" t="s">
        <v>119</v>
      </c>
      <c r="D61" s="58" t="s">
        <v>120</v>
      </c>
    </row>
    <row r="63" spans="1:4">
      <c r="A63" s="59" t="s">
        <v>121</v>
      </c>
    </row>
  </sheetData>
  <mergeCells count="15">
    <mergeCell ref="B60:D60"/>
    <mergeCell ref="B56:D56"/>
    <mergeCell ref="C31:D31"/>
    <mergeCell ref="A1:D1"/>
    <mergeCell ref="A31:B31"/>
    <mergeCell ref="A52:B52"/>
    <mergeCell ref="C52:D52"/>
    <mergeCell ref="A18:B18"/>
    <mergeCell ref="C18:D18"/>
    <mergeCell ref="B50:D50"/>
    <mergeCell ref="A30:D30"/>
    <mergeCell ref="A43:D43"/>
    <mergeCell ref="A40:D40"/>
    <mergeCell ref="A24:B24"/>
    <mergeCell ref="C24:D24"/>
  </mergeCells>
  <conditionalFormatting sqref="D49">
    <cfRule type="containsText" dxfId="30" priority="46" operator="containsText" text="Yes">
      <formula>NOT(ISERROR(SEARCH("Yes",D49)))</formula>
    </cfRule>
  </conditionalFormatting>
  <conditionalFormatting sqref="C52:D52">
    <cfRule type="containsText" dxfId="29" priority="45" operator="containsText" text="No">
      <formula>NOT(ISERROR(SEARCH("No",C52)))</formula>
    </cfRule>
  </conditionalFormatting>
  <conditionalFormatting sqref="B54">
    <cfRule type="cellIs" dxfId="28" priority="44" operator="equal">
      <formula>"Yes"</formula>
    </cfRule>
  </conditionalFormatting>
  <conditionalFormatting sqref="B51">
    <cfRule type="containsText" dxfId="27" priority="41" operator="containsText" text="No">
      <formula>NOT(ISERROR(SEARCH("No",B51)))</formula>
    </cfRule>
    <cfRule type="containsText" dxfId="26" priority="42" operator="containsText" text="Yes">
      <formula>NOT(ISERROR(SEARCH("Yes",B51)))</formula>
    </cfRule>
  </conditionalFormatting>
  <conditionalFormatting sqref="D54">
    <cfRule type="containsText" dxfId="25" priority="35" operator="containsText" text="net 90">
      <formula>NOT(ISERROR(SEARCH("net 90",D54)))</formula>
    </cfRule>
    <cfRule type="containsText" dxfId="24" priority="36" operator="containsText" text="net 45">
      <formula>NOT(ISERROR(SEARCH("net 45",D54)))</formula>
    </cfRule>
    <cfRule type="containsText" dxfId="23" priority="37" operator="containsText" text="other">
      <formula>NOT(ISERROR(SEARCH("other",D54)))</formula>
    </cfRule>
    <cfRule type="containsText" dxfId="22" priority="38" operator="containsText" text="net 60, net 90, other">
      <formula>NOT(ISERROR(SEARCH("net 60, net 90, other",D54)))</formula>
    </cfRule>
    <cfRule type="containsText" dxfId="21" priority="39" operator="containsText" text="net 60">
      <formula>NOT(ISERROR(SEARCH("net 60",D54)))</formula>
    </cfRule>
    <cfRule type="cellIs" dxfId="20" priority="40" operator="equal">
      <formula>"net 30"</formula>
    </cfRule>
  </conditionalFormatting>
  <conditionalFormatting sqref="B32">
    <cfRule type="cellIs" dxfId="19" priority="30" operator="equal">
      <formula>"Yes"</formula>
    </cfRule>
  </conditionalFormatting>
  <conditionalFormatting sqref="D32:D39">
    <cfRule type="cellIs" dxfId="18" priority="28" operator="equal">
      <formula>"Yes"</formula>
    </cfRule>
  </conditionalFormatting>
  <conditionalFormatting sqref="D41">
    <cfRule type="cellIs" dxfId="17" priority="10" operator="equal">
      <formula>"Yes"</formula>
    </cfRule>
  </conditionalFormatting>
  <conditionalFormatting sqref="B33:B39">
    <cfRule type="cellIs" dxfId="16" priority="12" operator="equal">
      <formula>"Yes"</formula>
    </cfRule>
  </conditionalFormatting>
  <conditionalFormatting sqref="B41">
    <cfRule type="cellIs" dxfId="15" priority="11" operator="equal">
      <formula>"Yes"</formula>
    </cfRule>
  </conditionalFormatting>
  <conditionalFormatting sqref="B44:B47">
    <cfRule type="cellIs" dxfId="14" priority="9" operator="equal">
      <formula>"Yes"</formula>
    </cfRule>
  </conditionalFormatting>
  <conditionalFormatting sqref="D44:D47">
    <cfRule type="cellIs" dxfId="13" priority="8" operator="equal">
      <formula>"Yes"</formula>
    </cfRule>
  </conditionalFormatting>
  <conditionalFormatting sqref="B11:B17">
    <cfRule type="cellIs" dxfId="12" priority="7" operator="equal">
      <formula>"Yes"</formula>
    </cfRule>
  </conditionalFormatting>
  <conditionalFormatting sqref="D11:D17">
    <cfRule type="cellIs" dxfId="11" priority="6" operator="equal">
      <formula>"Yes"</formula>
    </cfRule>
  </conditionalFormatting>
  <conditionalFormatting sqref="D25:D29">
    <cfRule type="cellIs" dxfId="10" priority="3" operator="equal">
      <formula>"Yes"</formula>
    </cfRule>
  </conditionalFormatting>
  <conditionalFormatting sqref="D42">
    <cfRule type="cellIs" dxfId="9" priority="2" operator="equal">
      <formula>"Yes"</formula>
    </cfRule>
  </conditionalFormatting>
  <conditionalFormatting sqref="B42">
    <cfRule type="cellIs" dxfId="8" priority="1" operator="equal">
      <formula>"Yes"</formula>
    </cfRule>
  </conditionalFormatting>
  <pageMargins left="0.7" right="0.7" top="0.75" bottom="0.75" header="0.3" footer="0.3"/>
  <pageSetup fitToHeight="0" orientation="portrait" r:id="rId1"/>
  <headerFooter>
    <oddHeader>&amp;C&amp;A</oddHeader>
  </headerFooter>
  <extLst>
    <ext xmlns:x14="http://schemas.microsoft.com/office/spreadsheetml/2009/9/main" uri="{78C0D931-6437-407d-A8EE-F0AAD7539E65}">
      <x14:conditionalFormattings>
        <x14:conditionalFormatting xmlns:xm="http://schemas.microsoft.com/office/excel/2006/main">
          <x14:cfRule type="cellIs" priority="23" operator="equal" id="{7EF1F9B6-F799-4AF9-8199-B9CD6F9EC96A}">
            <xm:f>Lists!$I$2</xm:f>
            <x14:dxf>
              <font>
                <color rgb="FFFF0000"/>
              </font>
              <fill>
                <patternFill>
                  <bgColor rgb="FFFFC7CE"/>
                </patternFill>
              </fill>
            </x14:dxf>
          </x14:cfRule>
          <x14:cfRule type="cellIs" priority="24" operator="equal" id="{E6679B62-D3D3-484B-AE05-D1BC7005BE0A}">
            <xm:f>Lists!$I$3</xm:f>
            <x14:dxf>
              <font>
                <color rgb="FFFF0000"/>
              </font>
              <fill>
                <patternFill>
                  <bgColor rgb="FFFFC7CE"/>
                </patternFill>
              </fill>
            </x14:dxf>
          </x14:cfRule>
          <xm:sqref>B58</xm:sqref>
        </x14:conditionalFormatting>
        <x14:conditionalFormatting xmlns:xm="http://schemas.microsoft.com/office/excel/2006/main">
          <x14:cfRule type="cellIs" priority="17" operator="equal" id="{E6B09C1A-F07C-4EBE-B362-04E4F5D6FEC9}">
            <xm:f>Lists!$J$7</xm:f>
            <x14:dxf>
              <font>
                <color rgb="FFFF0000"/>
              </font>
              <fill>
                <patternFill>
                  <bgColor rgb="FFFFC7CE"/>
                </patternFill>
              </fill>
            </x14:dxf>
          </x14:cfRule>
          <x14:cfRule type="cellIs" priority="18" operator="equal" id="{D58FDA72-F160-4BA1-8179-B6906E0746F0}">
            <xm:f>Lists!$J$6</xm:f>
            <x14:dxf>
              <font>
                <color rgb="FFFF0000"/>
              </font>
              <fill>
                <patternFill>
                  <bgColor rgb="FFFFC7CE"/>
                </patternFill>
              </fill>
            </x14:dxf>
          </x14:cfRule>
          <x14:cfRule type="cellIs" priority="19" operator="equal" id="{04A7FD0C-5665-420D-AEC1-9A4AC596BF1F}">
            <xm:f>Lists!$J$5</xm:f>
            <x14:dxf>
              <font>
                <color rgb="FFFF0000"/>
              </font>
              <fill>
                <patternFill>
                  <bgColor rgb="FFFFC7CE"/>
                </patternFill>
              </fill>
            </x14:dxf>
          </x14:cfRule>
          <x14:cfRule type="cellIs" priority="20" operator="equal" id="{2C813EEC-B4CB-4378-9A5E-9C2B1AD906DA}">
            <xm:f>Lists!$J$4</xm:f>
            <x14:dxf>
              <font>
                <color rgb="FFFF0000"/>
              </font>
              <fill>
                <patternFill>
                  <bgColor rgb="FFFFC7CE"/>
                </patternFill>
              </fill>
            </x14:dxf>
          </x14:cfRule>
          <x14:cfRule type="cellIs" priority="21" operator="equal" id="{07153DFD-B83A-4347-9A44-C18BDC5DAA9D}">
            <xm:f>Lists!$J$3</xm:f>
            <x14:dxf>
              <font>
                <color rgb="FFFF0000"/>
              </font>
              <fill>
                <patternFill>
                  <bgColor rgb="FFFFC7CE"/>
                </patternFill>
              </fill>
            </x14:dxf>
          </x14:cfRule>
          <x14:cfRule type="cellIs" priority="22" operator="equal" id="{43704F35-7518-4E3B-A986-AC69A8245E14}">
            <xm:f>Lists!$J$1</xm:f>
            <x14:dxf>
              <font>
                <color rgb="FFFF0000"/>
              </font>
              <fill>
                <patternFill>
                  <bgColor rgb="FFFFC7CE"/>
                </patternFill>
              </fill>
            </x14:dxf>
          </x14:cfRule>
          <xm:sqref>B59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D37"/>
  <sheetViews>
    <sheetView topLeftCell="A10" zoomScale="160" zoomScaleNormal="160" workbookViewId="0">
      <selection activeCell="B17" sqref="B17"/>
    </sheetView>
  </sheetViews>
  <sheetFormatPr defaultColWidth="9.140625" defaultRowHeight="12.75"/>
  <cols>
    <col min="1" max="1" width="26.28515625" style="22" customWidth="1"/>
    <col min="2" max="2" width="21.28515625" style="22" customWidth="1"/>
    <col min="3" max="3" width="26.28515625" style="22" customWidth="1"/>
    <col min="4" max="4" width="18.85546875" style="22" customWidth="1"/>
    <col min="5" max="16384" width="9.140625" style="22"/>
  </cols>
  <sheetData>
    <row r="1" spans="1:4" ht="33.75">
      <c r="A1" s="103" t="s">
        <v>122</v>
      </c>
      <c r="B1" s="104"/>
      <c r="C1" s="104"/>
      <c r="D1" s="105"/>
    </row>
    <row r="2" spans="1:4">
      <c r="A2" s="107" t="s">
        <v>123</v>
      </c>
      <c r="B2" s="108"/>
      <c r="C2" s="108"/>
      <c r="D2" s="108"/>
    </row>
    <row r="3" spans="1:4" ht="39.75" customHeight="1">
      <c r="A3" s="77" t="s">
        <v>5</v>
      </c>
      <c r="B3" s="75" t="str">
        <f>'Contract Summary'!B3</f>
        <v>Payformance Solutions, Inc. (They're a subsidiary of Altarum)</v>
      </c>
      <c r="C3" s="76" t="s">
        <v>7</v>
      </c>
      <c r="D3" s="64" t="str">
        <f>'Contract Summary'!D3</f>
        <v>0273PFS01; 0009PFS01</v>
      </c>
    </row>
    <row r="4" spans="1:4" ht="15.75" customHeight="1">
      <c r="A4" s="77" t="s">
        <v>9</v>
      </c>
      <c r="B4" s="75" t="str">
        <f>'Contract Summary'!B4</f>
        <v xml:space="preserve">Payformance  </v>
      </c>
      <c r="C4" s="76"/>
      <c r="D4" s="64"/>
    </row>
    <row r="5" spans="1:4" ht="15" customHeight="1">
      <c r="A5" s="77" t="s">
        <v>14</v>
      </c>
      <c r="B5" s="63" t="str">
        <f>'Contract Summary'!D5</f>
        <v>120 days after access to data</v>
      </c>
      <c r="C5" s="76" t="s">
        <v>124</v>
      </c>
      <c r="D5" s="24">
        <f>'Contract Summary'!B7</f>
        <v>43165</v>
      </c>
    </row>
    <row r="6" spans="1:4" ht="25.5">
      <c r="A6" s="77" t="s">
        <v>11</v>
      </c>
      <c r="B6" s="23" t="str">
        <f>'Contract Summary'!D4</f>
        <v>McKinley</v>
      </c>
      <c r="C6" s="76" t="s">
        <v>125</v>
      </c>
      <c r="D6" s="24" t="str">
        <f>'Contract Summary'!D7</f>
        <v>120 days after access to data</v>
      </c>
    </row>
    <row r="7" spans="1:4" ht="25.5">
      <c r="A7" s="29" t="s">
        <v>126</v>
      </c>
      <c r="B7" s="24" t="s">
        <v>127</v>
      </c>
      <c r="C7" s="76" t="s">
        <v>128</v>
      </c>
      <c r="D7" s="24" t="s">
        <v>127</v>
      </c>
    </row>
    <row r="8" spans="1:4" ht="38.25">
      <c r="A8" s="29" t="s">
        <v>129</v>
      </c>
      <c r="B8" s="16" t="s">
        <v>34</v>
      </c>
      <c r="C8" s="76" t="s">
        <v>130</v>
      </c>
      <c r="D8" s="24" t="s">
        <v>99</v>
      </c>
    </row>
    <row r="9" spans="1:4">
      <c r="A9" s="76" t="s">
        <v>131</v>
      </c>
      <c r="B9" s="78" t="str">
        <f>'Contract Summary'!D8</f>
        <v>Jason Altieri</v>
      </c>
      <c r="C9" s="76" t="s">
        <v>132</v>
      </c>
      <c r="D9" s="78" t="s">
        <v>48</v>
      </c>
    </row>
    <row r="10" spans="1:4" ht="38.25">
      <c r="A10" s="76" t="s">
        <v>133</v>
      </c>
      <c r="B10" s="109" t="s">
        <v>134</v>
      </c>
      <c r="C10" s="110"/>
      <c r="D10" s="111"/>
    </row>
    <row r="11" spans="1:4" ht="25.5">
      <c r="A11" s="76" t="s">
        <v>135</v>
      </c>
      <c r="B11" s="102" t="s">
        <v>136</v>
      </c>
      <c r="C11" s="102"/>
      <c r="D11" s="102"/>
    </row>
    <row r="12" spans="1:4" ht="37.5" customHeight="1">
      <c r="A12" s="76" t="s">
        <v>137</v>
      </c>
      <c r="B12" s="112" t="s">
        <v>138</v>
      </c>
      <c r="C12" s="113"/>
      <c r="D12" s="114"/>
    </row>
    <row r="13" spans="1:4" ht="25.5">
      <c r="A13" s="76" t="s">
        <v>139</v>
      </c>
      <c r="B13" s="78" t="s">
        <v>99</v>
      </c>
      <c r="C13" s="76" t="s">
        <v>140</v>
      </c>
      <c r="D13" s="78" t="s">
        <v>99</v>
      </c>
    </row>
    <row r="14" spans="1:4">
      <c r="A14" s="76" t="s">
        <v>141</v>
      </c>
      <c r="B14" s="25">
        <f>'Contract Summary'!B53</f>
        <v>200000</v>
      </c>
      <c r="C14" s="28"/>
      <c r="D14" s="28"/>
    </row>
    <row r="15" spans="1:4" ht="25.5">
      <c r="A15" s="76" t="s">
        <v>142</v>
      </c>
      <c r="B15" s="78">
        <f>'Contract Summary'!B61</f>
        <v>5</v>
      </c>
      <c r="C15" s="76" t="s">
        <v>143</v>
      </c>
      <c r="D15" s="60">
        <v>0</v>
      </c>
    </row>
    <row r="16" spans="1:4">
      <c r="A16" s="76" t="s">
        <v>144</v>
      </c>
      <c r="B16" s="78">
        <v>3</v>
      </c>
      <c r="C16" s="76" t="s">
        <v>145</v>
      </c>
      <c r="D16" s="78">
        <v>1</v>
      </c>
    </row>
    <row r="17" spans="1:4" ht="53.25" customHeight="1">
      <c r="A17" s="76" t="s">
        <v>146</v>
      </c>
      <c r="B17" s="66"/>
      <c r="C17" s="76" t="s">
        <v>147</v>
      </c>
      <c r="D17" s="27"/>
    </row>
    <row r="18" spans="1:4">
      <c r="A18" s="106" t="s">
        <v>148</v>
      </c>
      <c r="B18" s="106"/>
      <c r="C18" s="106"/>
      <c r="D18" s="106"/>
    </row>
    <row r="19" spans="1:4">
      <c r="A19" s="76" t="s">
        <v>66</v>
      </c>
      <c r="B19" s="78" t="str">
        <f>'Contract Summary'!B32</f>
        <v>No</v>
      </c>
      <c r="C19" s="76" t="s">
        <v>149</v>
      </c>
      <c r="D19" s="78"/>
    </row>
    <row r="20" spans="1:4">
      <c r="A20" s="76" t="s">
        <v>68</v>
      </c>
      <c r="B20" s="78" t="str">
        <f>'Contract Summary'!B33</f>
        <v>No</v>
      </c>
      <c r="C20" s="26" t="s">
        <v>150</v>
      </c>
      <c r="D20" s="16"/>
    </row>
    <row r="21" spans="1:4">
      <c r="A21" s="76" t="s">
        <v>69</v>
      </c>
      <c r="B21" s="78" t="str">
        <f>'Contract Summary'!B34</f>
        <v>No</v>
      </c>
      <c r="C21" s="26" t="s">
        <v>151</v>
      </c>
      <c r="D21" s="16"/>
    </row>
    <row r="22" spans="1:4">
      <c r="A22" s="76" t="s">
        <v>71</v>
      </c>
      <c r="B22" s="78" t="str">
        <f>'Contract Summary'!B35</f>
        <v>No</v>
      </c>
      <c r="C22" s="76" t="s">
        <v>152</v>
      </c>
      <c r="D22" s="16"/>
    </row>
    <row r="23" spans="1:4">
      <c r="A23" s="76" t="s">
        <v>73</v>
      </c>
      <c r="B23" s="78" t="str">
        <f>'Contract Summary'!B36</f>
        <v>No</v>
      </c>
      <c r="C23" s="26" t="s">
        <v>153</v>
      </c>
      <c r="D23" s="78"/>
    </row>
    <row r="24" spans="1:4">
      <c r="A24" s="76" t="s">
        <v>74</v>
      </c>
      <c r="B24" s="78" t="str">
        <f>'Contract Summary'!B37</f>
        <v>No</v>
      </c>
      <c r="C24" s="76" t="s">
        <v>154</v>
      </c>
      <c r="D24" s="78"/>
    </row>
    <row r="25" spans="1:4">
      <c r="A25" s="76" t="s">
        <v>75</v>
      </c>
      <c r="B25" s="78" t="str">
        <f>'Contract Summary'!B38</f>
        <v>No</v>
      </c>
      <c r="C25" s="26" t="s">
        <v>83</v>
      </c>
      <c r="D25" s="78" t="str">
        <f>'Contract Summary'!B45</f>
        <v>No</v>
      </c>
    </row>
    <row r="26" spans="1:4">
      <c r="A26" s="76" t="s">
        <v>76</v>
      </c>
      <c r="B26" s="78" t="str">
        <f>'Contract Summary'!B39</f>
        <v>No</v>
      </c>
      <c r="C26" s="26" t="s">
        <v>155</v>
      </c>
      <c r="D26" s="78" t="str">
        <f>'Contract Summary'!D45</f>
        <v>No</v>
      </c>
    </row>
    <row r="27" spans="1:4">
      <c r="A27" s="76" t="s">
        <v>81</v>
      </c>
      <c r="B27" s="78" t="str">
        <f>'Contract Summary'!B44</f>
        <v>No</v>
      </c>
      <c r="C27" s="26" t="s">
        <v>86</v>
      </c>
      <c r="D27" s="78" t="str">
        <f>'Contract Summary'!D46</f>
        <v>No</v>
      </c>
    </row>
    <row r="28" spans="1:4">
      <c r="A28" s="76" t="s">
        <v>82</v>
      </c>
      <c r="B28" s="78" t="str">
        <f>'Contract Summary'!D44</f>
        <v>No</v>
      </c>
      <c r="C28" s="26" t="s">
        <v>156</v>
      </c>
      <c r="D28" s="78" t="str">
        <f>'Contract Summary'!D47</f>
        <v>No</v>
      </c>
    </row>
    <row r="29" spans="1:4">
      <c r="A29" s="17" t="s">
        <v>157</v>
      </c>
      <c r="B29" s="27" t="str">
        <f>'Contract Summary'!B46</f>
        <v>No</v>
      </c>
      <c r="C29" s="26" t="s">
        <v>158</v>
      </c>
      <c r="D29" s="60" t="str">
        <f>'Contract Summary'!B47</f>
        <v>No</v>
      </c>
    </row>
    <row r="30" spans="1:4">
      <c r="A30" s="17" t="s">
        <v>159</v>
      </c>
      <c r="B30" s="16"/>
      <c r="C30" s="28"/>
      <c r="D30" s="28"/>
    </row>
    <row r="31" spans="1:4">
      <c r="A31" s="99" t="s">
        <v>160</v>
      </c>
      <c r="B31" s="100"/>
      <c r="C31" s="100"/>
      <c r="D31" s="101"/>
    </row>
    <row r="32" spans="1:4">
      <c r="A32" s="67" t="str">
        <f>'Contract Summary'!A41</f>
        <v>EGR Solution</v>
      </c>
      <c r="B32" s="78" t="str">
        <f>'Contract Summary'!B41</f>
        <v>No</v>
      </c>
      <c r="C32" s="67" t="str">
        <f>'Contract Summary'!C41</f>
        <v>Care Mgmt Solution</v>
      </c>
      <c r="D32" s="60" t="str">
        <f>'Contract Summary'!D41</f>
        <v>No</v>
      </c>
    </row>
    <row r="33" spans="1:4">
      <c r="A33" s="65"/>
      <c r="B33" s="28"/>
      <c r="C33" s="65"/>
      <c r="D33" s="28"/>
    </row>
    <row r="34" spans="1:4">
      <c r="A34" s="99" t="s">
        <v>161</v>
      </c>
      <c r="B34" s="100"/>
      <c r="C34" s="100"/>
      <c r="D34" s="101"/>
    </row>
    <row r="35" spans="1:4">
      <c r="A35" s="76" t="s">
        <v>162</v>
      </c>
      <c r="B35" s="16"/>
      <c r="C35" s="76" t="s">
        <v>163</v>
      </c>
      <c r="D35" s="78"/>
    </row>
    <row r="36" spans="1:4">
      <c r="A36" s="76" t="s">
        <v>164</v>
      </c>
      <c r="B36" s="16"/>
      <c r="C36" s="76" t="s">
        <v>165</v>
      </c>
      <c r="D36" s="16"/>
    </row>
    <row r="37" spans="1:4" ht="25.5">
      <c r="A37" s="76" t="s">
        <v>166</v>
      </c>
      <c r="B37" s="102"/>
      <c r="C37" s="102"/>
      <c r="D37" s="102"/>
    </row>
  </sheetData>
  <mergeCells count="9">
    <mergeCell ref="A34:D34"/>
    <mergeCell ref="B37:D37"/>
    <mergeCell ref="A1:D1"/>
    <mergeCell ref="B11:D11"/>
    <mergeCell ref="A18:D18"/>
    <mergeCell ref="A31:D31"/>
    <mergeCell ref="A2:D2"/>
    <mergeCell ref="B10:D10"/>
    <mergeCell ref="B12:D12"/>
  </mergeCells>
  <pageMargins left="0.7" right="0.7" top="0.75" bottom="0.75" header="0.3" footer="0.3"/>
  <pageSetup scale="97" fitToHeight="0" orientation="portrait" r:id="rId1"/>
  <headerFooter>
    <oddHeader>&amp;C&amp;A</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6"/>
  <sheetViews>
    <sheetView topLeftCell="A11" workbookViewId="0">
      <selection activeCell="D18" sqref="D18"/>
    </sheetView>
  </sheetViews>
  <sheetFormatPr defaultRowHeight="15"/>
  <cols>
    <col min="1" max="1" width="17.28515625" style="1" customWidth="1"/>
    <col min="2" max="13" width="8.7109375" style="1" customWidth="1"/>
    <col min="14" max="14" width="10.85546875" customWidth="1"/>
  </cols>
  <sheetData>
    <row r="1" spans="1:14">
      <c r="A1" s="9" t="s">
        <v>167</v>
      </c>
    </row>
    <row r="2" spans="1:14">
      <c r="A2" s="9"/>
    </row>
    <row r="3" spans="1:14" ht="18.75">
      <c r="A3" s="32" t="s">
        <v>168</v>
      </c>
    </row>
    <row r="4" spans="1:14">
      <c r="A4" s="7" t="s">
        <v>169</v>
      </c>
      <c r="B4" s="7" t="s">
        <v>170</v>
      </c>
      <c r="C4" s="7" t="s">
        <v>171</v>
      </c>
      <c r="D4" s="7" t="s">
        <v>172</v>
      </c>
      <c r="E4" s="7" t="s">
        <v>173</v>
      </c>
      <c r="F4" s="7" t="s">
        <v>174</v>
      </c>
      <c r="G4" s="7" t="s">
        <v>175</v>
      </c>
      <c r="H4" s="7" t="s">
        <v>176</v>
      </c>
      <c r="I4" s="7" t="s">
        <v>177</v>
      </c>
      <c r="J4" s="7" t="s">
        <v>178</v>
      </c>
      <c r="K4" s="7" t="s">
        <v>179</v>
      </c>
      <c r="L4" s="7" t="s">
        <v>180</v>
      </c>
      <c r="M4" s="7" t="s">
        <v>181</v>
      </c>
      <c r="N4" s="2" t="s">
        <v>182</v>
      </c>
    </row>
    <row r="5" spans="1:14">
      <c r="A5" s="8" t="s">
        <v>183</v>
      </c>
      <c r="B5" s="30"/>
      <c r="C5" s="30"/>
      <c r="D5" s="30"/>
      <c r="E5" s="30"/>
      <c r="F5" s="30"/>
      <c r="G5" s="30"/>
      <c r="H5" s="30"/>
      <c r="I5" s="30"/>
      <c r="J5" s="30"/>
      <c r="K5" s="30"/>
      <c r="L5" s="30"/>
      <c r="M5" s="30"/>
      <c r="N5" s="31">
        <f>SUM(B5:M5)</f>
        <v>0</v>
      </c>
    </row>
    <row r="6" spans="1:14">
      <c r="A6" s="8" t="s">
        <v>184</v>
      </c>
      <c r="B6" s="30"/>
      <c r="C6" s="30"/>
      <c r="D6" s="30"/>
      <c r="E6" s="30"/>
      <c r="F6" s="30"/>
      <c r="G6" s="30"/>
      <c r="H6" s="30"/>
      <c r="I6" s="30"/>
      <c r="J6" s="30"/>
      <c r="K6" s="30"/>
      <c r="L6" s="30"/>
      <c r="M6" s="30"/>
      <c r="N6" s="31">
        <f>SUM(B6:M6)</f>
        <v>0</v>
      </c>
    </row>
    <row r="7" spans="1:14">
      <c r="A7" s="8" t="s">
        <v>185</v>
      </c>
      <c r="B7" s="30"/>
      <c r="C7" s="30"/>
      <c r="D7" s="30"/>
      <c r="E7" s="30"/>
      <c r="F7" s="30"/>
      <c r="G7" s="30"/>
      <c r="H7" s="30"/>
      <c r="I7" s="30"/>
      <c r="J7" s="30"/>
      <c r="K7" s="30"/>
      <c r="L7" s="30"/>
      <c r="M7" s="30"/>
      <c r="N7" s="31">
        <f t="shared" ref="N7:N9" si="0">SUM(B7:M7)</f>
        <v>0</v>
      </c>
    </row>
    <row r="8" spans="1:14">
      <c r="A8" s="8" t="s">
        <v>186</v>
      </c>
      <c r="B8" s="30"/>
      <c r="C8" s="30"/>
      <c r="D8" s="30"/>
      <c r="E8" s="30"/>
      <c r="F8" s="30"/>
      <c r="G8" s="30"/>
      <c r="H8" s="30"/>
      <c r="I8" s="30"/>
      <c r="J8" s="30"/>
      <c r="K8" s="30"/>
      <c r="L8" s="30"/>
      <c r="M8" s="30"/>
      <c r="N8" s="31">
        <f t="shared" si="0"/>
        <v>0</v>
      </c>
    </row>
    <row r="9" spans="1:14">
      <c r="A9" s="8" t="s">
        <v>187</v>
      </c>
      <c r="B9" s="30"/>
      <c r="C9" s="30"/>
      <c r="D9" s="30"/>
      <c r="E9" s="30"/>
      <c r="F9" s="30"/>
      <c r="G9" s="30"/>
      <c r="H9" s="30"/>
      <c r="I9" s="30"/>
      <c r="J9" s="30"/>
      <c r="K9" s="30"/>
      <c r="L9" s="30"/>
      <c r="M9" s="30"/>
      <c r="N9" s="31">
        <f t="shared" si="0"/>
        <v>0</v>
      </c>
    </row>
    <row r="10" spans="1:14" ht="18.75">
      <c r="A10" s="9"/>
      <c r="B10" s="10"/>
      <c r="C10" s="10"/>
      <c r="D10" s="10"/>
      <c r="E10" s="10"/>
      <c r="F10" s="10"/>
      <c r="G10" s="10"/>
      <c r="H10" s="10"/>
      <c r="I10" s="10"/>
      <c r="J10" s="10"/>
      <c r="K10" s="10"/>
      <c r="L10" s="33" t="s">
        <v>188</v>
      </c>
      <c r="M10" s="34">
        <v>2017</v>
      </c>
      <c r="N10" s="35">
        <f>SUM(N5:N9)</f>
        <v>0</v>
      </c>
    </row>
    <row r="11" spans="1:14">
      <c r="A11" s="9"/>
      <c r="B11" s="10"/>
      <c r="C11" s="10"/>
      <c r="D11" s="10"/>
      <c r="E11" s="10"/>
      <c r="F11" s="10"/>
      <c r="G11" s="10"/>
      <c r="H11" s="10"/>
      <c r="I11" s="10"/>
      <c r="J11" s="10"/>
      <c r="K11" s="10"/>
      <c r="L11" s="10"/>
      <c r="M11" s="10"/>
    </row>
    <row r="12" spans="1:14" ht="18.75">
      <c r="A12" s="32" t="s">
        <v>189</v>
      </c>
    </row>
    <row r="13" spans="1:14">
      <c r="A13" s="7" t="s">
        <v>169</v>
      </c>
      <c r="B13" s="7" t="s">
        <v>170</v>
      </c>
      <c r="C13" s="7" t="s">
        <v>171</v>
      </c>
      <c r="D13" s="7" t="s">
        <v>172</v>
      </c>
      <c r="E13" s="7" t="s">
        <v>173</v>
      </c>
      <c r="F13" s="7" t="s">
        <v>174</v>
      </c>
      <c r="G13" s="7" t="s">
        <v>175</v>
      </c>
      <c r="H13" s="7" t="s">
        <v>176</v>
      </c>
      <c r="I13" s="7" t="s">
        <v>177</v>
      </c>
      <c r="J13" s="7" t="s">
        <v>178</v>
      </c>
      <c r="K13" s="7" t="s">
        <v>179</v>
      </c>
      <c r="L13" s="7" t="s">
        <v>180</v>
      </c>
      <c r="M13" s="7" t="s">
        <v>181</v>
      </c>
      <c r="N13" s="2" t="s">
        <v>182</v>
      </c>
    </row>
    <row r="14" spans="1:14">
      <c r="A14" s="8" t="s">
        <v>183</v>
      </c>
      <c r="B14" s="30"/>
      <c r="C14" s="30"/>
      <c r="D14" s="30">
        <v>10000</v>
      </c>
      <c r="E14" s="30"/>
      <c r="F14" s="30"/>
      <c r="G14" s="30"/>
      <c r="H14" s="30"/>
      <c r="I14" s="30"/>
      <c r="J14" s="30"/>
      <c r="K14" s="30"/>
      <c r="L14" s="30"/>
      <c r="M14" s="30"/>
      <c r="N14" s="31">
        <f>SUM(B14:M14)</f>
        <v>10000</v>
      </c>
    </row>
    <row r="15" spans="1:14">
      <c r="A15" s="8" t="s">
        <v>184</v>
      </c>
      <c r="B15" s="30"/>
      <c r="C15" s="30"/>
      <c r="D15" s="30"/>
      <c r="E15" s="30"/>
      <c r="F15" s="30"/>
      <c r="G15" s="30"/>
      <c r="H15" s="30"/>
      <c r="I15" s="30"/>
      <c r="J15" s="30"/>
      <c r="K15" s="30"/>
      <c r="L15" s="30"/>
      <c r="M15" s="30"/>
      <c r="N15" s="31">
        <f t="shared" ref="N15:N18" si="1">SUM(B15:M15)</f>
        <v>0</v>
      </c>
    </row>
    <row r="16" spans="1:14">
      <c r="A16" s="8" t="s">
        <v>185</v>
      </c>
      <c r="B16" s="30"/>
      <c r="C16" s="30"/>
      <c r="D16" s="30"/>
      <c r="E16" s="30"/>
      <c r="F16" s="30"/>
      <c r="G16" s="30"/>
      <c r="H16" s="30"/>
      <c r="I16" s="30"/>
      <c r="J16" s="30"/>
      <c r="K16" s="30"/>
      <c r="L16" s="30"/>
      <c r="M16" s="30"/>
      <c r="N16" s="31">
        <f t="shared" si="1"/>
        <v>0</v>
      </c>
    </row>
    <row r="17" spans="1:14">
      <c r="A17" s="8" t="s">
        <v>186</v>
      </c>
      <c r="B17" s="30"/>
      <c r="C17" s="30"/>
      <c r="D17" s="30"/>
      <c r="E17" s="30"/>
      <c r="F17" s="30"/>
      <c r="G17" s="30"/>
      <c r="H17" s="30"/>
      <c r="I17" s="30"/>
      <c r="J17" s="30"/>
      <c r="K17" s="30"/>
      <c r="L17" s="30"/>
      <c r="M17" s="30"/>
      <c r="N17" s="31">
        <f t="shared" si="1"/>
        <v>0</v>
      </c>
    </row>
    <row r="18" spans="1:14">
      <c r="A18" s="8" t="s">
        <v>187</v>
      </c>
      <c r="B18" s="30"/>
      <c r="C18" s="30"/>
      <c r="D18" s="30"/>
      <c r="E18" s="30"/>
      <c r="F18" s="30"/>
      <c r="G18" s="30"/>
      <c r="H18" s="30"/>
      <c r="I18" s="30"/>
      <c r="J18" s="30"/>
      <c r="K18" s="30"/>
      <c r="L18" s="30"/>
      <c r="M18" s="30"/>
      <c r="N18" s="31">
        <f t="shared" si="1"/>
        <v>0</v>
      </c>
    </row>
    <row r="19" spans="1:14" ht="18.75">
      <c r="A19" s="9"/>
      <c r="B19" s="10"/>
      <c r="C19" s="10"/>
      <c r="D19" s="10"/>
      <c r="E19" s="10"/>
      <c r="F19" s="10"/>
      <c r="G19" s="10"/>
      <c r="H19" s="10"/>
      <c r="I19" s="10"/>
      <c r="J19" s="10"/>
      <c r="K19" s="10"/>
      <c r="L19" s="33" t="s">
        <v>188</v>
      </c>
      <c r="M19" s="34">
        <v>2018</v>
      </c>
      <c r="N19" s="35">
        <f>SUM(N14:N18)</f>
        <v>10000</v>
      </c>
    </row>
    <row r="21" spans="1:14" ht="18.75">
      <c r="A21" s="32" t="s">
        <v>190</v>
      </c>
    </row>
    <row r="22" spans="1:14">
      <c r="A22" s="7" t="s">
        <v>169</v>
      </c>
      <c r="B22" s="7" t="s">
        <v>170</v>
      </c>
      <c r="C22" s="7" t="s">
        <v>171</v>
      </c>
      <c r="D22" s="7" t="s">
        <v>172</v>
      </c>
      <c r="E22" s="7" t="s">
        <v>173</v>
      </c>
      <c r="F22" s="7" t="s">
        <v>174</v>
      </c>
      <c r="G22" s="7" t="s">
        <v>175</v>
      </c>
      <c r="H22" s="7" t="s">
        <v>176</v>
      </c>
      <c r="I22" s="7" t="s">
        <v>177</v>
      </c>
      <c r="J22" s="7" t="s">
        <v>178</v>
      </c>
      <c r="K22" s="7" t="s">
        <v>179</v>
      </c>
      <c r="L22" s="7" t="s">
        <v>180</v>
      </c>
      <c r="M22" s="7" t="s">
        <v>181</v>
      </c>
      <c r="N22" s="2" t="s">
        <v>182</v>
      </c>
    </row>
    <row r="23" spans="1:14">
      <c r="A23" s="8" t="s">
        <v>183</v>
      </c>
      <c r="B23" s="30"/>
      <c r="C23" s="30"/>
      <c r="D23" s="30"/>
      <c r="E23" s="30"/>
      <c r="F23" s="30"/>
      <c r="G23" s="30"/>
      <c r="H23" s="30"/>
      <c r="I23" s="30"/>
      <c r="J23" s="30"/>
      <c r="K23" s="30"/>
      <c r="L23" s="30"/>
      <c r="M23" s="30"/>
      <c r="N23" s="31">
        <f>SUM(B23:M23)</f>
        <v>0</v>
      </c>
    </row>
    <row r="24" spans="1:14">
      <c r="A24" s="8" t="s">
        <v>184</v>
      </c>
      <c r="B24" s="30"/>
      <c r="C24" s="30"/>
      <c r="D24" s="30"/>
      <c r="E24" s="30"/>
      <c r="F24" s="30"/>
      <c r="G24" s="30"/>
      <c r="H24" s="30"/>
      <c r="I24" s="30"/>
      <c r="J24" s="30"/>
      <c r="K24" s="30"/>
      <c r="L24" s="30"/>
      <c r="M24" s="30"/>
      <c r="N24" s="31">
        <f t="shared" ref="N24:N27" si="2">SUM(B24:M24)</f>
        <v>0</v>
      </c>
    </row>
    <row r="25" spans="1:14">
      <c r="A25" s="8" t="s">
        <v>185</v>
      </c>
      <c r="B25" s="30"/>
      <c r="C25" s="30"/>
      <c r="D25" s="30"/>
      <c r="E25" s="30"/>
      <c r="F25" s="30"/>
      <c r="G25" s="30"/>
      <c r="H25" s="30"/>
      <c r="I25" s="30"/>
      <c r="J25" s="30"/>
      <c r="K25" s="30"/>
      <c r="L25" s="30"/>
      <c r="M25" s="30"/>
      <c r="N25" s="31">
        <f t="shared" si="2"/>
        <v>0</v>
      </c>
    </row>
    <row r="26" spans="1:14">
      <c r="A26" s="8" t="s">
        <v>186</v>
      </c>
      <c r="B26" s="30"/>
      <c r="C26" s="30"/>
      <c r="D26" s="30"/>
      <c r="E26" s="30"/>
      <c r="F26" s="30"/>
      <c r="G26" s="30"/>
      <c r="H26" s="30"/>
      <c r="I26" s="30"/>
      <c r="J26" s="30"/>
      <c r="K26" s="30"/>
      <c r="L26" s="30"/>
      <c r="M26" s="30"/>
      <c r="N26" s="31">
        <f t="shared" si="2"/>
        <v>0</v>
      </c>
    </row>
    <row r="27" spans="1:14">
      <c r="A27" s="8" t="s">
        <v>187</v>
      </c>
      <c r="B27" s="30"/>
      <c r="C27" s="30"/>
      <c r="D27" s="30"/>
      <c r="E27" s="30"/>
      <c r="F27" s="30"/>
      <c r="G27" s="30"/>
      <c r="H27" s="30"/>
      <c r="I27" s="30"/>
      <c r="J27" s="30"/>
      <c r="K27" s="30"/>
      <c r="L27" s="30"/>
      <c r="M27" s="30"/>
      <c r="N27" s="31">
        <f t="shared" si="2"/>
        <v>0</v>
      </c>
    </row>
    <row r="28" spans="1:14" ht="18.75">
      <c r="A28" s="9"/>
      <c r="B28" s="10"/>
      <c r="C28" s="10"/>
      <c r="D28" s="10"/>
      <c r="E28" s="10"/>
      <c r="F28" s="10"/>
      <c r="G28" s="10"/>
      <c r="H28" s="10"/>
      <c r="I28" s="10"/>
      <c r="J28" s="10"/>
      <c r="K28" s="10"/>
      <c r="L28" s="33" t="s">
        <v>188</v>
      </c>
      <c r="M28" s="34">
        <v>2019</v>
      </c>
      <c r="N28" s="35">
        <f>SUM(N23:N27)</f>
        <v>0</v>
      </c>
    </row>
    <row r="30" spans="1:14" ht="18.75">
      <c r="A30" s="32" t="s">
        <v>191</v>
      </c>
    </row>
    <row r="31" spans="1:14">
      <c r="A31" s="7" t="s">
        <v>169</v>
      </c>
      <c r="B31" s="7" t="s">
        <v>170</v>
      </c>
      <c r="C31" s="7" t="s">
        <v>171</v>
      </c>
      <c r="D31" s="7" t="s">
        <v>172</v>
      </c>
      <c r="E31" s="7" t="s">
        <v>173</v>
      </c>
      <c r="F31" s="7" t="s">
        <v>174</v>
      </c>
      <c r="G31" s="7" t="s">
        <v>175</v>
      </c>
      <c r="H31" s="7" t="s">
        <v>176</v>
      </c>
      <c r="I31" s="7" t="s">
        <v>177</v>
      </c>
      <c r="J31" s="7" t="s">
        <v>178</v>
      </c>
      <c r="K31" s="7" t="s">
        <v>179</v>
      </c>
      <c r="L31" s="7" t="s">
        <v>180</v>
      </c>
      <c r="M31" s="7" t="s">
        <v>181</v>
      </c>
      <c r="N31" s="2" t="s">
        <v>182</v>
      </c>
    </row>
    <row r="32" spans="1:14">
      <c r="A32" s="8" t="s">
        <v>183</v>
      </c>
      <c r="B32" s="30"/>
      <c r="C32" s="30"/>
      <c r="D32" s="30"/>
      <c r="E32" s="30"/>
      <c r="F32" s="30"/>
      <c r="G32" s="30"/>
      <c r="H32" s="30"/>
      <c r="I32" s="30"/>
      <c r="J32" s="30"/>
      <c r="K32" s="30"/>
      <c r="L32" s="30"/>
      <c r="M32" s="30"/>
      <c r="N32" s="31">
        <f>SUM(B32:M32)</f>
        <v>0</v>
      </c>
    </row>
    <row r="33" spans="1:14">
      <c r="A33" s="8" t="s">
        <v>184</v>
      </c>
      <c r="B33" s="30"/>
      <c r="C33" s="30"/>
      <c r="D33" s="30"/>
      <c r="E33" s="30"/>
      <c r="F33" s="30"/>
      <c r="G33" s="30"/>
      <c r="H33" s="30"/>
      <c r="I33" s="30"/>
      <c r="J33" s="30"/>
      <c r="K33" s="30"/>
      <c r="L33" s="30"/>
      <c r="M33" s="30"/>
      <c r="N33" s="31">
        <f t="shared" ref="N33:N36" si="3">SUM(B33:M33)</f>
        <v>0</v>
      </c>
    </row>
    <row r="34" spans="1:14">
      <c r="A34" s="8" t="s">
        <v>185</v>
      </c>
      <c r="B34" s="30"/>
      <c r="C34" s="30"/>
      <c r="D34" s="30"/>
      <c r="E34" s="30"/>
      <c r="F34" s="30"/>
      <c r="G34" s="30"/>
      <c r="H34" s="30"/>
      <c r="I34" s="30"/>
      <c r="J34" s="30"/>
      <c r="K34" s="30"/>
      <c r="L34" s="30"/>
      <c r="M34" s="30"/>
      <c r="N34" s="31">
        <f t="shared" si="3"/>
        <v>0</v>
      </c>
    </row>
    <row r="35" spans="1:14">
      <c r="A35" s="8" t="s">
        <v>186</v>
      </c>
      <c r="B35" s="30"/>
      <c r="C35" s="30"/>
      <c r="D35" s="30"/>
      <c r="E35" s="30"/>
      <c r="F35" s="30"/>
      <c r="G35" s="30"/>
      <c r="H35" s="30"/>
      <c r="I35" s="30"/>
      <c r="J35" s="30"/>
      <c r="K35" s="30"/>
      <c r="L35" s="30"/>
      <c r="M35" s="30"/>
      <c r="N35" s="31">
        <f t="shared" si="3"/>
        <v>0</v>
      </c>
    </row>
    <row r="36" spans="1:14">
      <c r="A36" s="8" t="s">
        <v>187</v>
      </c>
      <c r="B36" s="30"/>
      <c r="C36" s="30"/>
      <c r="D36" s="30"/>
      <c r="E36" s="30"/>
      <c r="F36" s="30"/>
      <c r="G36" s="30"/>
      <c r="H36" s="30"/>
      <c r="I36" s="30"/>
      <c r="J36" s="30"/>
      <c r="K36" s="30"/>
      <c r="L36" s="30"/>
      <c r="M36" s="30"/>
      <c r="N36" s="31">
        <f t="shared" si="3"/>
        <v>0</v>
      </c>
    </row>
    <row r="37" spans="1:14" ht="18.75">
      <c r="A37" s="9"/>
      <c r="B37" s="10"/>
      <c r="C37" s="10"/>
      <c r="D37" s="10"/>
      <c r="E37" s="10"/>
      <c r="F37" s="10"/>
      <c r="G37" s="10"/>
      <c r="H37" s="10"/>
      <c r="I37" s="10"/>
      <c r="J37" s="10"/>
      <c r="K37" s="10"/>
      <c r="L37" s="33" t="s">
        <v>188</v>
      </c>
      <c r="M37" s="34">
        <v>2020</v>
      </c>
      <c r="N37" s="35">
        <f>SUM(N32:N36)</f>
        <v>0</v>
      </c>
    </row>
    <row r="39" spans="1:14" ht="18.75">
      <c r="A39" s="32" t="s">
        <v>192</v>
      </c>
    </row>
    <row r="40" spans="1:14">
      <c r="A40" s="7" t="s">
        <v>169</v>
      </c>
      <c r="B40" s="7" t="s">
        <v>170</v>
      </c>
      <c r="C40" s="7" t="s">
        <v>171</v>
      </c>
      <c r="D40" s="7" t="s">
        <v>172</v>
      </c>
      <c r="E40" s="7" t="s">
        <v>173</v>
      </c>
      <c r="F40" s="7" t="s">
        <v>174</v>
      </c>
      <c r="G40" s="7" t="s">
        <v>175</v>
      </c>
      <c r="H40" s="7" t="s">
        <v>176</v>
      </c>
      <c r="I40" s="7" t="s">
        <v>177</v>
      </c>
      <c r="J40" s="7" t="s">
        <v>178</v>
      </c>
      <c r="K40" s="7" t="s">
        <v>179</v>
      </c>
      <c r="L40" s="7" t="s">
        <v>180</v>
      </c>
      <c r="M40" s="7" t="s">
        <v>181</v>
      </c>
      <c r="N40" s="2" t="s">
        <v>182</v>
      </c>
    </row>
    <row r="41" spans="1:14">
      <c r="A41" s="8" t="s">
        <v>183</v>
      </c>
      <c r="B41" s="30"/>
      <c r="C41" s="30"/>
      <c r="D41" s="30"/>
      <c r="E41" s="30"/>
      <c r="F41" s="30"/>
      <c r="G41" s="30"/>
      <c r="H41" s="30"/>
      <c r="I41" s="30"/>
      <c r="J41" s="30"/>
      <c r="K41" s="30"/>
      <c r="L41" s="30"/>
      <c r="M41" s="30"/>
      <c r="N41" s="31">
        <f>SUM(B41:M41)</f>
        <v>0</v>
      </c>
    </row>
    <row r="42" spans="1:14">
      <c r="A42" s="8" t="s">
        <v>184</v>
      </c>
      <c r="B42" s="30"/>
      <c r="C42" s="30"/>
      <c r="D42" s="30"/>
      <c r="E42" s="30"/>
      <c r="F42" s="30"/>
      <c r="G42" s="30"/>
      <c r="H42" s="30"/>
      <c r="I42" s="30"/>
      <c r="J42" s="30"/>
      <c r="K42" s="30"/>
      <c r="L42" s="30"/>
      <c r="M42" s="30"/>
      <c r="N42" s="31">
        <f t="shared" ref="N42:N45" si="4">SUM(B42:M42)</f>
        <v>0</v>
      </c>
    </row>
    <row r="43" spans="1:14">
      <c r="A43" s="8" t="s">
        <v>185</v>
      </c>
      <c r="B43" s="30"/>
      <c r="C43" s="30"/>
      <c r="D43" s="30"/>
      <c r="E43" s="30"/>
      <c r="F43" s="30"/>
      <c r="G43" s="30"/>
      <c r="H43" s="30"/>
      <c r="I43" s="30"/>
      <c r="J43" s="30"/>
      <c r="K43" s="30"/>
      <c r="L43" s="30"/>
      <c r="M43" s="30"/>
      <c r="N43" s="31">
        <f t="shared" si="4"/>
        <v>0</v>
      </c>
    </row>
    <row r="44" spans="1:14">
      <c r="A44" s="8" t="s">
        <v>186</v>
      </c>
      <c r="B44" s="30"/>
      <c r="C44" s="30"/>
      <c r="D44" s="30"/>
      <c r="E44" s="30"/>
      <c r="F44" s="30"/>
      <c r="G44" s="30"/>
      <c r="H44" s="30"/>
      <c r="I44" s="30"/>
      <c r="J44" s="30"/>
      <c r="K44" s="30"/>
      <c r="L44" s="30"/>
      <c r="M44" s="30"/>
      <c r="N44" s="31">
        <f t="shared" si="4"/>
        <v>0</v>
      </c>
    </row>
    <row r="45" spans="1:14">
      <c r="A45" s="8" t="s">
        <v>187</v>
      </c>
      <c r="B45" s="30"/>
      <c r="C45" s="30"/>
      <c r="D45" s="30"/>
      <c r="E45" s="30"/>
      <c r="F45" s="30"/>
      <c r="G45" s="30"/>
      <c r="H45" s="30"/>
      <c r="I45" s="30"/>
      <c r="J45" s="30"/>
      <c r="K45" s="30"/>
      <c r="L45" s="30"/>
      <c r="M45" s="30"/>
      <c r="N45" s="31">
        <f t="shared" si="4"/>
        <v>0</v>
      </c>
    </row>
    <row r="46" spans="1:14" ht="18.75">
      <c r="A46" s="9"/>
      <c r="B46" s="10"/>
      <c r="C46" s="10"/>
      <c r="D46" s="10"/>
      <c r="E46" s="10"/>
      <c r="F46" s="10"/>
      <c r="G46" s="10"/>
      <c r="H46" s="10"/>
      <c r="I46" s="10"/>
      <c r="J46" s="10"/>
      <c r="K46" s="10"/>
      <c r="L46" s="33" t="s">
        <v>188</v>
      </c>
      <c r="M46" s="34">
        <v>2021</v>
      </c>
      <c r="N46" s="35">
        <f>SUM(N41:N45)</f>
        <v>0</v>
      </c>
    </row>
  </sheetData>
  <pageMargins left="0.7" right="0.7" top="0.75" bottom="0.75" header="0.3" footer="0.3"/>
  <pageSetup scale="93" fitToHeight="0" orientation="landscape" r:id="rId1"/>
  <headerFooter>
    <oddHeader>&amp;C&amp;A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J1"/>
  <sheetViews>
    <sheetView workbookViewId="0"/>
  </sheetViews>
  <sheetFormatPr defaultColWidth="9.140625" defaultRowHeight="15"/>
  <cols>
    <col min="1" max="2" width="9.140625" style="13"/>
    <col min="3" max="3" width="9.140625" style="11"/>
    <col min="4" max="4" width="9.140625" style="12"/>
    <col min="5" max="5" width="9.140625" style="11"/>
    <col min="6" max="6" width="9.140625" style="13"/>
    <col min="7" max="10" width="9.140625" style="11"/>
    <col min="11" max="16384" width="9.140625" style="13"/>
  </cols>
  <sheetData/>
  <pageMargins left="0.7" right="0.7" top="0.75" bottom="0.75" header="0.3" footer="0.3"/>
  <pageSetup fitToHeight="0" orientation="landscape" r:id="rId1"/>
  <headerFooter>
    <oddHeader>&amp;C&amp;A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workbookViewId="0"/>
  </sheetViews>
  <sheetFormatPr defaultRowHeight="15"/>
  <cols>
    <col min="1" max="2" width="15.85546875" customWidth="1"/>
    <col min="3" max="3" width="27.28515625" bestFit="1" customWidth="1"/>
    <col min="4" max="4" width="13.140625" customWidth="1"/>
    <col min="5" max="5" width="15.28515625" customWidth="1"/>
    <col min="6" max="6" width="12.28515625" customWidth="1"/>
    <col min="7" max="7" width="11.7109375" customWidth="1"/>
  </cols>
  <sheetData/>
  <pageMargins left="0.25" right="0.25" top="0.75" bottom="0.75" header="0.3" footer="0.3"/>
  <pageSetup scale="84" fitToHeight="0" orientation="portrait" r:id="rId1"/>
  <headerFooter>
    <oddHeader>&amp;C&amp;A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workbookViewId="0">
      <selection activeCell="D19" sqref="D19"/>
    </sheetView>
  </sheetViews>
  <sheetFormatPr defaultColWidth="9.140625" defaultRowHeight="15"/>
  <cols>
    <col min="1" max="1" width="13.28515625" style="6" bestFit="1" customWidth="1"/>
    <col min="2" max="2" width="10" style="6" customWidth="1"/>
    <col min="3" max="3" width="11" style="6" bestFit="1" customWidth="1"/>
    <col min="4" max="4" width="26.7109375" style="6" bestFit="1" customWidth="1"/>
    <col min="5" max="7" width="9.140625" style="6"/>
    <col min="8" max="8" width="17.28515625" style="6" customWidth="1"/>
    <col min="9" max="9" width="20.28515625" style="6" bestFit="1" customWidth="1"/>
    <col min="10" max="10" width="9.140625" style="6"/>
    <col min="11" max="11" width="28.140625" style="6" customWidth="1"/>
    <col min="12" max="16384" width="9.140625" style="6"/>
  </cols>
  <sheetData>
    <row r="1" spans="1:11">
      <c r="A1" s="6" t="s">
        <v>13</v>
      </c>
      <c r="B1" s="6" t="s">
        <v>193</v>
      </c>
      <c r="C1" s="6" t="s">
        <v>194</v>
      </c>
      <c r="D1" s="6" t="s">
        <v>195</v>
      </c>
      <c r="E1" s="6" t="s">
        <v>90</v>
      </c>
      <c r="F1" s="6" t="s">
        <v>102</v>
      </c>
      <c r="G1" s="6" t="s">
        <v>196</v>
      </c>
      <c r="H1" s="6" t="s">
        <v>120</v>
      </c>
      <c r="I1" s="6" t="s">
        <v>197</v>
      </c>
      <c r="J1" s="6" t="s">
        <v>198</v>
      </c>
      <c r="K1" s="6" t="s">
        <v>199</v>
      </c>
    </row>
    <row r="2" spans="1:11">
      <c r="A2" s="6" t="s">
        <v>200</v>
      </c>
      <c r="B2" s="6" t="s">
        <v>2</v>
      </c>
      <c r="C2" s="6" t="s">
        <v>201</v>
      </c>
      <c r="D2" s="6" t="s">
        <v>202</v>
      </c>
      <c r="E2" s="6" t="s">
        <v>34</v>
      </c>
      <c r="F2" s="6" t="s">
        <v>203</v>
      </c>
      <c r="G2" s="6" t="s">
        <v>104</v>
      </c>
      <c r="H2" s="6" t="s">
        <v>204</v>
      </c>
      <c r="I2" s="6" t="s">
        <v>111</v>
      </c>
      <c r="J2" s="6" t="s">
        <v>205</v>
      </c>
      <c r="K2" s="6" t="s">
        <v>206</v>
      </c>
    </row>
    <row r="3" spans="1:11">
      <c r="A3" s="6" t="s">
        <v>207</v>
      </c>
      <c r="B3" s="6" t="s">
        <v>208</v>
      </c>
      <c r="C3" s="6" t="s">
        <v>28</v>
      </c>
      <c r="D3" s="6" t="s">
        <v>209</v>
      </c>
      <c r="F3" s="6" t="s">
        <v>210</v>
      </c>
      <c r="H3" s="6" t="s">
        <v>200</v>
      </c>
      <c r="I3" s="6" t="s">
        <v>114</v>
      </c>
      <c r="J3" s="6" t="s">
        <v>211</v>
      </c>
      <c r="K3" s="6" t="s">
        <v>212</v>
      </c>
    </row>
    <row r="4" spans="1:11">
      <c r="A4" s="6" t="s">
        <v>213</v>
      </c>
      <c r="B4" s="6" t="s">
        <v>214</v>
      </c>
      <c r="D4" s="6" t="s">
        <v>215</v>
      </c>
      <c r="F4" s="6" t="s">
        <v>216</v>
      </c>
      <c r="H4" s="6" t="s">
        <v>213</v>
      </c>
      <c r="J4" s="6" t="s">
        <v>217</v>
      </c>
    </row>
    <row r="5" spans="1:11">
      <c r="B5" s="6" t="s">
        <v>218</v>
      </c>
      <c r="D5" s="6" t="s">
        <v>219</v>
      </c>
      <c r="F5" s="6" t="s">
        <v>220</v>
      </c>
      <c r="J5" s="6" t="s">
        <v>221</v>
      </c>
    </row>
    <row r="6" spans="1:11">
      <c r="B6" s="6" t="s">
        <v>114</v>
      </c>
      <c r="D6" s="6" t="s">
        <v>222</v>
      </c>
      <c r="J6" s="6" t="s">
        <v>223</v>
      </c>
    </row>
    <row r="7" spans="1:11">
      <c r="D7" s="6" t="s">
        <v>224</v>
      </c>
      <c r="J7" s="6" t="s">
        <v>114</v>
      </c>
    </row>
    <row r="8" spans="1:11">
      <c r="D8" s="6" t="s">
        <v>225</v>
      </c>
    </row>
    <row r="9" spans="1:11">
      <c r="D9" s="6" t="s">
        <v>226</v>
      </c>
    </row>
    <row r="10" spans="1:11">
      <c r="D10" s="6" t="s">
        <v>227</v>
      </c>
    </row>
    <row r="11" spans="1:11">
      <c r="D11" s="6" t="s">
        <v>228</v>
      </c>
    </row>
    <row r="12" spans="1:11">
      <c r="D12" s="6" t="s">
        <v>229</v>
      </c>
    </row>
    <row r="13" spans="1:11">
      <c r="D13" s="6" t="s">
        <v>230</v>
      </c>
    </row>
    <row r="14" spans="1:11">
      <c r="D14" s="6" t="s">
        <v>231</v>
      </c>
    </row>
    <row r="15" spans="1:11">
      <c r="D15" s="6" t="s">
        <v>30</v>
      </c>
    </row>
    <row r="16" spans="1:11">
      <c r="D16" s="6" t="s">
        <v>232</v>
      </c>
    </row>
    <row r="17" spans="4:4">
      <c r="D17" s="6" t="s">
        <v>233</v>
      </c>
    </row>
    <row r="18" spans="4:4">
      <c r="D18" s="6" t="s">
        <v>234</v>
      </c>
    </row>
  </sheetData>
  <pageMargins left="0.7" right="0.7" top="0.75" bottom="0.75" header="0.3" footer="0.3"/>
  <pageSetup scale="85"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_x0020_of_x0020_PR xmlns="cde3d12d-cd5d-4942-b79e-de151be55c6a">2018-03-18T07:00:00+00:00</Date_x0020_of_x0020_PR>
    <Timesheet_x0020_Code xmlns="cde3d12d-cd5d-4942-b79e-de151be55c6a">0009MKT0110</Timesheet_x0020_Code>
    <Review xmlns="cde3d12d-cd5d-4942-b79e-de151be55c6a">
      <Url xsi:nil="true"/>
      <Description xsi:nil="true"/>
    </Review>
    <Risk_x0020_Level xmlns="cde3d12d-cd5d-4942-b79e-de151be55c6a">N/A</Risk_x0020_Level>
    <Peer_x0020_Review_x0020_Status xmlns="cde3d12d-cd5d-4942-b79e-de151be55c6a" xsi:nil="true"/>
    <Peer_x0020_Reviewer xmlns="cde3d12d-cd5d-4942-b79e-de151be55c6a">
      <UserInfo>
        <DisplayName>Nancy Zoelzer</DisplayName>
        <AccountId>61</AccountId>
        <AccountType/>
      </UserInfo>
    </Peer_x0020_Reviewer>
    <This_x0020_file_x0020_contains_x0020_no_x0020_PHI_x002f_PII xmlns="cde3d12d-cd5d-4942-b79e-de151be55c6a">true</This_x0020_file_x0020_contains_x0020_no_x0020_PHI_x002f_PII>
    <AuditLog xmlns="cde3d12d-cd5d-4942-b79e-de151be55c6a" xsi:nil="true"/>
    <Notes_x0020_for_x0020_Peer_x0020_Reviewer xmlns="cde3d12d-cd5d-4942-b79e-de151be55c6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MI Document" ma:contentTypeID="0x01010009F7B97FCECD8A41B138C16FD428D1A600B7E5105B5DDAA44687CDBBCE158B5677" ma:contentTypeVersion="30" ma:contentTypeDescription="MI Document Type" ma:contentTypeScope="" ma:versionID="8366de374eca4b773056add4532258d8">
  <xsd:schema xmlns:xsd="http://www.w3.org/2001/XMLSchema" xmlns:xs="http://www.w3.org/2001/XMLSchema" xmlns:p="http://schemas.microsoft.com/office/2006/metadata/properties" xmlns:ns2="cde3d12d-cd5d-4942-b79e-de151be55c6a" targetNamespace="http://schemas.microsoft.com/office/2006/metadata/properties" ma:root="true" ma:fieldsID="9b720d722abddb34f2218bb80ab37aeb" ns2:_="">
    <xsd:import namespace="cde3d12d-cd5d-4942-b79e-de151be55c6a"/>
    <xsd:element name="properties">
      <xsd:complexType>
        <xsd:sequence>
          <xsd:element name="documentManagement">
            <xsd:complexType>
              <xsd:all>
                <xsd:element ref="ns2:Date_x0020_of_x0020_PR" minOccurs="0"/>
                <xsd:element ref="ns2:Peer_x0020_Reviewer" minOccurs="0"/>
                <xsd:element ref="ns2:Risk_x0020_Level" minOccurs="0"/>
                <xsd:element ref="ns2:This_x0020_file_x0020_contains_x0020_no_x0020_PHI_x002f_PII" minOccurs="0"/>
                <xsd:element ref="ns2:Timesheet_x0020_Code" minOccurs="0"/>
                <xsd:element ref="ns2:Notes_x0020_for_x0020_Peer_x0020_Reviewer" minOccurs="0"/>
                <xsd:element ref="ns2:Peer_x0020_Review_x0020_Status" minOccurs="0"/>
                <xsd:element ref="ns2:AuditLog" minOccurs="0"/>
                <xsd:element ref="ns2:Revie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e3d12d-cd5d-4942-b79e-de151be55c6a" elementFormDefault="qualified">
    <xsd:import namespace="http://schemas.microsoft.com/office/2006/documentManagement/types"/>
    <xsd:import namespace="http://schemas.microsoft.com/office/infopath/2007/PartnerControls"/>
    <xsd:element name="Date_x0020_of_x0020_PR" ma:index="8" nillable="true" ma:displayName="Date of PR" ma:default="[today]" ma:format="DateOnly" ma:internalName="Date_x0020_of_x0020_PR">
      <xsd:simpleType>
        <xsd:restriction base="dms:DateTime"/>
      </xsd:simpleType>
    </xsd:element>
    <xsd:element name="Peer_x0020_Reviewer" ma:index="9" nillable="true" ma:displayName="Peer Reviewer" ma:list="UserInfo" ma:SharePointGroup="0" ma:internalName="Peer_x0020_Review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isk_x0020_Level" ma:index="10" nillable="true" ma:displayName="Risk Level" ma:default="2B" ma:format="Dropdown" ma:internalName="Risk_x0020_Level">
      <xsd:simpleType>
        <xsd:restriction base="dms:Choice">
          <xsd:enumeration value="N/A"/>
          <xsd:enumeration value="1"/>
          <xsd:enumeration value="2A"/>
          <xsd:enumeration value="2B"/>
          <xsd:enumeration value="2C"/>
          <xsd:enumeration value="3"/>
        </xsd:restriction>
      </xsd:simpleType>
    </xsd:element>
    <xsd:element name="This_x0020_file_x0020_contains_x0020_no_x0020_PHI_x002f_PII" ma:index="11" nillable="true" ma:displayName="This file contains no PHI/PII" ma:default="0" ma:description="By checking this box, I attest the file attached does not contain PHI/PII" ma:internalName="This_x0020_file_x0020_contains_x0020_no_x0020_PHI_x002f_PII">
      <xsd:simpleType>
        <xsd:restriction base="dms:Boolean"/>
      </xsd:simpleType>
    </xsd:element>
    <xsd:element name="Timesheet_x0020_Code" ma:index="12" nillable="true" ma:displayName="Timesheet Code" ma:internalName="Timesheet_x0020_Code" ma:readOnly="false">
      <xsd:simpleType>
        <xsd:restriction base="dms:Text">
          <xsd:maxLength value="255"/>
        </xsd:restriction>
      </xsd:simpleType>
    </xsd:element>
    <xsd:element name="Notes_x0020_for_x0020_Peer_x0020_Reviewer" ma:index="13" nillable="true" ma:displayName="Notes for Peer Reviewer" ma:internalName="Notes_x0020_for_x0020_Peer_x0020_Reviewer">
      <xsd:simpleType>
        <xsd:restriction base="dms:Note">
          <xsd:maxLength value="255"/>
        </xsd:restriction>
      </xsd:simpleType>
    </xsd:element>
    <xsd:element name="Peer_x0020_Review_x0020_Status" ma:index="15" nillable="true" ma:displayName="Peer Review Status" ma:description="FOR USE BY QA MGR ONLY  - DO NOT USE THIS FIELD" ma:format="Dropdown" ma:internalName="Peer_x0020_Review_x0020_Status" ma:readOnly="false">
      <xsd:simpleType>
        <xsd:restriction base="dms:Choice">
          <xsd:enumeration value="Pending"/>
          <xsd:enumeration value="Approved"/>
          <xsd:enumeration value="Rejected"/>
        </xsd:restriction>
      </xsd:simpleType>
    </xsd:element>
    <xsd:element name="AuditLog" ma:index="16" nillable="true" ma:displayName="AuditLog" ma:internalName="AuditLog" ma:readOnly="false">
      <xsd:simpleType>
        <xsd:restriction base="dms:Note">
          <xsd:maxLength value="255"/>
        </xsd:restriction>
      </xsd:simpleType>
    </xsd:element>
    <xsd:element name="Review" ma:index="19" nillable="true" ma:displayName="Review" ma:internalName="Review">
      <xsd:complexType>
        <xsd:complexContent>
          <xsd:extension base="dms:URL">
            <xsd:sequence>
              <xsd:element name="Url" type="dms:ValidUrl" minOccurs="0" nillable="true"/>
              <xsd:element name="Description" type="xsd:string"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071266-AE13-4FC5-A020-9D43F2DC4BE3}">
  <ds:schemaRefs>
    <ds:schemaRef ds:uri="http://schemas.microsoft.com/office/2006/documentManagement/types"/>
    <ds:schemaRef ds:uri="http://purl.org/dc/elements/1.1/"/>
    <ds:schemaRef ds:uri="http://www.w3.org/XML/1998/namespace"/>
    <ds:schemaRef ds:uri="http://schemas.microsoft.com/office/infopath/2007/PartnerControls"/>
    <ds:schemaRef ds:uri="http://purl.org/dc/dcmitype/"/>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58853F3F-50D5-4E3C-B0C1-4D57EB4CE449}"/>
</file>

<file path=customXml/itemProps3.xml><?xml version="1.0" encoding="utf-8"?>
<ds:datastoreItem xmlns:ds="http://schemas.openxmlformats.org/officeDocument/2006/customXml" ds:itemID="{1897352C-56B6-4A06-8D0D-020C3AE8F0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 Web App</Application>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Fessler</dc:creator>
  <cp:lastModifiedBy>Bill McKinley</cp:lastModifiedBy>
  <dcterms:created xsi:type="dcterms:W3CDTF">2014-08-25T20:13:18Z</dcterms:created>
  <dcterms:modified xsi:type="dcterms:W3CDTF">2018-03-19T15:32:47Z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0x01010009F7B97FCECD8A41B138C16FD428D1A600B7E5105B5DDAA44687CDBBCE158B5677</vt:lpwstr>
  </property>
</Properties>
</file>